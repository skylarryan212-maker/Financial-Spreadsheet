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mptions" sheetId="1" r:id="rId4"/>
    <sheet state="visible" name="Cash Flow (Annual)" sheetId="2" r:id="rId5"/>
    <sheet state="visible" name="Balances" sheetId="3" r:id="rId6"/>
    <sheet state="hidden" name="__OpenSolverCache__" sheetId="4" r:id="rId7"/>
    <sheet state="hidden" name="__OpenSolver__" sheetId="5" r:id="rId8"/>
    <sheet state="visible" name="RE Purchases" sheetId="6" r:id="rId9"/>
    <sheet state="visible" name="RE Portfolio" sheetId="7" r:id="rId10"/>
    <sheet state="visible" name="RE Amortization" sheetId="8" r:id="rId11"/>
    <sheet state="visible" name="Pilot Pay" sheetId="9" r:id="rId12"/>
    <sheet state="visible" name="Checks" sheetId="10" r:id="rId13"/>
  </sheets>
  <definedNames>
    <definedName name="gaEff">Assumptions!$B$19</definedName>
    <definedName name="blockHrs">'Pilot Pay'!$B$3</definedName>
    <definedName name="FedLower_Married">Assumptions!$D$11:$D$17</definedName>
    <definedName name="horizonAge">Assumptions!$B$8</definedName>
    <definedName name="useDynamic">Assumptions!$B$61</definedName>
    <definedName name="FedLower_Single">Assumptions!$D$2:$D$8</definedName>
    <definedName name="appr">Assumptions!$B$11</definedName>
    <definedName name="surplus_to_RE">Assumptions!$B$59</definedName>
    <definedName name="Sav_min">Assumptions!$B$66</definedName>
    <definedName name="FedUpper_Single">Assumptions!$E$2:$E$8</definedName>
    <definedName name="allocETF">Assumptions!$B$40</definedName>
    <definedName name="startAge">'Pilot Pay'!$B$1</definedName>
    <definedName name="specialCatchStartAge">Assumptions!$B$38</definedName>
    <definedName name="startYear">'Pilot Pay'!$B$2</definedName>
    <definedName name="addlMedThresh">Assumptions!$B$24</definedName>
    <definedName name="er401kCap_base">Assumptions!$B$29</definedName>
    <definedName name="mortTerm">Assumptions!$B$5</definedName>
    <definedName name="specialCatchEndAge">Assumptions!$B$39</definedName>
    <definedName name="propertiesCount">#REF!</definedName>
    <definedName name="total401kCap_50to59">Assumptions!$B$36</definedName>
    <definedName name="rentGrow">Assumptions!$B$13</definedName>
    <definedName name="addlMedRate">Assumptions!$B$23</definedName>
    <definedName name="loanTerm">Assumptions!$B$49</definedName>
    <definedName name="property_mgmt_fee">Assumptions!$B$56</definedName>
    <definedName name="taperStartAge">Assumptions!$B$68</definedName>
    <definedName name="ETF_min">Assumptions!$B$62</definedName>
    <definedName name="ETF_max">Assumptions!$B$63</definedName>
    <definedName name="total401kCap_60to63">Assumptions!$B$37</definedName>
    <definedName name="startPrice">Assumptions!$B$6</definedName>
    <definedName name="pctClose">Assumptions!$B$3</definedName>
    <definedName name="capBase">Assumptions!$B$44</definedName>
    <definedName name="cocYield">Assumptions!$B$12</definedName>
    <definedName name="lifeExcessToLoan">Assumptions!$B$46</definedName>
    <definedName name="allocSav">Assumptions!$B$42</definedName>
    <definedName name="total401kCap_u50">Assumptions!$B$35</definedName>
    <definedName name="FedRate_Married">Assumptions!$F$11:$F$17</definedName>
    <definedName name="reCashYield">Assumptions!$B$14</definedName>
    <definedName name="MarriageAge">Assumptions!$B$53</definedName>
    <definedName name="Sav_max">Assumptions!$B$67</definedName>
    <definedName name="pctDown">Assumptions!$B$2</definedName>
    <definedName name="firstPurchaseAge">Assumptions!$B$9</definedName>
    <definedName name="bufferPct">Assumptions!$B$15</definedName>
    <definedName name="loanStartAge">Assumptions!$B$50</definedName>
    <definedName name="rothIRA">Assumptions!$B$31</definedName>
    <definedName name="er401kPct">Assumptions!$B$28</definedName>
    <definedName name="taperEndAge">Assumptions!$B$69</definedName>
    <definedName name="er401kCap_catch">Assumptions!$B$30</definedName>
    <definedName name="cfiPay">Assumptions!$B$51</definedName>
    <definedName name="savGrow">Assumptions!$B$18</definedName>
    <definedName name="capAge">Assumptions!$B$43</definedName>
    <definedName name="RE_max">Assumptions!$B$65</definedName>
    <definedName name="FedUpper_Married">Assumptions!$E$11:$E$17</definedName>
    <definedName name="vacancy_rate">Assumptions!$B$55</definedName>
    <definedName name="lifeExcessToETF">Assumptions!$B$45</definedName>
    <definedName name="RE_min">Assumptions!$B$64</definedName>
    <definedName name="loanStartBal">Assumptions!$B$47</definedName>
    <definedName name="cola">'Pilot Pay'!$B$4</definedName>
    <definedName name="ssRate">Assumptions!$B$20</definedName>
    <definedName name="retGrow">Assumptions!$B$17</definedName>
    <definedName name="NWSIXFIVE">Balances!$Z$2</definedName>
    <definedName name="FedRate_Single">Assumptions!$F$2:$F$8</definedName>
    <definedName name="amortYears">Assumptions!$B$10</definedName>
    <definedName name="ssBase">Assumptions!$B$21</definedName>
    <definedName name="emp401kCap_base">Assumptions!$B$26</definedName>
    <definedName name="inflation">Assumptions!$B$7</definedName>
    <definedName name="payScale2026">'Pilot Pay'!$E$6:$H$51</definedName>
    <definedName name="mortRate">Assumptions!$B$4</definedName>
    <definedName name="catchAge">Assumptions!$B$34</definedName>
    <definedName name="rothCap_base">Assumptions!$B$32</definedName>
    <definedName name="emp401kCap_catch">Assumptions!$B$27</definedName>
    <definedName name="rothCap_catch">Assumptions!$B$33</definedName>
    <definedName name="etfGrow">Assumptions!$B$16</definedName>
    <definedName name="property_operating_expense">Assumptions!$B$54</definedName>
    <definedName name="amortLastRow">#REF!</definedName>
    <definedName name="emp401kCap">Assumptions!$B$26</definedName>
    <definedName name="allocRE_static">Assumptions!$B$71</definedName>
    <definedName name="allocRE">Assumptions!$B$41</definedName>
    <definedName name="medRate">Assumptions!$B$22</definedName>
    <definedName name="loanRate">Assumptions!$B$48</definedName>
    <definedName name="cfiPayPct">Assumptions!$B$52</definedName>
    <definedName name="rent_price_ratio">Assumptions!$B$57</definedName>
    <definedName name="emp401kPct">Assumptions!$B$25</definedName>
    <definedName name="allocETF_static">Assumptions!$B$70</definedName>
    <definedName name="allocSav_static">Assumptions!$B$72</definedName>
    <definedName name="surplus_to_ETF">Assumptions!$B$60</definedName>
    <definedName name="savings_cap_ratio">Assumptions!$B$58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7">
      <text>
        <t xml:space="preserve">Overall consumer inflation (CPI)
	-Skylar</t>
      </text>
    </comment>
  </commentList>
</comments>
</file>

<file path=xl/sharedStrings.xml><?xml version="1.0" encoding="utf-8"?>
<sst xmlns="http://schemas.openxmlformats.org/spreadsheetml/2006/main" count="371" uniqueCount="236">
  <si>
    <t>Assumption</t>
  </si>
  <si>
    <t>Value</t>
  </si>
  <si>
    <t>Fed Lower - Single</t>
  </si>
  <si>
    <t>Fed Upper - Single</t>
  </si>
  <si>
    <t>Fed Rate - Single</t>
  </si>
  <si>
    <t>Down payment percent</t>
  </si>
  <si>
    <t>Closing costs percent</t>
  </si>
  <si>
    <t>Mortgage interest rate (fixed)</t>
  </si>
  <si>
    <t>Mortgage term (years)</t>
  </si>
  <si>
    <t>Start property price at age 24</t>
  </si>
  <si>
    <t>Property price growth (inflation)</t>
  </si>
  <si>
    <t>Horizon Age</t>
  </si>
  <si>
    <t>First purchase age</t>
  </si>
  <si>
    <t>Amortization years</t>
  </si>
  <si>
    <t>Fed Lower - Married</t>
  </si>
  <si>
    <t>Fed Upper - Married</t>
  </si>
  <si>
    <t>Fed Rate - Married</t>
  </si>
  <si>
    <t>Appreciation (market value)</t>
  </si>
  <si>
    <t>Cash-on-cash yield (year 1) on down payment</t>
  </si>
  <si>
    <t>Rent cash flow growth per year</t>
  </si>
  <si>
    <t>RE Fund cash yield (HYSA)</t>
  </si>
  <si>
    <t>Minimum RE cash buffer after purchase</t>
  </si>
  <si>
    <t>ETF long-run growth</t>
  </si>
  <si>
    <t>Retirement long-run growth</t>
  </si>
  <si>
    <t>Savings/HYSA growth</t>
  </si>
  <si>
    <t>GA state tax effective</t>
  </si>
  <si>
    <t>SS rate</t>
  </si>
  <si>
    <t>SS wage base</t>
  </si>
  <si>
    <t>Medicare rate</t>
  </si>
  <si>
    <t>Addl Medicare rate</t>
  </si>
  <si>
    <t>Addl Medicare threshold (single)</t>
  </si>
  <si>
    <t>Employee 401k contribution</t>
  </si>
  <si>
    <t>Employee 401k cap (under 50)</t>
  </si>
  <si>
    <t>Employee 401k cap (50+)</t>
  </si>
  <si>
    <t>Employer 401k contribution</t>
  </si>
  <si>
    <t>Employer 401k cap (under 50)</t>
  </si>
  <si>
    <t>Employer 401k cap (50+)</t>
  </si>
  <si>
    <t>Roth IRA annual contribution</t>
  </si>
  <si>
    <t>Roth IRA cap (under 50)</t>
  </si>
  <si>
    <t>Roth IRA cap (50+)</t>
  </si>
  <si>
    <t>Catch-up age threshold</t>
  </si>
  <si>
    <t>401k total cap (under 50)</t>
  </si>
  <si>
    <t>401k total cap (age 50–59)</t>
  </si>
  <si>
    <t>401k total cap (age 60–63)</t>
  </si>
  <si>
    <t>Special catch band start</t>
  </si>
  <si>
    <t>Special catch band end</t>
  </si>
  <si>
    <t>After-tax allocation to ETFs (of gross)</t>
  </si>
  <si>
    <t>After-tax allocation to RE Fund (of gross)</t>
  </si>
  <si>
    <t>After-tax allocation to Savings (of gross)</t>
  </si>
  <si>
    <t>Lifestyle cap applies at/under age</t>
  </si>
  <si>
    <t>Lifestyle cap amount</t>
  </si>
  <si>
    <t>Lifestyle cap excess to ETF fund</t>
  </si>
  <si>
    <t>Lifestyle cap excess to loan payment</t>
  </si>
  <si>
    <t>Student loan: total borrowed</t>
  </si>
  <si>
    <t>Student loan: annual interest rate</t>
  </si>
  <si>
    <t>Student loan: term (years)</t>
  </si>
  <si>
    <t>Student loan: first payment age</t>
  </si>
  <si>
    <t>CFI income (age 20)</t>
  </si>
  <si>
    <t>% of CFI income paid toward loan</t>
  </si>
  <si>
    <t>Marriage Age</t>
  </si>
  <si>
    <t>Property operating expenses (% of rent)</t>
  </si>
  <si>
    <t>Vacancy rate</t>
  </si>
  <si>
    <t>Property management fee (% of rent)</t>
  </si>
  <si>
    <t>Rent-to-price ratio (initial gross yield)</t>
  </si>
  <si>
    <t>Savings cap ratio</t>
  </si>
  <si>
    <t>Surplus to RE</t>
  </si>
  <si>
    <t>Surplus to ETF</t>
  </si>
  <si>
    <t>Use dynamic allocations? (TRUE/FALSE)</t>
  </si>
  <si>
    <t>ETF min alloc</t>
  </si>
  <si>
    <t>ETF max alloc</t>
  </si>
  <si>
    <t>RE min alloc</t>
  </si>
  <si>
    <t>RE max alloc</t>
  </si>
  <si>
    <t>Savings min alloc</t>
  </si>
  <si>
    <t>Savings max alloc</t>
  </si>
  <si>
    <t>Taper start age</t>
  </si>
  <si>
    <t>Taper end age</t>
  </si>
  <si>
    <t>ETF static alloc (current)</t>
  </si>
  <si>
    <t>RE static alloc (current)</t>
  </si>
  <si>
    <t>Savings static alloc (current)</t>
  </si>
  <si>
    <t>Age</t>
  </si>
  <si>
    <t>Gross Pay</t>
  </si>
  <si>
    <t>Employee 401k (pre-tax)</t>
  </si>
  <si>
    <t>Employer 401k (benefit)</t>
  </si>
  <si>
    <t>Taxable Income</t>
  </si>
  <si>
    <t>Federal Tax</t>
  </si>
  <si>
    <t>GA State Tax</t>
  </si>
  <si>
    <t>FICA Tax</t>
  </si>
  <si>
    <t>Net Pay (after tax &amp; 401k)</t>
  </si>
  <si>
    <t>Roth IRA (after-tax)</t>
  </si>
  <si>
    <t>ETF Invest (after-tax)</t>
  </si>
  <si>
    <t>RE Fund Contribution (after-tax)</t>
  </si>
  <si>
    <t>Savings (after-tax)</t>
  </si>
  <si>
    <t>Lifestyle Budget (pre-rent)</t>
  </si>
  <si>
    <t>Excess From Savings Cap</t>
  </si>
  <si>
    <t>Excess → ETF Invest</t>
  </si>
  <si>
    <t>Excess → RE Fund</t>
  </si>
  <si>
    <t>Excess from Lifestyle Cap</t>
  </si>
  <si>
    <t>Lifestyle Cap→ETF</t>
  </si>
  <si>
    <t>Lifestyle Cap→Loan</t>
  </si>
  <si>
    <t>Loan Payment (total)</t>
  </si>
  <si>
    <t>RE Net Cash Flow (rent profit)</t>
  </si>
  <si>
    <t>Lifestyle Budget (total)</t>
  </si>
  <si>
    <t>Loan Payment (after-tax)</t>
  </si>
  <si>
    <t>Loan Interest (accrued / paid)</t>
  </si>
  <si>
    <t>Loan Principal Paid</t>
  </si>
  <si>
    <t>Student Loan Balance (end of year)</t>
  </si>
  <si>
    <t>Loan Balance (start of year)</t>
  </si>
  <si>
    <t>Start 401k</t>
  </si>
  <si>
    <t>401k Contrib</t>
  </si>
  <si>
    <t>401k Growth (Start + 7%)</t>
  </si>
  <si>
    <t>End 401k</t>
  </si>
  <si>
    <t>Start Roth</t>
  </si>
  <si>
    <t>Roth Contrib</t>
  </si>
  <si>
    <t>Roth Growth (Start + 7%)</t>
  </si>
  <si>
    <t>End Roth</t>
  </si>
  <si>
    <t>Start ETF</t>
  </si>
  <si>
    <t>ETF Contrib</t>
  </si>
  <si>
    <t>ETF Growth (Start + 7%)</t>
  </si>
  <si>
    <t>End ETF</t>
  </si>
  <si>
    <t>Start RE Fund</t>
  </si>
  <si>
    <t>RE Contrib</t>
  </si>
  <si>
    <t>RE Growth (Start + 7%)</t>
  </si>
  <si>
    <t>End RE Fund (pre)</t>
  </si>
  <si>
    <t>End RE Fund (after purchase)</t>
  </si>
  <si>
    <t>Start Savings</t>
  </si>
  <si>
    <t>Savings Contrib</t>
  </si>
  <si>
    <t>Savings Growth</t>
  </si>
  <si>
    <t>End Savings</t>
  </si>
  <si>
    <t>Net Worth (Without Properties)</t>
  </si>
  <si>
    <t>Net Worth (With Properties)</t>
  </si>
  <si>
    <t>Net Worth (With Properties, $ Today)</t>
  </si>
  <si>
    <t xml:space="preserve">Age </t>
  </si>
  <si>
    <t>Property #</t>
  </si>
  <si>
    <t>Purchase Price</t>
  </si>
  <si>
    <t xml:space="preserve"> Down Payment</t>
  </si>
  <si>
    <t>Closing Costs</t>
  </si>
  <si>
    <t>Property Buffer</t>
  </si>
  <si>
    <t>Total Needed</t>
  </si>
  <si>
    <t>RE Fund Balance (at purchase)</t>
  </si>
  <si>
    <t>Remaining RE Fund</t>
  </si>
  <si>
    <t>Buy?</t>
  </si>
  <si>
    <t>Cash Outflow Year</t>
  </si>
  <si>
    <t>Cash Outflow Amount</t>
  </si>
  <si>
    <t xml:space="preserve"> Property #</t>
  </si>
  <si>
    <t>Purchase Age</t>
  </si>
  <si>
    <t xml:space="preserve"> Purchase Price</t>
  </si>
  <si>
    <t>Down Payment</t>
  </si>
  <si>
    <t>Loan Amount</t>
  </si>
  <si>
    <t xml:space="preserve"> Gross Rent (Y1)</t>
  </si>
  <si>
    <t>Vacancy $</t>
  </si>
  <si>
    <t>OpEx $</t>
  </si>
  <si>
    <t>Mgmt $</t>
  </si>
  <si>
    <t>NOI (pre-debt)</t>
  </si>
  <si>
    <t>Annual Mtg Pmt</t>
  </si>
  <si>
    <t>Net Rent Profit (Y1)</t>
  </si>
  <si>
    <t>Year Index</t>
  </si>
  <si>
    <t>Beg Balance</t>
  </si>
  <si>
    <t>Payment</t>
  </si>
  <si>
    <t>Interest</t>
  </si>
  <si>
    <t>Principal</t>
  </si>
  <si>
    <t>End Balance</t>
  </si>
  <si>
    <t>Net Cash Flow</t>
  </si>
  <si>
    <t>Property Value</t>
  </si>
  <si>
    <t>Start Age</t>
  </si>
  <si>
    <t>Start Year</t>
  </si>
  <si>
    <t>Base block hours / mo</t>
  </si>
  <si>
    <t>Annual COLA (rate)</t>
  </si>
  <si>
    <t>Aircraft,Seat,YOS,Rate_2026</t>
  </si>
  <si>
    <t xml:space="preserve">Year </t>
  </si>
  <si>
    <t xml:space="preserve">Airline </t>
  </si>
  <si>
    <t xml:space="preserve">Aircraft </t>
  </si>
  <si>
    <t xml:space="preserve">Seat </t>
  </si>
  <si>
    <t xml:space="preserve">YOS </t>
  </si>
  <si>
    <t>Hourly (noinflation)</t>
  </si>
  <si>
    <t>Annual Pay</t>
  </si>
  <si>
    <t>CRJ-900,FO,1,125.52</t>
  </si>
  <si>
    <t>CRJ-900,FO,2,125.52</t>
  </si>
  <si>
    <t>Endeavor</t>
  </si>
  <si>
    <t>CRJ-900</t>
  </si>
  <si>
    <t>FO</t>
  </si>
  <si>
    <t>A321,FO,1,125.52</t>
  </si>
  <si>
    <t>A321,FO,2,198.62</t>
  </si>
  <si>
    <t>Delta</t>
  </si>
  <si>
    <t>A321</t>
  </si>
  <si>
    <t>A321,FO,3,225.86</t>
  </si>
  <si>
    <t>A321,CA,1,358.98</t>
  </si>
  <si>
    <t>A321,CA,2,366.09</t>
  </si>
  <si>
    <t>CA</t>
  </si>
  <si>
    <t>A321,CA,3,372.56</t>
  </si>
  <si>
    <t>A330-900,CA,1,443.85</t>
  </si>
  <si>
    <t>A330-900,CA,2,447.45</t>
  </si>
  <si>
    <t>A330-900</t>
  </si>
  <si>
    <t>A330-900,CA,3,451.45</t>
  </si>
  <si>
    <t>A350,CA,1,443.85</t>
  </si>
  <si>
    <t>A350,CA,2,447.45</t>
  </si>
  <si>
    <t>A350</t>
  </si>
  <si>
    <t>A350,CA,3,451.12</t>
  </si>
  <si>
    <t>A350,CA,4,454.76</t>
  </si>
  <si>
    <t>A350,CA,5,458.40</t>
  </si>
  <si>
    <t>A350,CA,6,462.00</t>
  </si>
  <si>
    <t>A350,CA,7,465.64</t>
  </si>
  <si>
    <t>A350,CA,8,469.87</t>
  </si>
  <si>
    <t>A350,CA,9,472.87</t>
  </si>
  <si>
    <t>A350,CA,10,476.47</t>
  </si>
  <si>
    <t>A350,CA,11,480.09</t>
  </si>
  <si>
    <t>A350,CA,12,483.74</t>
  </si>
  <si>
    <t>A350,CA,13,483.74</t>
  </si>
  <si>
    <t>A350,CA,14,483.74</t>
  </si>
  <si>
    <t>A350,CA,15,483.74</t>
  </si>
  <si>
    <t>A350,CA,16,483.74</t>
  </si>
  <si>
    <t>A350,CA,17,483.74</t>
  </si>
  <si>
    <t>A350,CA,18,483.74</t>
  </si>
  <si>
    <t>A350,CA,19,483.74</t>
  </si>
  <si>
    <t>A350,CA,20,483.74</t>
  </si>
  <si>
    <t>A350,CA,21,483.74</t>
  </si>
  <si>
    <t>A350,CA,22,483.74</t>
  </si>
  <si>
    <t>A350,CA,23,483.74</t>
  </si>
  <si>
    <t>A350,CA,24,483.74</t>
  </si>
  <si>
    <t>A350,CA,25,483.74</t>
  </si>
  <si>
    <t>A350,CA,26,483.74</t>
  </si>
  <si>
    <t>A350,CA,27,483.74</t>
  </si>
  <si>
    <t>A350,CA,28,483.74</t>
  </si>
  <si>
    <t>A350,CA,29,483.74</t>
  </si>
  <si>
    <t>A350,CA,30,483.74</t>
  </si>
  <si>
    <t>A350,CA,31,483.74</t>
  </si>
  <si>
    <t>A350,CA,32,483.74</t>
  </si>
  <si>
    <t>A350,CA,33,483.74</t>
  </si>
  <si>
    <t>A350,CA,34,483.74</t>
  </si>
  <si>
    <t>Payment = Interest + Principal (max diff)</t>
  </si>
  <si>
    <t>EndBal = StartBal + Interest − Payment (max diff)</t>
  </si>
  <si>
    <t>No payments before first-payment age (sum)</t>
  </si>
  <si>
    <t>Balance after term (sum)</t>
  </si>
  <si>
    <t>Net Pay sanity</t>
  </si>
  <si>
    <t>Taxable Income sanity</t>
  </si>
  <si>
    <t>FICA cap sanity</t>
  </si>
  <si>
    <t>Progression 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</si>
</sst>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0" xfId="0" applyFont="1" applyNumberFormat="1"/>
    <xf borderId="0" fillId="0" fontId="1" numFmtId="10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10" xfId="0" applyAlignment="1" applyFont="1" applyNumberFormat="1">
      <alignment readingOrder="0"/>
    </xf>
    <xf borderId="0" fillId="0" fontId="1" numFmtId="4" xfId="0" applyFont="1" applyNumberFormat="1"/>
    <xf borderId="0" fillId="0" fontId="2" numFmtId="0" xfId="0" applyAlignment="1" applyFont="1">
      <alignment readingOrder="0"/>
    </xf>
    <xf borderId="0" fillId="0" fontId="1" numFmtId="164" xfId="0" applyFont="1" applyNumberFormat="1"/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2" numFmtId="0" xfId="0" applyFont="1"/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5.13"/>
    <col customWidth="1" min="2" max="2" width="7.63"/>
    <col customWidth="1" min="4" max="5" width="16.0"/>
    <col customWidth="1" min="6" max="6" width="15.0"/>
  </cols>
  <sheetData>
    <row r="1" ht="15.75" customHeight="1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</row>
    <row r="2" ht="15.75" customHeight="1">
      <c r="A2" s="1" t="s">
        <v>5</v>
      </c>
      <c r="B2" s="2">
        <v>0.25</v>
      </c>
      <c r="D2" s="1">
        <v>0.0</v>
      </c>
      <c r="E2" s="1">
        <v>12400.0</v>
      </c>
      <c r="F2" s="2">
        <v>0.1</v>
      </c>
    </row>
    <row r="3" ht="15.75" customHeight="1">
      <c r="A3" s="1" t="s">
        <v>6</v>
      </c>
      <c r="B3" s="2">
        <v>0.03</v>
      </c>
      <c r="D3" s="1">
        <v>12401.0</v>
      </c>
      <c r="E3" s="1">
        <v>50400.0</v>
      </c>
      <c r="F3" s="2">
        <v>0.12</v>
      </c>
    </row>
    <row r="4" ht="15.75" customHeight="1">
      <c r="A4" s="1" t="s">
        <v>7</v>
      </c>
      <c r="B4" s="2">
        <v>0.065</v>
      </c>
      <c r="D4" s="1">
        <v>50401.0</v>
      </c>
      <c r="E4" s="1">
        <v>105700.0</v>
      </c>
      <c r="F4" s="2">
        <v>0.22</v>
      </c>
    </row>
    <row r="5" ht="15.75" customHeight="1">
      <c r="A5" s="1" t="s">
        <v>8</v>
      </c>
      <c r="B5" s="1">
        <v>30.0</v>
      </c>
      <c r="D5" s="1">
        <v>105701.0</v>
      </c>
      <c r="E5" s="1">
        <v>201775.0</v>
      </c>
      <c r="F5" s="2">
        <v>0.24</v>
      </c>
    </row>
    <row r="6" ht="15.75" customHeight="1">
      <c r="A6" s="1" t="s">
        <v>9</v>
      </c>
      <c r="B6" s="1">
        <v>300000.0</v>
      </c>
      <c r="D6" s="1">
        <v>201776.0</v>
      </c>
      <c r="E6" s="1">
        <v>256225.0</v>
      </c>
      <c r="F6" s="2">
        <v>0.32</v>
      </c>
    </row>
    <row r="7" ht="15.75" customHeight="1">
      <c r="A7" s="1" t="s">
        <v>10</v>
      </c>
      <c r="B7" s="3">
        <v>0.025</v>
      </c>
      <c r="D7" s="1">
        <v>256226.0</v>
      </c>
      <c r="E7" s="1">
        <v>640600.0</v>
      </c>
      <c r="F7" s="2">
        <v>0.35</v>
      </c>
    </row>
    <row r="8" ht="15.75" customHeight="1">
      <c r="A8" s="4" t="s">
        <v>11</v>
      </c>
      <c r="B8" s="4">
        <v>65.0</v>
      </c>
      <c r="D8" s="1">
        <v>640601.0</v>
      </c>
      <c r="E8" s="1">
        <v>1.0E9</v>
      </c>
      <c r="F8" s="2">
        <v>0.37</v>
      </c>
    </row>
    <row r="9" ht="15.75" customHeight="1">
      <c r="A9" s="4" t="s">
        <v>12</v>
      </c>
      <c r="B9" s="5">
        <f>MIN('RE Portfolio'!B2:B1015)</f>
        <v>28</v>
      </c>
    </row>
    <row r="10" ht="15.75" customHeight="1">
      <c r="A10" s="4" t="s">
        <v>13</v>
      </c>
      <c r="B10" s="5">
        <f>horizonAge - firstPurchaseAge + 1</f>
        <v>38</v>
      </c>
      <c r="D10" s="1" t="s">
        <v>14</v>
      </c>
      <c r="E10" s="1" t="s">
        <v>15</v>
      </c>
      <c r="F10" s="1" t="s">
        <v>16</v>
      </c>
    </row>
    <row r="11" ht="15.75" customHeight="1">
      <c r="A11" s="1" t="s">
        <v>17</v>
      </c>
      <c r="B11" s="3">
        <v>0.04</v>
      </c>
      <c r="D11" s="1">
        <v>0.0</v>
      </c>
      <c r="E11" s="1">
        <v>24800.0</v>
      </c>
      <c r="F11" s="2">
        <v>0.1</v>
      </c>
    </row>
    <row r="12" ht="15.75" customHeight="1">
      <c r="A12" s="1" t="s">
        <v>18</v>
      </c>
      <c r="B12" s="2">
        <v>0.08</v>
      </c>
      <c r="D12" s="1">
        <v>24801.0</v>
      </c>
      <c r="E12" s="1">
        <v>100000.0</v>
      </c>
      <c r="F12" s="2">
        <v>0.12</v>
      </c>
    </row>
    <row r="13" ht="15.75" customHeight="1">
      <c r="A13" s="1" t="s">
        <v>19</v>
      </c>
      <c r="B13" s="3">
        <v>0.03</v>
      </c>
      <c r="D13" s="1">
        <v>100001.0</v>
      </c>
      <c r="E13" s="1">
        <v>211400.0</v>
      </c>
      <c r="F13" s="2">
        <v>0.22</v>
      </c>
    </row>
    <row r="14" ht="15.75" customHeight="1">
      <c r="A14" s="1" t="s">
        <v>20</v>
      </c>
      <c r="B14" s="2">
        <v>0.03</v>
      </c>
      <c r="D14" s="1">
        <v>211400.0</v>
      </c>
      <c r="E14" s="1">
        <v>403550.0</v>
      </c>
      <c r="F14" s="2">
        <v>0.24</v>
      </c>
    </row>
    <row r="15" ht="15.75" customHeight="1">
      <c r="A15" s="1" t="s">
        <v>21</v>
      </c>
      <c r="B15" s="2">
        <v>0.06</v>
      </c>
      <c r="D15" s="1">
        <v>403551.0</v>
      </c>
      <c r="E15" s="1">
        <v>512450.0</v>
      </c>
      <c r="F15" s="2">
        <v>0.32</v>
      </c>
    </row>
    <row r="16" ht="15.75" customHeight="1">
      <c r="A16" s="1" t="s">
        <v>22</v>
      </c>
      <c r="B16" s="2">
        <v>0.07</v>
      </c>
      <c r="D16" s="1">
        <v>512451.0</v>
      </c>
      <c r="E16" s="1">
        <v>768700.0</v>
      </c>
      <c r="F16" s="2">
        <v>0.35</v>
      </c>
    </row>
    <row r="17" ht="15.75" customHeight="1">
      <c r="A17" s="1" t="s">
        <v>23</v>
      </c>
      <c r="B17" s="2">
        <v>0.07</v>
      </c>
      <c r="D17" s="1">
        <v>768701.0</v>
      </c>
      <c r="E17" s="1">
        <v>1.0E9</v>
      </c>
      <c r="F17" s="2">
        <v>0.37</v>
      </c>
    </row>
    <row r="18" ht="15.75" customHeight="1">
      <c r="A18" s="1" t="s">
        <v>24</v>
      </c>
      <c r="B18" s="2">
        <v>0.03</v>
      </c>
    </row>
    <row r="19" ht="15.75" customHeight="1">
      <c r="A19" s="1" t="s">
        <v>25</v>
      </c>
      <c r="B19" s="3">
        <v>0.0519</v>
      </c>
    </row>
    <row r="20" ht="15.75" customHeight="1">
      <c r="A20" s="1" t="s">
        <v>26</v>
      </c>
      <c r="B20" s="2">
        <v>0.062</v>
      </c>
    </row>
    <row r="21" ht="15.75" customHeight="1">
      <c r="A21" s="1" t="s">
        <v>27</v>
      </c>
      <c r="B21" s="4">
        <v>183600.0</v>
      </c>
    </row>
    <row r="22" ht="15.75" customHeight="1">
      <c r="A22" s="1" t="s">
        <v>28</v>
      </c>
      <c r="B22" s="2">
        <v>0.0145</v>
      </c>
    </row>
    <row r="23" ht="15.75" customHeight="1">
      <c r="A23" s="1" t="s">
        <v>29</v>
      </c>
      <c r="B23" s="2">
        <v>0.009</v>
      </c>
    </row>
    <row r="24" ht="15.75" customHeight="1">
      <c r="A24" s="1" t="s">
        <v>30</v>
      </c>
      <c r="B24" s="1">
        <v>200000.0</v>
      </c>
    </row>
    <row r="25" ht="15.75" customHeight="1">
      <c r="A25" s="4" t="s">
        <v>31</v>
      </c>
      <c r="B25" s="2">
        <v>0.1</v>
      </c>
    </row>
    <row r="26" ht="15.75" customHeight="1">
      <c r="A26" s="4" t="s">
        <v>32</v>
      </c>
      <c r="B26" s="4">
        <v>24500.0</v>
      </c>
    </row>
    <row r="27" ht="15.75" customHeight="1">
      <c r="A27" s="4" t="s">
        <v>33</v>
      </c>
      <c r="B27" s="4">
        <v>32500.0</v>
      </c>
    </row>
    <row r="28" ht="15.75" customHeight="1">
      <c r="A28" s="1" t="s">
        <v>34</v>
      </c>
      <c r="B28" s="2">
        <v>0.18</v>
      </c>
    </row>
    <row r="29" ht="15.75" customHeight="1">
      <c r="A29" s="4" t="s">
        <v>35</v>
      </c>
      <c r="B29" s="4">
        <v>43500.0</v>
      </c>
    </row>
    <row r="30" ht="15.75" customHeight="1">
      <c r="A30" s="4" t="s">
        <v>36</v>
      </c>
      <c r="B30" s="4">
        <v>50000.0</v>
      </c>
    </row>
    <row r="31" ht="15.75" customHeight="1">
      <c r="A31" s="1" t="s">
        <v>37</v>
      </c>
      <c r="B31" s="4">
        <v>8000.0</v>
      </c>
    </row>
    <row r="32" ht="15.75" customHeight="1">
      <c r="A32" s="4" t="s">
        <v>38</v>
      </c>
      <c r="B32" s="4">
        <v>7000.0</v>
      </c>
    </row>
    <row r="33" ht="15.75" customHeight="1">
      <c r="A33" s="4" t="s">
        <v>39</v>
      </c>
      <c r="B33" s="4">
        <v>8000.0</v>
      </c>
    </row>
    <row r="34" ht="15.75" customHeight="1">
      <c r="A34" s="4" t="s">
        <v>40</v>
      </c>
      <c r="B34" s="4">
        <v>50.0</v>
      </c>
    </row>
    <row r="35" ht="15.75" customHeight="1">
      <c r="A35" s="4" t="s">
        <v>41</v>
      </c>
      <c r="B35" s="4">
        <v>72000.0</v>
      </c>
    </row>
    <row r="36" ht="15.75" customHeight="1">
      <c r="A36" s="4" t="s">
        <v>42</v>
      </c>
      <c r="B36" s="4">
        <v>80000.0</v>
      </c>
    </row>
    <row r="37" ht="15.75" customHeight="1">
      <c r="A37" s="4" t="s">
        <v>43</v>
      </c>
      <c r="B37" s="4">
        <v>83500.0</v>
      </c>
    </row>
    <row r="38" ht="15.75" customHeight="1">
      <c r="A38" s="4" t="s">
        <v>44</v>
      </c>
      <c r="B38" s="4">
        <v>60.0</v>
      </c>
    </row>
    <row r="39" ht="15.75" customHeight="1">
      <c r="A39" s="4" t="s">
        <v>45</v>
      </c>
      <c r="B39" s="4">
        <v>63.0</v>
      </c>
    </row>
    <row r="40" ht="15.75" customHeight="1">
      <c r="A40" s="1" t="s">
        <v>46</v>
      </c>
      <c r="B40" s="3">
        <v>0.2</v>
      </c>
    </row>
    <row r="41" ht="15.75" customHeight="1">
      <c r="A41" s="1" t="s">
        <v>47</v>
      </c>
      <c r="B41" s="3">
        <v>0.15</v>
      </c>
    </row>
    <row r="42" ht="15.75" customHeight="1">
      <c r="A42" s="1" t="s">
        <v>48</v>
      </c>
      <c r="B42" s="3">
        <v>0.05</v>
      </c>
      <c r="D42" s="6"/>
    </row>
    <row r="43" ht="15.75" customHeight="1">
      <c r="A43" s="1" t="s">
        <v>49</v>
      </c>
      <c r="B43" s="4">
        <v>22.0</v>
      </c>
    </row>
    <row r="44" ht="15.75" customHeight="1">
      <c r="A44" s="1" t="s">
        <v>50</v>
      </c>
      <c r="B44" s="1">
        <v>15000.0</v>
      </c>
    </row>
    <row r="45" ht="15.75" customHeight="1">
      <c r="A45" s="4" t="s">
        <v>51</v>
      </c>
      <c r="B45" s="4">
        <v>0.0</v>
      </c>
    </row>
    <row r="46" ht="15.75" customHeight="1">
      <c r="A46" s="4" t="s">
        <v>52</v>
      </c>
      <c r="B46" s="4">
        <v>1.0</v>
      </c>
    </row>
    <row r="47" ht="15.75" customHeight="1">
      <c r="A47" s="1" t="s">
        <v>53</v>
      </c>
      <c r="B47" s="1">
        <v>80000.0</v>
      </c>
    </row>
    <row r="48" ht="15.75" customHeight="1">
      <c r="A48" s="1" t="s">
        <v>54</v>
      </c>
      <c r="B48" s="2">
        <v>0.05</v>
      </c>
    </row>
    <row r="49" ht="15.75" customHeight="1">
      <c r="A49" s="1" t="s">
        <v>55</v>
      </c>
      <c r="B49" s="1">
        <v>10.0</v>
      </c>
    </row>
    <row r="50" ht="15.75" customHeight="1">
      <c r="A50" s="1" t="s">
        <v>56</v>
      </c>
      <c r="B50" s="1">
        <v>20.0</v>
      </c>
    </row>
    <row r="51" ht="15.75" customHeight="1">
      <c r="A51" s="1" t="s">
        <v>57</v>
      </c>
      <c r="B51" s="1">
        <v>40000.0</v>
      </c>
    </row>
    <row r="52" ht="15.75" customHeight="1">
      <c r="A52" s="1" t="s">
        <v>58</v>
      </c>
      <c r="B52" s="3">
        <v>1.0</v>
      </c>
    </row>
    <row r="53" ht="15.75" customHeight="1">
      <c r="A53" s="1" t="s">
        <v>59</v>
      </c>
      <c r="B53" s="4">
        <v>30.0</v>
      </c>
    </row>
    <row r="54" ht="15.75" customHeight="1">
      <c r="A54" s="1" t="s">
        <v>60</v>
      </c>
      <c r="B54" s="2">
        <v>0.25</v>
      </c>
    </row>
    <row r="55" ht="15.75" customHeight="1">
      <c r="A55" s="1" t="s">
        <v>61</v>
      </c>
      <c r="B55" s="2">
        <v>0.05</v>
      </c>
    </row>
    <row r="56" ht="15.75" customHeight="1">
      <c r="A56" s="1" t="s">
        <v>62</v>
      </c>
      <c r="B56" s="2">
        <v>0.08</v>
      </c>
    </row>
    <row r="57" ht="15.75" customHeight="1">
      <c r="A57" s="1" t="s">
        <v>63</v>
      </c>
      <c r="B57" s="2">
        <v>0.12</v>
      </c>
    </row>
    <row r="58" ht="15.75" customHeight="1">
      <c r="A58" s="1" t="s">
        <v>64</v>
      </c>
      <c r="B58" s="7">
        <f>9/12</f>
        <v>0.75</v>
      </c>
    </row>
    <row r="59" ht="15.75" customHeight="1">
      <c r="A59" s="1" t="s">
        <v>65</v>
      </c>
      <c r="B59" s="4">
        <v>0.5</v>
      </c>
    </row>
    <row r="60" ht="15.75" customHeight="1">
      <c r="A60" s="1" t="s">
        <v>66</v>
      </c>
      <c r="B60" s="4">
        <v>0.5</v>
      </c>
    </row>
    <row r="61" ht="15.75" customHeight="1">
      <c r="A61" s="8" t="s">
        <v>67</v>
      </c>
      <c r="B61" s="8" t="b">
        <v>0</v>
      </c>
    </row>
    <row r="62" ht="15.75" customHeight="1">
      <c r="A62" s="8" t="s">
        <v>68</v>
      </c>
      <c r="B62" s="8">
        <v>0.2</v>
      </c>
    </row>
    <row r="63" ht="15.75" customHeight="1">
      <c r="A63" s="8" t="s">
        <v>69</v>
      </c>
      <c r="B63" s="8">
        <v>0.45</v>
      </c>
    </row>
    <row r="64" ht="15.75" customHeight="1">
      <c r="A64" s="8" t="s">
        <v>70</v>
      </c>
      <c r="B64" s="8">
        <v>0.3</v>
      </c>
    </row>
    <row r="65" ht="15.75" customHeight="1">
      <c r="A65" s="8" t="s">
        <v>71</v>
      </c>
      <c r="B65" s="8">
        <v>0.5</v>
      </c>
    </row>
    <row r="66" ht="15.75" customHeight="1">
      <c r="A66" s="8" t="s">
        <v>72</v>
      </c>
      <c r="B66" s="8">
        <v>0.05</v>
      </c>
    </row>
    <row r="67" ht="15.75" customHeight="1">
      <c r="A67" s="8" t="s">
        <v>73</v>
      </c>
      <c r="B67" s="8">
        <v>0.1</v>
      </c>
    </row>
    <row r="68" ht="15.75" customHeight="1">
      <c r="A68" s="8" t="s">
        <v>74</v>
      </c>
      <c r="B68" s="8">
        <v>25.0</v>
      </c>
    </row>
    <row r="69" ht="15.75" customHeight="1">
      <c r="A69" s="8" t="s">
        <v>75</v>
      </c>
      <c r="B69" s="8">
        <v>45.0</v>
      </c>
    </row>
    <row r="70" ht="15.75" customHeight="1">
      <c r="A70" s="8" t="s">
        <v>76</v>
      </c>
      <c r="B70" s="8">
        <v>0.15</v>
      </c>
    </row>
    <row r="71" ht="15.75" customHeight="1">
      <c r="A71" s="8" t="s">
        <v>77</v>
      </c>
      <c r="B71" s="8">
        <v>0.3</v>
      </c>
    </row>
    <row r="72" ht="15.75" customHeight="1">
      <c r="A72" s="8" t="s">
        <v>78</v>
      </c>
      <c r="B72" s="8">
        <v>0.05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0"/>
    <col customWidth="1" min="2" max="2" width="10.25"/>
    <col customWidth="1" min="3" max="3" width="19.25"/>
    <col customWidth="1" min="4" max="4" width="18.75"/>
    <col customWidth="1" min="5" max="5" width="12.63"/>
    <col customWidth="1" min="6" max="6" width="9.75"/>
    <col customWidth="1" min="7" max="7" width="10.88"/>
    <col customWidth="1" min="8" max="8" width="9.38"/>
    <col customWidth="1" min="9" max="9" width="20.13"/>
    <col customWidth="1" min="10" max="10" width="15.5"/>
    <col customWidth="1" min="11" max="11" width="16.75"/>
    <col customWidth="1" min="12" max="12" width="24.75"/>
    <col customWidth="1" min="13" max="13" width="14.63"/>
    <col customWidth="1" min="14" max="14" width="20.25"/>
    <col customWidth="1" min="15" max="15" width="20.63"/>
    <col customWidth="1" min="16" max="16" width="17.0"/>
    <col customWidth="1" min="17" max="17" width="15.5"/>
    <col customWidth="1" min="18" max="18" width="20.25"/>
    <col customWidth="1" min="19" max="19" width="15.5"/>
    <col customWidth="1" min="20" max="20" width="16.0"/>
    <col customWidth="1" min="21" max="21" width="16.5"/>
    <col customWidth="1" min="22" max="22" width="23.38"/>
    <col customWidth="1" min="23" max="23" width="17.63"/>
    <col customWidth="1" min="24" max="24" width="19.38"/>
    <col customWidth="1" min="25" max="25" width="22.75"/>
    <col customWidth="1" min="26" max="26" width="15.38"/>
    <col customWidth="1" min="27" max="27" width="27.25"/>
    <col customWidth="1" min="28" max="28" width="21.5"/>
  </cols>
  <sheetData>
    <row r="1" ht="15.75" customHeight="1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96</v>
      </c>
      <c r="S1" s="4" t="s">
        <v>97</v>
      </c>
      <c r="T1" s="4" t="s">
        <v>98</v>
      </c>
      <c r="U1" s="4" t="s">
        <v>99</v>
      </c>
      <c r="V1" s="1" t="s">
        <v>100</v>
      </c>
      <c r="W1" s="1" t="s">
        <v>101</v>
      </c>
      <c r="X1" s="9" t="s">
        <v>102</v>
      </c>
      <c r="Y1" s="9" t="s">
        <v>103</v>
      </c>
      <c r="Z1" s="9" t="s">
        <v>104</v>
      </c>
      <c r="AA1" s="9" t="s">
        <v>105</v>
      </c>
      <c r="AB1" s="9" t="s">
        <v>106</v>
      </c>
    </row>
    <row r="2" ht="15.75" customHeight="1">
      <c r="A2" s="1">
        <v>18.0</v>
      </c>
      <c r="B2" s="10">
        <v>0.0</v>
      </c>
      <c r="C2" s="11">
        <f>ROUND(MIN(emp401kPct*B2, emp401kCap), 2)
</f>
        <v>0</v>
      </c>
      <c r="D2" s="11">
        <f>ROUND(er401kPct*B2, 2)
</f>
        <v>0</v>
      </c>
      <c r="E2" s="11">
        <f t="shared" ref="E2:E3" si="1">MAX(0, B2 - C2)
</f>
        <v>0</v>
      </c>
      <c r="F2" s="11">
        <f>SUMPRODUCT(
  FedRate_Single,
  IF(E2&gt;FedLower_Single,
     IF(E2&lt;FedUpper_Single, E2, FedUpper_Single) - FedLower_Single,
     0
  )
)
</f>
        <v>0</v>
      </c>
      <c r="G2" s="11">
        <f>ROUND(gaEff*E2, 2)
</f>
        <v>0</v>
      </c>
      <c r="H2" s="11">
        <f>IF(B2=0,0,
  ROUND(
    ssRate*MIN(B2, ssBase) +
    medRate*B2 +
    addlMedRate*MAX(0, B2 - addlMedThresh),
 2))
</f>
        <v>0</v>
      </c>
      <c r="I2" s="11">
        <f t="shared" ref="I2:I3" si="2">IF(B2=0,0,
  ROUND(B2 - C2 - F2 - G2 - H2, 2))
</f>
        <v>0</v>
      </c>
      <c r="J2" s="12">
        <v>0.0</v>
      </c>
      <c r="K2" s="11">
        <f>ROUND(($I2-$J2-$X2)*allocETF, 2) + IFERROR($P2, 0)
</f>
        <v>0</v>
      </c>
      <c r="L2" s="11">
        <f>ROUND( ($I2-$J2-$X2)*allocRE , 2)
</f>
        <v>0</v>
      </c>
      <c r="M2" s="11">
        <f>LET(
  cap_ratio, IFERROR(savings_cap_ratio, 0.75),
  cap_amt,   cap_ratio * $W2,
  start_sav, IFERROR(Balances!$S2, 0),
  base,      ROUND(($I2-$J2-$X2)*allocSav, 2),
  IF(start_sav &gt;= cap_amt, 0, base)
)
</f>
        <v>0</v>
      </c>
      <c r="N2" s="11">
        <f>IF($A2&lt;=capAge,
   MIN(
     ROUND( ($I2-$J2-$X2)*(1-allocETF-allocRE-allocSav), 2),
     capBase * (1 + inflation) ^ ($A2 - startAge)
   ),
   ROUND( ($I2-$J2-$X2)*(1-allocETF-allocRE-allocSav), 2)
)
</f>
        <v>0</v>
      </c>
      <c r="O2" s="11">
        <f>LET(
  cap_ratio, IFERROR(savings_cap_ratio, 0.75),
  cap_amt,   cap_ratio * $W2,
  start_sav, IFERROR(Balances!$S2, 0),
  base,      ROUND(($I2-$J2-$X2)*allocSav, 2),
  IF(start_sav &gt;= cap_amt, base, 0)
)
</f>
        <v>0</v>
      </c>
      <c r="P2" s="11">
        <f>IFERROR($O2 * IFERROR(surplus_to_ETF, 0.4), 0)
</f>
        <v>0</v>
      </c>
      <c r="Q2" s="11">
        <f>IFERROR($O2 * IFERROR(surplus_to_RE, 0.6), 0)
</f>
        <v>0</v>
      </c>
      <c r="R2" s="10">
        <f>IF($A2&lt;=capAge,
   MAX(
     0,
     ROUND(
       ($I2-$J2-$X2)*(1-allocETF-allocRE-allocSav)
       - capBase * (1 + inflation) ^ ($A2 - startAge),
     2)
   ),
   0
)
</f>
        <v>0</v>
      </c>
      <c r="S2" s="11">
        <f>IF(R2&gt;0, R2*lifeExcessToETF, 0)
</f>
        <v>0</v>
      </c>
      <c r="T2" s="11">
        <f>IF(R2&gt;0, R2*lifeExcessToLoan, 0)
</f>
        <v>0</v>
      </c>
      <c r="U2" s="11">
        <f t="shared" ref="U2:U49" si="3">ROUND( MIN( X2 + IFERROR(T2,0), AB2 + Y2 ), 2 )
</f>
        <v>0</v>
      </c>
      <c r="V2" s="11">
        <f t="array" ref="V2">LET(
  age,$A2,
  ti_prev,N($E1),
  gross,SUMIF('RE Amortization'!$E:$E,$A2,'RE Amortization'!$K:$K),
  fed_single,IFERROR(LOOKUP(ti_prev,N(Assumptions!$D$3:$D$9),N(Assumptions!$F$3:$F$9)),INDEX(N(Assumptions!$F$3:$F$9),1)),
  fed_married,IFERROR(LOOKUP(ti_prev,N(Assumptions!$D$13:$D$19),N(Assumptions!$F$13:$F$19)),INDEX(N(Assumptions!$F$13:$F$19),1)),
  fed_rate,IF(age&lt;MarriageAge,fed_single,fed_married),
  ROUND(gross*(1-fed_rate-gaEff),2)
)
</f>
        <v>0</v>
      </c>
      <c r="W2" s="13">
        <f t="shared" ref="W2:W49" si="4">IFERROR(N2 + V2, N2)
</f>
        <v>0</v>
      </c>
      <c r="X2" s="11">
        <f t="array" ref="X2">IF(
  AB2&lt;=0,0,
  IF(
    A2&lt;loanStartAge,0,
    MIN(
      AB2 + ROUND(AB2*loanRate,2),
      IF(A2=loanStartAge,
        cfiPayPct * I2,      
        -PMT(loanRate,loanTerm,INDEX($AB:$AB,MATCH(loanStartAge,$A:$A,0)))
      )
    )
  )
)
</f>
        <v>0</v>
      </c>
      <c r="Y2" s="9">
        <f>IF(AB2&lt;=0,0,ROUND(AB2*loanRate,2))
</f>
        <v>4000</v>
      </c>
      <c r="Z2" s="9">
        <f t="shared" ref="Z2:Z24" si="5">IF(OR(AB2&lt;=0,U2&lt;=0),0,ROUND(MIN(AB2+Y2,U2)-Y2,2))
</f>
        <v>0</v>
      </c>
      <c r="AA2" s="9">
        <f t="shared" ref="AA2:AA24" si="6">MAX(0,ROUND(AB2 + Y2 - U2,2))
</f>
        <v>84000</v>
      </c>
      <c r="AB2" s="9">
        <f>IF(A2=18, loanStartBal, OFFSET(AA2,-1,0))
</f>
        <v>80000</v>
      </c>
    </row>
    <row r="3" ht="15.75" customHeight="1">
      <c r="A3" s="1">
        <v>19.0</v>
      </c>
      <c r="B3" s="10">
        <v>0.0</v>
      </c>
      <c r="C3" s="11">
        <f>ROUND(MIN(emp401kPct*B3, emp401kCap), 2)
</f>
        <v>0</v>
      </c>
      <c r="D3" s="11">
        <f>ROUND(er401kPct*B3, 2)
</f>
        <v>0</v>
      </c>
      <c r="E3" s="11">
        <f t="shared" si="1"/>
        <v>0</v>
      </c>
      <c r="F3" s="11">
        <f>SUMPRODUCT(
  FedRate_Single,
  IF(E3&gt;FedLower_Single,
     IF(E3&lt;FedUpper_Single, E3, FedUpper_Single) - FedLower_Single,
     0
  )
)
</f>
        <v>0</v>
      </c>
      <c r="G3" s="11">
        <f>ROUND(gaEff*E3, 2)
</f>
        <v>0</v>
      </c>
      <c r="H3" s="11">
        <f>IF(B3=0,0,
  ROUND(
    ssRate*MIN(B3, ssBase) +
    medRate*B3 +
    addlMedRate*MAX(0, B3 - addlMedThresh),
 2))
</f>
        <v>0</v>
      </c>
      <c r="I3" s="11">
        <f t="shared" si="2"/>
        <v>0</v>
      </c>
      <c r="J3" s="12">
        <v>0.0</v>
      </c>
      <c r="K3" s="11">
        <f>ROUND(($I3-$J3-$X3)*allocETF, 2) + IFERROR($P3, 0)
</f>
        <v>0</v>
      </c>
      <c r="L3" s="11">
        <f>ROUND( ($I3-$J3-$X3)*allocRE , 2)
</f>
        <v>0</v>
      </c>
      <c r="M3" s="11">
        <f>LET(
  cap_ratio, IFERROR(savings_cap_ratio, 0.75),
  cap_amt,   cap_ratio * $W3,
  start_sav, IFERROR(Balances!$S3, 0),
  base,      ROUND(($I3-$J3-$X3)*allocSav, 2),
  IF(start_sav &gt;= cap_amt, 0, base)
)
</f>
        <v>0</v>
      </c>
      <c r="N3" s="11">
        <f>IF($A3&lt;=capAge,
   MIN(
     ROUND( ($I3-$J3-$X3)*(1-allocETF-allocRE-allocSav), 2),
     capBase * (1 + inflation) ^ ($A3 - startAge)
   ),
   ROUND( ($I3-$J3-$X3)*(1-allocETF-allocRE-allocSav), 2)
)
</f>
        <v>0</v>
      </c>
      <c r="O3" s="11">
        <f>LET(
  cap_ratio, IFERROR(savings_cap_ratio, 0.75),
  cap_amt,   cap_ratio * $W3,
  start_sav, IFERROR(Balances!$S3, 0),
  base,      ROUND(($I3-$J3-$X3)*allocSav, 2),
  IF(start_sav &gt;= cap_amt, base, 0)
)
</f>
        <v>0</v>
      </c>
      <c r="P3" s="11">
        <f>IFERROR($O3 * IFERROR(surplus_to_ETF, 0.4), 0)
</f>
        <v>0</v>
      </c>
      <c r="Q3" s="11">
        <f>IFERROR($O3 * IFERROR(surplus_to_RE, 0.6), 0)
</f>
        <v>0</v>
      </c>
      <c r="R3" s="10">
        <f>IF($A3&lt;=capAge,
   MAX(
     0,
     ROUND(
       ($I3-$J3-$X3)*(1-allocETF-allocRE-allocSav)
       - capBase * (1 + inflation) ^ ($A3 - startAge),
     2)
   ),
   0
)
</f>
        <v>0</v>
      </c>
      <c r="S3" s="11">
        <f>IF(R3&gt;0, R3*lifeExcessToETF, 0)
</f>
        <v>0</v>
      </c>
      <c r="T3" s="11">
        <f>IF(R3&gt;0, R3*lifeExcessToLoan, 0)
</f>
        <v>0</v>
      </c>
      <c r="U3" s="11">
        <f t="shared" si="3"/>
        <v>0</v>
      </c>
      <c r="V3" s="11">
        <f t="array" ref="V3">LET(
  age,$A3,
  ti_prev,N($E2),
  gross,SUMIF('RE Amortization'!$E:$E,$A3,'RE Amortization'!$K:$K),
  fed_single,IFERROR(LOOKUP(ti_prev,N(Assumptions!$D$3:$D$9),N(Assumptions!$F$3:$F$9)),INDEX(N(Assumptions!$F$3:$F$9),1)),
  fed_married,IFERROR(LOOKUP(ti_prev,N(Assumptions!$D$13:$D$19),N(Assumptions!$F$13:$F$19)),INDEX(N(Assumptions!$F$13:$F$19),1)),
  fed_rate,IF(age&lt;MarriageAge,fed_single,fed_married),
  ROUND(gross*(1-fed_rate-gaEff),2)
)
</f>
        <v>0</v>
      </c>
      <c r="W3" s="13">
        <f t="shared" si="4"/>
        <v>0</v>
      </c>
      <c r="X3" s="11">
        <f t="array" ref="X3">IF(
  AB3&lt;=0,0,
  IF(
    A3&lt;loanStartAge,0,
    MIN(
      AB3 + ROUND(AB3*loanRate,2),
      IF(A3=loanStartAge,
        cfiPayPct * I3,      
        -PMT(loanRate,loanTerm,INDEX($AB:$AB,MATCH(loanStartAge,$A:$A,0)))
      )
    )
  )
)
</f>
        <v>0</v>
      </c>
      <c r="Y3" s="9">
        <f>IF(AB3&lt;=0,0,ROUND(AB3*loanRate,2))
</f>
        <v>4200</v>
      </c>
      <c r="Z3" s="9">
        <f t="shared" si="5"/>
        <v>0</v>
      </c>
      <c r="AA3" s="9">
        <f t="shared" si="6"/>
        <v>88200</v>
      </c>
      <c r="AB3" s="9">
        <f>IF(A3=18, loanStartBal, OFFSET(AA3,-1,0))
</f>
        <v>84000</v>
      </c>
    </row>
    <row r="4" ht="15.75" customHeight="1">
      <c r="A4" s="1">
        <v>20.0</v>
      </c>
      <c r="B4" s="11">
        <v>40000.0</v>
      </c>
      <c r="C4" s="11">
        <v>0.0</v>
      </c>
      <c r="D4" s="12">
        <v>0.0</v>
      </c>
      <c r="E4" s="11">
        <f t="shared" ref="E4:E49" si="7">MAX(0, $B4 - $C4)
</f>
        <v>40000</v>
      </c>
      <c r="F4" s="11">
        <f>IFERROR(
  IF($A4 &lt; MarriageAge,
     SUMPRODUCT( ($E4&gt;FedLower_Single) * ((IF($E4&gt;FedUpper_Single, FedUpper_Single, $E4))-FedLower_Single) * FedRate_Single ),
     SUMPRODUCT( ($E4&gt;FedLower_Married) * ((IF($E4&gt;FedUpper_Married, FedUpper_Married, $E4))-FedLower_Married) * FedRate_Married )
  ),
0)
</f>
        <v>4551.88</v>
      </c>
      <c r="G4" s="11">
        <f>ROUND(gaEff*$E4, 2)
</f>
        <v>2076</v>
      </c>
      <c r="H4" s="11">
        <f>IF($B4=0,0,
  ROUND(
    ssRate*MIN($B4, ssBase) +
    medRate*$B4 +
    addlMedRate*MAX(0, $B4 - addlMedThresh),
 2))
</f>
        <v>3060</v>
      </c>
      <c r="I4" s="11">
        <f t="shared" ref="I4:I49" si="8">IF($B4=0,0,
  ROUND($B4 - $C4 - $F4 - $G4 - $H4, 2))
</f>
        <v>30312.12</v>
      </c>
      <c r="J4" s="12">
        <v>0.0</v>
      </c>
      <c r="K4" s="10">
        <v>0.0</v>
      </c>
      <c r="L4" s="10">
        <v>0.0</v>
      </c>
      <c r="M4" s="10">
        <v>0.0</v>
      </c>
      <c r="N4" s="11">
        <f>IF($A4&lt;=capAge,
   MIN(
     ROUND( ($I4-$J4-$X4)*(1-allocETF-allocRE-allocSav), 2),
     capBase * (1 + inflation) ^ ($A4 - startAge)
   ),
   ROUND( ($I4-$J4-$X4)*(1-allocETF-allocRE-allocSav), 2)
)
</f>
        <v>0</v>
      </c>
      <c r="O4" s="11">
        <f>LET(
  cap_ratio, IFERROR(savings_cap_ratio, 0.75),
  cap_amt,   cap_ratio * $W4,
  start_sav, IFERROR(Balances!$S4, 0),
  base,      ROUND(($I4-$J4-$X4)*allocSav, 2),
  IF(start_sav &gt;= cap_amt, base, 0)
)
</f>
        <v>0</v>
      </c>
      <c r="P4" s="11">
        <f>IFERROR($O4 * IFERROR(surplus_to_ETF, 0.4), 0)
</f>
        <v>0</v>
      </c>
      <c r="Q4" s="11">
        <f>IFERROR($O4 * IFERROR(surplus_to_RE, 0.6), 0)
</f>
        <v>0</v>
      </c>
      <c r="R4" s="10">
        <f>IF($A4&lt;=capAge,
   MAX(
     0,
     ROUND(
       ($I4-$J4-$X4)*(1-allocETF-allocRE-allocSav)
       - capBase * (1 + inflation) ^ ($A4 - startAge),
     2)
   ),
   0
)
</f>
        <v>0</v>
      </c>
      <c r="S4" s="11">
        <f>IF(R4&gt;0, R4*lifeExcessToETF, 0)
</f>
        <v>0</v>
      </c>
      <c r="T4" s="11">
        <f>IF(R4&gt;0, R4*lifeExcessToLoan, 0)
</f>
        <v>0</v>
      </c>
      <c r="U4" s="11">
        <f t="shared" si="3"/>
        <v>30312.12</v>
      </c>
      <c r="V4" s="11">
        <f t="array" ref="V4">LET(
  age,$A4,
  ti_prev,N($E3),
  gross,SUMIF('RE Amortization'!$E:$E,$A4,'RE Amortization'!$K:$K),
  fed_single,IFERROR(LOOKUP(ti_prev,N(Assumptions!$D$3:$D$9),N(Assumptions!$F$3:$F$9)),INDEX(N(Assumptions!$F$3:$F$9),1)),
  fed_married,IFERROR(LOOKUP(ti_prev,N(Assumptions!$D$13:$D$19),N(Assumptions!$F$13:$F$19)),INDEX(N(Assumptions!$F$13:$F$19),1)),
  fed_rate,IF(age&lt;MarriageAge,fed_single,fed_married),
  ROUND(gross*(1-fed_rate-gaEff),2)
)
</f>
        <v>0</v>
      </c>
      <c r="W4" s="13">
        <f t="shared" si="4"/>
        <v>0</v>
      </c>
      <c r="X4" s="11">
        <f t="array" ref="X4">IF(
  AB4&lt;=0,0,
  IF(
    A4&lt;loanStartAge,0,
    MIN(
      AB4 + ROUND(AB4*loanRate,2),
      IF(A4=loanStartAge,
        cfiPayPct * I4,      
        -PMT(loanRate,loanTerm,INDEX($AB:$AB,MATCH(loanStartAge,$A:$A,0)))
      )
    )
  )
)
</f>
        <v>30312.12</v>
      </c>
      <c r="Y4" s="9">
        <f>IF(AB4&lt;=0,0,ROUND(AB4*loanRate,2))
</f>
        <v>4410</v>
      </c>
      <c r="Z4" s="9">
        <f t="shared" si="5"/>
        <v>25902.12</v>
      </c>
      <c r="AA4" s="9">
        <f t="shared" si="6"/>
        <v>62297.88</v>
      </c>
      <c r="AB4" s="9">
        <f>IF(A4=18, loanStartBal, OFFSET(AA4,-1,0))
</f>
        <v>88200</v>
      </c>
    </row>
    <row r="5" ht="15.75" customHeight="1">
      <c r="A5" s="1">
        <v>21.0</v>
      </c>
      <c r="B5" s="11">
        <f>IFERROR(__xludf.DUMMYFUNCTION("IFERROR(
  INDEX( FILTER('Pilot Pay'!R:R, VALUE('Pilot Pay'!K:K)=VALUE($A5)) , 1 ),
  0
)
"),124695.53)</f>
        <v>124695.53</v>
      </c>
      <c r="C5" s="11">
        <f>ROUND(
  MIN($B5*emp401kPct, IF($A5&lt;catchAge, emp401kCap, emp401kCap_catch)),
2)
</f>
        <v>12469.55</v>
      </c>
      <c r="D5" s="11">
        <f>ROUND(
  MIN(
    MIN($B5*er401kPct, IF($A5&lt;catchAge, er401kCap_base, er401kCap_catch)),
    MAX(
      0,
      MIN($B5,
          IF($A5&gt;=specialCatchStartAge,
             IF($A5&lt;=specialCatchEndAge, total401kCap_60to63, total401kCap_50to59),
             IF($A5&gt;=catchAge, total401kCap_50to59, total401kCap_u50)
          )
      ) - $C5
    )
  ),
2)
</f>
        <v>22445.2</v>
      </c>
      <c r="E5" s="11">
        <f t="shared" si="7"/>
        <v>112225.98</v>
      </c>
      <c r="F5" s="11">
        <f>IFERROR(
  IF($A5 &lt; MarriageAge,
     SUMPRODUCT( ($E5&gt;FedLower_Single) * ((IF($E5&gt;FedUpper_Single, FedUpper_Single, $E5))-FedLower_Single) * FedRate_Single ),
     SUMPRODUCT( ($E5&gt;FedLower_Married) * ((IF($E5&gt;FedUpper_Married, FedUpper_Married, $E5))-FedLower_Married) * FedRate_Married )
  ),
0)
</f>
        <v>19531.6552</v>
      </c>
      <c r="G5" s="11">
        <f>ROUND(gaEff*$E5, 2)
</f>
        <v>5824.53</v>
      </c>
      <c r="H5" s="11">
        <f>IF($B5=0,0,
  ROUND(
    ssRate*MIN($B5, ssBase) +
    medRate*$B5 +
    addlMedRate*MAX(0, $B5 - addlMedThresh),
 2))
</f>
        <v>9539.21</v>
      </c>
      <c r="I5" s="11">
        <f t="shared" si="8"/>
        <v>77330.58</v>
      </c>
      <c r="J5" s="11">
        <f>ROUND(
  MIN(rothIRA, IF($A5&lt;catchAge, rothCap_base, rothCap_catch)),
2)
</f>
        <v>7000</v>
      </c>
      <c r="K5" s="11">
        <f>ROUND(($I5-$J5-$X5)*allocETF, 2) + IFERROR($P5, 0)
</f>
        <v>11781.66</v>
      </c>
      <c r="L5" s="11">
        <f>ROUND( ($I5-$J5-$X5)*allocRE , 2)
</f>
        <v>8836.24</v>
      </c>
      <c r="M5" s="11">
        <f>LET(
  cap_ratio, IFERROR(savings_cap_ratio, 0.75),
  cap_amt,   cap_ratio * $W5,
  start_sav, IFERROR(Balances!$S5, 0),
  base,      ROUND(($I5-$J5-$X5)*allocSav, 2),
  IF(start_sav &gt;= cap_amt, 0, base)
)
</f>
        <v>2945.41</v>
      </c>
      <c r="N5" s="11">
        <f>IF($A5&lt;=capAge,
   MIN(
     ROUND( ($I5-$J5-$X5)*(1-allocETF-allocRE-allocSav), 2),
     capBase * (1 + inflation) ^ ($A5 - startAge)
   ),
   ROUND( ($I5-$J5-$X5)*(1-allocETF-allocRE-allocSav), 2)
)
</f>
        <v>16971.12319</v>
      </c>
      <c r="O5" s="11">
        <f>LET(
  cap_ratio, IFERROR(savings_cap_ratio, 0.75),
  cap_amt,   cap_ratio * $W5,
  start_sav, IFERROR(Balances!$S5, 0),
  base,      ROUND(($I5-$J5-$X5)*allocSav, 2),
  IF(start_sav &gt;= cap_amt, base, 0)
)
</f>
        <v>0</v>
      </c>
      <c r="P5" s="11">
        <f>IFERROR($O5 * IFERROR(surplus_to_ETF, 0.4), 0)
</f>
        <v>0</v>
      </c>
      <c r="Q5" s="11">
        <f>IFERROR($O5 * IFERROR(surplus_to_RE, 0.6), 0)
</f>
        <v>0</v>
      </c>
      <c r="R5" s="10">
        <f>IF($A5&lt;=capAge,
   MAX(
     0,
     ROUND(
       ($I5-$J5-$X5)*(1-allocETF-allocRE-allocSav)
       - capBase * (1 + inflation) ^ ($A5 - startAge),
     2)
   ),
   0
)
</f>
        <v>18373.84</v>
      </c>
      <c r="S5" s="11">
        <f>IF(R5&gt;0, R5*lifeExcessToETF, 0)
</f>
        <v>0</v>
      </c>
      <c r="T5" s="11">
        <f>IF(R5&gt;0, R5*lifeExcessToLoan, 0)
</f>
        <v>18373.84</v>
      </c>
      <c r="U5" s="11">
        <f t="shared" si="3"/>
        <v>29796.14</v>
      </c>
      <c r="V5" s="11">
        <f t="array" ref="V5">LET(
  age,$A5,
  ti_prev,N($E4),
  gross,SUMIF('RE Amortization'!$E:$E,$A5,'RE Amortization'!$K:$K),
  fed_single,IFERROR(LOOKUP(ti_prev,N(Assumptions!$D$3:$D$9),N(Assumptions!$F$3:$F$9)),INDEX(N(Assumptions!$F$3:$F$9),1)),
  fed_married,IFERROR(LOOKUP(ti_prev,N(Assumptions!$D$13:$D$19),N(Assumptions!$F$13:$F$19)),INDEX(N(Assumptions!$F$13:$F$19),1)),
  fed_rate,IF(age&lt;MarriageAge,fed_single,fed_married),
  ROUND(gross*(1-fed_rate-gaEff),2)
)
</f>
        <v>0</v>
      </c>
      <c r="W5" s="13">
        <f t="shared" si="4"/>
        <v>16971.12319</v>
      </c>
      <c r="X5" s="11">
        <f t="array" ref="X5">IF(
  AB5&lt;=0,0,
  IF(
    A5&lt;loanStartAge,0,
    MIN(
      AB5 + ROUND(AB5*loanRate,2),
      IF(A5=loanStartAge,
        cfiPayPct * I5,      
        -PMT(loanRate,loanTerm,INDEX($AB:$AB,MATCH(loanStartAge,$A:$A,0)))
      )
    )
  )
)
</f>
        <v>11422.30351</v>
      </c>
      <c r="Y5" s="9">
        <f>IF(AB5&lt;=0,0,ROUND(AB5*loanRate,2))
</f>
        <v>3114.89</v>
      </c>
      <c r="Z5" s="9">
        <f t="shared" si="5"/>
        <v>26681.25</v>
      </c>
      <c r="AA5" s="9">
        <f t="shared" si="6"/>
        <v>35616.63</v>
      </c>
      <c r="AB5" s="9">
        <f>IF(A5=18, loanStartBal, OFFSET(AA5,-1,0))
</f>
        <v>62297.88</v>
      </c>
    </row>
    <row r="6" ht="15.75" customHeight="1">
      <c r="A6" s="1">
        <v>22.0</v>
      </c>
      <c r="B6" s="11">
        <f>IFERROR(__xludf.DUMMYFUNCTION("IFERROR(
  INDEX( FILTER('Pilot Pay'!R:R, VALUE('Pilot Pay'!K:K)=VALUE($A6)) , 1 ),
  0
)
"),127812.92)</f>
        <v>127812.92</v>
      </c>
      <c r="C6" s="11">
        <f>ROUND(
  MIN($B6*emp401kPct, IF($A6&lt;catchAge, emp401kCap, emp401kCap_catch)),
2)
</f>
        <v>12781.29</v>
      </c>
      <c r="D6" s="11">
        <f>ROUND(
  MIN(
    MIN($B6*er401kPct, IF($A6&lt;catchAge, er401kCap_base, er401kCap_catch)),
    MAX(
      0,
      MIN($B6,
          IF($A6&gt;=specialCatchStartAge,
             IF($A6&lt;=specialCatchEndAge, total401kCap_60to63, total401kCap_50to59),
             IF($A6&gt;=catchAge, total401kCap_50to59, total401kCap_u50)
          )
      ) - $C6
    )
  ),
2)
</f>
        <v>23006.33</v>
      </c>
      <c r="E6" s="11">
        <f t="shared" si="7"/>
        <v>115031.63</v>
      </c>
      <c r="F6" s="11">
        <f>IFERROR(
  IF($A6 &lt; MarriageAge,
     SUMPRODUCT( ($E6&gt;FedLower_Single) * ((IF($E6&gt;FedUpper_Single, FedUpper_Single, $E6))-FedLower_Single) * FedRate_Single ),
     SUMPRODUCT( ($E6&gt;FedLower_Married) * ((IF($E6&gt;FedUpper_Married, FedUpper_Married, $E6))-FedLower_Married) * FedRate_Married )
  ),
0)
</f>
        <v>20205.0112</v>
      </c>
      <c r="G6" s="11">
        <f>ROUND(gaEff*$E6, 2)
</f>
        <v>5970.14</v>
      </c>
      <c r="H6" s="11">
        <f>IF($B6=0,0,
  ROUND(
    ssRate*MIN($B6, ssBase) +
    medRate*$B6 +
    addlMedRate*MAX(0, $B6 - addlMedThresh),
 2))
</f>
        <v>9777.69</v>
      </c>
      <c r="I6" s="11">
        <f t="shared" si="8"/>
        <v>79078.79</v>
      </c>
      <c r="J6" s="11">
        <f>ROUND(
  MIN(rothIRA, IF($A6&lt;catchAge, rothCap_base, rothCap_catch)),
2)
</f>
        <v>7000</v>
      </c>
      <c r="K6" s="11">
        <f>ROUND(($I6-$J6-$X6)*allocETF, 2) + IFERROR($P6, 0)
</f>
        <v>12131.3</v>
      </c>
      <c r="L6" s="11">
        <f>ROUND( ($I6-$J6-$X6)*allocRE , 2)
</f>
        <v>9098.47</v>
      </c>
      <c r="M6" s="11">
        <f>LET(
  cap_ratio, IFERROR(savings_cap_ratio, 0.75),
  cap_amt,   cap_ratio * $W6,
  start_sav, IFERROR(Balances!$S6, 0),
  base,      ROUND(($I6-$J6-$X6)*allocSav, 2),
  IF(start_sav &gt;= cap_amt, 0, base)
)
</f>
        <v>3032.82</v>
      </c>
      <c r="N6" s="11">
        <f>IF($A6&lt;=capAge,
   MIN(
     ROUND( ($I6-$J6-$X6)*(1-allocETF-allocRE-allocSav), 2),
     capBase * (1 + inflation) ^ ($A6 - startAge)
   ),
   ROUND( ($I6-$J6-$X6)*(1-allocETF-allocRE-allocSav), 2)
)
</f>
        <v>17395.40127</v>
      </c>
      <c r="O6" s="11">
        <f>LET(
  cap_ratio, IFERROR(savings_cap_ratio, 0.75),
  cap_amt,   cap_ratio * $W6,
  start_sav, IFERROR(Balances!$S6, 0),
  base,      ROUND(($I6-$J6-$X6)*allocSav, 2),
  IF(start_sav &gt;= cap_amt, base, 0)
)
</f>
        <v>0</v>
      </c>
      <c r="P6" s="11">
        <f>IFERROR($O6 * IFERROR(surplus_to_ETF, 0.4), 0)
</f>
        <v>0</v>
      </c>
      <c r="Q6" s="11">
        <f>IFERROR($O6 * IFERROR(surplus_to_RE, 0.6), 0)
</f>
        <v>0</v>
      </c>
      <c r="R6" s="10">
        <f>IF($A6&lt;=capAge,
   MAX(
     0,
     ROUND(
       ($I6-$J6-$X6)*(1-allocETF-allocRE-allocSav)
       - capBase * (1 + inflation) ^ ($A6 - startAge),
     2)
   ),
   0
)
</f>
        <v>18998.49</v>
      </c>
      <c r="S6" s="11">
        <f>IF(R6&gt;0, R6*lifeExcessToETF, 0)
</f>
        <v>0</v>
      </c>
      <c r="T6" s="11">
        <f>IF(R6&gt;0, R6*lifeExcessToLoan, 0)
</f>
        <v>18998.49</v>
      </c>
      <c r="U6" s="11">
        <f t="shared" si="3"/>
        <v>30420.79</v>
      </c>
      <c r="V6" s="11">
        <f t="array" ref="V6">LET(
  age,$A6,
  ti_prev,N($E5),
  gross,SUMIF('RE Amortization'!$E:$E,$A6,'RE Amortization'!$K:$K),
  fed_single,IFERROR(LOOKUP(ti_prev,N(Assumptions!$D$3:$D$9),N(Assumptions!$F$3:$F$9)),INDEX(N(Assumptions!$F$3:$F$9),1)),
  fed_married,IFERROR(LOOKUP(ti_prev,N(Assumptions!$D$13:$D$19),N(Assumptions!$F$13:$F$19)),INDEX(N(Assumptions!$F$13:$F$19),1)),
  fed_rate,IF(age&lt;MarriageAge,fed_single,fed_married),
  ROUND(gross*(1-fed_rate-gaEff),2)
)
</f>
        <v>0</v>
      </c>
      <c r="W6" s="13">
        <f t="shared" si="4"/>
        <v>17395.40127</v>
      </c>
      <c r="X6" s="11">
        <f t="array" ref="X6">IF(
  AB6&lt;=0,0,
  IF(
    A6&lt;loanStartAge,0,
    MIN(
      AB6 + ROUND(AB6*loanRate,2),
      IF(A6=loanStartAge,
        cfiPayPct * I6,      
        -PMT(loanRate,loanTerm,INDEX($AB:$AB,MATCH(loanStartAge,$A:$A,0)))
      )
    )
  )
)
</f>
        <v>11422.30351</v>
      </c>
      <c r="Y6" s="9">
        <f>IF(AB6&lt;=0,0,ROUND(AB6*loanRate,2))
</f>
        <v>1780.83</v>
      </c>
      <c r="Z6" s="9">
        <f t="shared" si="5"/>
        <v>28639.96</v>
      </c>
      <c r="AA6" s="9">
        <f t="shared" si="6"/>
        <v>6976.67</v>
      </c>
      <c r="AB6" s="9">
        <f>IF(A6=18, loanStartBal, OFFSET(AA6,-1,0))
</f>
        <v>35616.63</v>
      </c>
    </row>
    <row r="7" ht="15.75" customHeight="1">
      <c r="A7" s="1">
        <v>23.0</v>
      </c>
      <c r="B7" s="11">
        <f>IFERROR(__xludf.DUMMYFUNCTION("IFERROR(
  INDEX( FILTER('Pilot Pay'!R:R, VALUE('Pilot Pay'!K:K)=VALUE($A7)) , 1 ),
  0
)
"),131008.25)</f>
        <v>131008.25</v>
      </c>
      <c r="C7" s="11">
        <f>ROUND(
  MIN($B7*emp401kPct, IF($A7&lt;catchAge, emp401kCap, emp401kCap_catch)),
2)
</f>
        <v>13100.83</v>
      </c>
      <c r="D7" s="11">
        <f>ROUND(
  MIN(
    MIN($B7*er401kPct, IF($A7&lt;catchAge, er401kCap_base, er401kCap_catch)),
    MAX(
      0,
      MIN($B7,
          IF($A7&gt;=specialCatchStartAge,
             IF($A7&lt;=specialCatchEndAge, total401kCap_60to63, total401kCap_50to59),
             IF($A7&gt;=catchAge, total401kCap_50to59, total401kCap_u50)
          )
      ) - $C7
    )
  ),
2)
</f>
        <v>23581.49</v>
      </c>
      <c r="E7" s="11">
        <f t="shared" si="7"/>
        <v>117907.42</v>
      </c>
      <c r="F7" s="11">
        <f>IFERROR(
  IF($A7 &lt; MarriageAge,
     SUMPRODUCT( ($E7&gt;FedLower_Single) * ((IF($E7&gt;FedUpper_Single, FedUpper_Single, $E7))-FedLower_Single) * FedRate_Single ),
     SUMPRODUCT( ($E7&gt;FedLower_Married) * ((IF($E7&gt;FedUpper_Married, FedUpper_Married, $E7))-FedLower_Married) * FedRate_Married )
  ),
0)
</f>
        <v>20895.2008</v>
      </c>
      <c r="G7" s="11">
        <f>ROUND(gaEff*$E7, 2)
</f>
        <v>6119.4</v>
      </c>
      <c r="H7" s="11">
        <f>IF($B7=0,0,
  ROUND(
    ssRate*MIN($B7, ssBase) +
    medRate*$B7 +
    addlMedRate*MAX(0, $B7 - addlMedThresh),
 2))
</f>
        <v>10022.13</v>
      </c>
      <c r="I7" s="11">
        <f t="shared" si="8"/>
        <v>80870.69</v>
      </c>
      <c r="J7" s="11">
        <f>ROUND(
  MIN(rothIRA, IF($A7&lt;catchAge, rothCap_base, rothCap_catch)),
2)
</f>
        <v>7000</v>
      </c>
      <c r="K7" s="11">
        <f>ROUND(($I7-$J7-$X7)*allocETF, 2) + IFERROR($P7, 0)
</f>
        <v>13309.04</v>
      </c>
      <c r="L7" s="11">
        <f>ROUND( ($I7-$J7-$X7)*allocRE , 2)
</f>
        <v>9981.78</v>
      </c>
      <c r="M7" s="11">
        <f>LET(
  cap_ratio, IFERROR(savings_cap_ratio, 0.75),
  cap_amt,   cap_ratio * $W7,
  start_sav, IFERROR(Balances!$S7, 0),
  base,      ROUND(($I7-$J7-$X7)*allocSav, 2),
  IF(start_sav &gt;= cap_amt, 0, base)
)
</f>
        <v>3327.26</v>
      </c>
      <c r="N7" s="11">
        <f>IF($A7&lt;=capAge,
   MIN(
     ROUND( ($I7-$J7-$X7)*(1-allocETF-allocRE-allocSav), 2),
     capBase * (1 + inflation) ^ ($A7 - startAge)
   ),
   ROUND( ($I7-$J7-$X7)*(1-allocETF-allocRE-allocSav), 2)
)
</f>
        <v>39927.11</v>
      </c>
      <c r="O7" s="11">
        <f>LET(
  cap_ratio, IFERROR(savings_cap_ratio, 0.75),
  cap_amt,   cap_ratio * $W7,
  start_sav, IFERROR(Balances!$S7, 0),
  base,      ROUND(($I7-$J7-$X7)*allocSav, 2),
  IF(start_sav &gt;= cap_amt, base, 0)
)
</f>
        <v>0</v>
      </c>
      <c r="P7" s="11">
        <f>IFERROR($O7 * IFERROR(surplus_to_ETF, 0.4), 0)
</f>
        <v>0</v>
      </c>
      <c r="Q7" s="11">
        <f>IFERROR($O7 * IFERROR(surplus_to_RE, 0.6), 0)
</f>
        <v>0</v>
      </c>
      <c r="R7" s="10">
        <f>IF($A7&lt;=capAge,
   MAX(
     0,
     ROUND(
       ($I7-$J7-$X7)*(1-allocETF-allocRE-allocSav)
       - capBase * (1 + inflation) ^ ($A7 - startAge),
     2)
   ),
   0
)
</f>
        <v>0</v>
      </c>
      <c r="S7" s="11">
        <f>IF(R7&gt;0, R7*lifeExcessToETF, 0)
</f>
        <v>0</v>
      </c>
      <c r="T7" s="11">
        <f>IF(R7&gt;0, R7*lifeExcessToLoan, 0)
</f>
        <v>0</v>
      </c>
      <c r="U7" s="11">
        <f t="shared" si="3"/>
        <v>7325.5</v>
      </c>
      <c r="V7" s="11">
        <f t="array" ref="V7">LET(
  age,$A7,
  ti_prev,N($E6),
  gross,SUMIF('RE Amortization'!$E:$E,$A7,'RE Amortization'!$K:$K),
  fed_single,IFERROR(LOOKUP(ti_prev,N(Assumptions!$D$3:$D$9),N(Assumptions!$F$3:$F$9)),INDEX(N(Assumptions!$F$3:$F$9),1)),
  fed_married,IFERROR(LOOKUP(ti_prev,N(Assumptions!$D$13:$D$19),N(Assumptions!$F$13:$F$19)),INDEX(N(Assumptions!$F$13:$F$19),1)),
  fed_rate,IF(age&lt;MarriageAge,fed_single,fed_married),
  ROUND(gross*(1-fed_rate-gaEff),2)
)
</f>
        <v>0</v>
      </c>
      <c r="W7" s="13">
        <f t="shared" si="4"/>
        <v>39927.11</v>
      </c>
      <c r="X7" s="11">
        <f t="array" ref="X7">IF(
  AB7&lt;=0,0,
  IF(
    A7&lt;loanStartAge,0,
    MIN(
      AB7 + ROUND(AB7*loanRate,2),
      IF(A7=loanStartAge,
        cfiPayPct * I7,      
        -PMT(loanRate,loanTerm,INDEX($AB:$AB,MATCH(loanStartAge,$A:$A,0)))
      )
    )
  )
)
</f>
        <v>7325.5</v>
      </c>
      <c r="Y7" s="9">
        <f>IF(AB7&lt;=0,0,ROUND(AB7*loanRate,2))
</f>
        <v>348.83</v>
      </c>
      <c r="Z7" s="9">
        <f t="shared" si="5"/>
        <v>6976.67</v>
      </c>
      <c r="AA7" s="9">
        <f t="shared" si="6"/>
        <v>0</v>
      </c>
      <c r="AB7" s="9">
        <f>IF(A7=18, loanStartBal, OFFSET(AA7,-1,0))
</f>
        <v>6976.67</v>
      </c>
    </row>
    <row r="8" ht="15.75" customHeight="1">
      <c r="A8" s="1">
        <v>24.0</v>
      </c>
      <c r="B8" s="11">
        <f>IFERROR(__xludf.DUMMYFUNCTION("IFERROR(
  INDEX( FILTER('Pilot Pay'!R:R, VALUE('Pilot Pay'!K:K)=VALUE($A8)) , 1 ),
  0
)
"),212487.09)</f>
        <v>212487.09</v>
      </c>
      <c r="C8" s="11">
        <f>ROUND(
  MIN($B8*emp401kPct, IF($A8&lt;catchAge, emp401kCap, emp401kCap_catch)),
2)
</f>
        <v>21248.71</v>
      </c>
      <c r="D8" s="11">
        <f>ROUND(
  MIN(
    MIN($B8*er401kPct, IF($A8&lt;catchAge, er401kCap_base, er401kCap_catch)),
    MAX(
      0,
      MIN($B8,
          IF($A8&gt;=specialCatchStartAge,
             IF($A8&lt;=specialCatchEndAge, total401kCap_60to63, total401kCap_50to59),
             IF($A8&gt;=catchAge, total401kCap_50to59, total401kCap_u50)
          )
      ) - $C8
    )
  ),
2)
</f>
        <v>38247.68</v>
      </c>
      <c r="E8" s="11">
        <f t="shared" si="7"/>
        <v>191238.38</v>
      </c>
      <c r="F8" s="11">
        <f>IFERROR(
  IF($A8 &lt; MarriageAge,
     SUMPRODUCT( ($E8&gt;FedLower_Single) * ((IF($E8&gt;FedUpper_Single, FedUpper_Single, $E8))-FedLower_Single) * FedRate_Single ),
     SUMPRODUCT( ($E8&gt;FedLower_Married) * ((IF($E8&gt;FedUpper_Married, FedUpper_Married, $E8))-FedLower_Married) * FedRate_Married )
  ),
0)
</f>
        <v>38494.6312</v>
      </c>
      <c r="G8" s="11">
        <f>ROUND(gaEff*$E8, 2)
</f>
        <v>9925.27</v>
      </c>
      <c r="H8" s="11">
        <f>IF($B8=0,0,
  ROUND(
    ssRate*MIN($B8, ssBase) +
    medRate*$B8 +
    addlMedRate*MAX(0, $B8 - addlMedThresh),
 2))
</f>
        <v>14576.65</v>
      </c>
      <c r="I8" s="11">
        <f t="shared" si="8"/>
        <v>128241.83</v>
      </c>
      <c r="J8" s="11">
        <f>ROUND(
  MIN(rothIRA, IF($A8&lt;catchAge, rothCap_base, rothCap_catch)),
2)
</f>
        <v>7000</v>
      </c>
      <c r="K8" s="11">
        <f>ROUND(($I8-$J8-$X8)*allocETF, 2) + IFERROR($P8, 0)
</f>
        <v>24248.37</v>
      </c>
      <c r="L8" s="11">
        <f>ROUND( ($I8-$J8-$X8)*allocRE , 2)
</f>
        <v>18186.27</v>
      </c>
      <c r="M8" s="11">
        <f>LET(
  cap_ratio, IFERROR(savings_cap_ratio, 0.75),
  cap_amt,   cap_ratio * $W8,
  start_sav, IFERROR(Balances!$S8, 0),
  base,      ROUND(($I8-$J8-$X8)*allocSav, 2),
  IF(start_sav &gt;= cap_amt, 0, base)
)
</f>
        <v>6062.09</v>
      </c>
      <c r="N8" s="11">
        <f>IF($A8&lt;=capAge,
   MIN(
     ROUND( ($I8-$J8-$X8)*(1-allocETF-allocRE-allocSav), 2),
     capBase * (1 + inflation) ^ ($A8 - startAge)
   ),
   ROUND( ($I8-$J8-$X8)*(1-allocETF-allocRE-allocSav), 2)
)
</f>
        <v>72745.1</v>
      </c>
      <c r="O8" s="11">
        <f>LET(
  cap_ratio, IFERROR(savings_cap_ratio, 0.75),
  cap_amt,   cap_ratio * $W8,
  start_sav, IFERROR(Balances!$S8, 0),
  base,      ROUND(($I8-$J8-$X8)*allocSav, 2),
  IF(start_sav &gt;= cap_amt, base, 0)
)
</f>
        <v>0</v>
      </c>
      <c r="P8" s="11">
        <f>IFERROR($O8 * IFERROR(surplus_to_ETF, 0.4), 0)
</f>
        <v>0</v>
      </c>
      <c r="Q8" s="11">
        <f>IFERROR($O8 * IFERROR(surplus_to_RE, 0.6), 0)
</f>
        <v>0</v>
      </c>
      <c r="R8" s="10">
        <f>IF($A8&lt;=capAge,
   MAX(
     0,
     ROUND(
       ($I8-$J8-$X8)*(1-allocETF-allocRE-allocSav)
       - capBase * (1 + inflation) ^ ($A8 - startAge),
     2)
   ),
   0
)
</f>
        <v>0</v>
      </c>
      <c r="S8" s="11">
        <f>IF(R8&gt;0, R8*lifeExcessToETF, 0)
</f>
        <v>0</v>
      </c>
      <c r="T8" s="11">
        <f>IF(R8&gt;0, R8*lifeExcessToLoan, 0)
</f>
        <v>0</v>
      </c>
      <c r="U8" s="11">
        <f t="shared" si="3"/>
        <v>0</v>
      </c>
      <c r="V8" s="11">
        <f t="array" ref="V8">LET(
  age,$A8,
  ti_prev,N($E7),
  gross,SUMIF('RE Amortization'!$E:$E,$A8,'RE Amortization'!$K:$K),
  fed_single,IFERROR(LOOKUP(ti_prev,N(Assumptions!$D$3:$D$9),N(Assumptions!$F$3:$F$9)),INDEX(N(Assumptions!$F$3:$F$9),1)),
  fed_married,IFERROR(LOOKUP(ti_prev,N(Assumptions!$D$13:$D$19),N(Assumptions!$F$13:$F$19)),INDEX(N(Assumptions!$F$13:$F$19),1)),
  fed_rate,IF(age&lt;MarriageAge,fed_single,fed_married),
  ROUND(gross*(1-fed_rate-gaEff),2)
)
</f>
        <v>0</v>
      </c>
      <c r="W8" s="13">
        <f t="shared" si="4"/>
        <v>72745.1</v>
      </c>
      <c r="X8" s="11">
        <f t="array" ref="X8">IF(
  AB8&lt;=0,0,
  IF(
    A8&lt;loanStartAge,0,
    MIN(
      AB8 + ROUND(AB8*loanRate,2),
      IF(A8=loanStartAge,
        cfiPayPct * I8,      
        -PMT(loanRate,loanTerm,INDEX($AB:$AB,MATCH(loanStartAge,$A:$A,0)))
      )
    )
  )
)
</f>
        <v>0</v>
      </c>
      <c r="Y8" s="9">
        <f>IF(AB8&lt;=0,0,ROUND(AB8*loanRate,2))
</f>
        <v>0</v>
      </c>
      <c r="Z8" s="9">
        <f t="shared" si="5"/>
        <v>0</v>
      </c>
      <c r="AA8" s="9">
        <f t="shared" si="6"/>
        <v>0</v>
      </c>
      <c r="AB8" s="9">
        <f>IF(A8=18, loanStartBal, OFFSET(AA8,-1,0))
</f>
        <v>0</v>
      </c>
    </row>
    <row r="9" ht="15.75" customHeight="1">
      <c r="A9" s="1">
        <v>25.0</v>
      </c>
      <c r="B9" s="11">
        <f>IFERROR(__xludf.DUMMYFUNCTION("IFERROR(
  INDEX( FILTER('Pilot Pay'!R:R, VALUE('Pilot Pay'!K:K)=VALUE($A9)) , 1 ),
  0
)
"),247669.63)</f>
        <v>247669.63</v>
      </c>
      <c r="C9" s="11">
        <f>ROUND(
  MIN($B9*emp401kPct, IF($A9&lt;catchAge, emp401kCap, emp401kCap_catch)),
2)
</f>
        <v>24500</v>
      </c>
      <c r="D9" s="11">
        <f>ROUND(
  MIN(
    MIN($B9*er401kPct, IF($A9&lt;catchAge, er401kCap_base, er401kCap_catch)),
    MAX(
      0,
      MIN($B9,
          IF($A9&gt;=specialCatchStartAge,
             IF($A9&lt;=specialCatchEndAge, total401kCap_60to63, total401kCap_50to59),
             IF($A9&gt;=catchAge, total401kCap_50to59, total401kCap_u50)
          )
      ) - $C9
    )
  ),
2)
</f>
        <v>43500</v>
      </c>
      <c r="E9" s="11">
        <f t="shared" si="7"/>
        <v>223169.63</v>
      </c>
      <c r="F9" s="11">
        <f>IFERROR(
  IF($A9 &lt; MarriageAge,
     SUMPRODUCT( ($E9&gt;FedLower_Single) * ((IF($E9&gt;FedUpper_Single, FedUpper_Single, $E9))-FedLower_Single) * FedRate_Single ),
     SUMPRODUCT( ($E9&gt;FedLower_Married) * ((IF($E9&gt;FedUpper_Married, FedUpper_Married, $E9))-FedLower_Married) * FedRate_Married )
  ),
0)
</f>
        <v>47869.3816</v>
      </c>
      <c r="G9" s="11">
        <f>ROUND(gaEff*$E9, 2)
</f>
        <v>11582.5</v>
      </c>
      <c r="H9" s="11">
        <f>IF($B9=0,0,
  ROUND(
    ssRate*MIN($B9, ssBase) +
    medRate*$B9 +
    addlMedRate*MAX(0, $B9 - addlMedThresh),
 2))
</f>
        <v>15403.44</v>
      </c>
      <c r="I9" s="11">
        <f t="shared" si="8"/>
        <v>148314.31</v>
      </c>
      <c r="J9" s="11">
        <f>ROUND(
  MIN(rothIRA, IF($A9&lt;catchAge, rothCap_base, rothCap_catch)),
2)
</f>
        <v>7000</v>
      </c>
      <c r="K9" s="11">
        <f>ROUND(($I9-$J9-$X9)*allocETF, 2) + IFERROR($P9, 0)
</f>
        <v>28262.86</v>
      </c>
      <c r="L9" s="11">
        <f>ROUND( ($I9-$J9-$X9)*allocRE , 2)
</f>
        <v>21197.15</v>
      </c>
      <c r="M9" s="11">
        <f>LET(
  cap_ratio, IFERROR(savings_cap_ratio, 0.75),
  cap_amt,   cap_ratio * $W9,
  start_sav, IFERROR(Balances!$S9, 0),
  base,      ROUND(($I9-$J9-$X9)*allocSav, 2),
  IF(start_sav &gt;= cap_amt, 0, base)
)
</f>
        <v>7065.72</v>
      </c>
      <c r="N9" s="11">
        <f>IF($A9&lt;=capAge,
   MIN(
     ROUND( ($I9-$J9-$X9)*(1-allocETF-allocRE-allocSav), 2),
     capBase * (1 + inflation) ^ ($A9 - startAge)
   ),
   ROUND( ($I9-$J9-$X9)*(1-allocETF-allocRE-allocSav), 2)
)
</f>
        <v>84788.59</v>
      </c>
      <c r="O9" s="11">
        <f>LET(
  cap_ratio, IFERROR(savings_cap_ratio, 0.75),
  cap_amt,   cap_ratio * $W9,
  start_sav, IFERROR(Balances!$S9, 0),
  base,      ROUND(($I9-$J9-$X9)*allocSav, 2),
  IF(start_sav &gt;= cap_amt, base, 0)
)
</f>
        <v>0</v>
      </c>
      <c r="P9" s="11">
        <f>IFERROR($O9 * IFERROR(surplus_to_ETF, 0.4), 0)
</f>
        <v>0</v>
      </c>
      <c r="Q9" s="11">
        <f>IFERROR($O9 * IFERROR(surplus_to_RE, 0.6), 0)
</f>
        <v>0</v>
      </c>
      <c r="R9" s="10">
        <f>IF($A9&lt;=capAge,
   MAX(
     0,
     ROUND(
       ($I9-$J9-$X9)*(1-allocETF-allocRE-allocSav)
       - capBase * (1 + inflation) ^ ($A9 - startAge),
     2)
   ),
   0
)
</f>
        <v>0</v>
      </c>
      <c r="S9" s="11">
        <f>IF(R9&gt;0, R9*lifeExcessToETF, 0)
</f>
        <v>0</v>
      </c>
      <c r="T9" s="11">
        <f>IF(R9&gt;0, R9*lifeExcessToLoan, 0)
</f>
        <v>0</v>
      </c>
      <c r="U9" s="11">
        <f t="shared" si="3"/>
        <v>0</v>
      </c>
      <c r="V9" s="11">
        <f t="array" ref="V9">LET(
  age,$A9,
  ti_prev,N($E8),
  gross,SUMIF('RE Amortization'!$E:$E,$A9,'RE Amortization'!$K:$K),
  fed_single,IFERROR(LOOKUP(ti_prev,N(Assumptions!$D$3:$D$9),N(Assumptions!$F$3:$F$9)),INDEX(N(Assumptions!$F$3:$F$9),1)),
  fed_married,IFERROR(LOOKUP(ti_prev,N(Assumptions!$D$13:$D$19),N(Assumptions!$F$13:$F$19)),INDEX(N(Assumptions!$F$13:$F$19),1)),
  fed_rate,IF(age&lt;MarriageAge,fed_single,fed_married),
  ROUND(gross*(1-fed_rate-gaEff),2)
)
</f>
        <v>0</v>
      </c>
      <c r="W9" s="13">
        <f t="shared" si="4"/>
        <v>84788.59</v>
      </c>
      <c r="X9" s="11">
        <f t="array" ref="X9">IF(
  AB9&lt;=0,0,
  IF(
    A9&lt;loanStartAge,0,
    MIN(
      AB9 + ROUND(AB9*loanRate,2),
      IF(A9=loanStartAge,
        cfiPayPct * I9,      
        -PMT(loanRate,loanTerm,INDEX($AB:$AB,MATCH(loanStartAge,$A:$A,0)))
      )
    )
  )
)
</f>
        <v>0</v>
      </c>
      <c r="Y9" s="9">
        <f>IF(AB9&lt;=0,0,ROUND(AB9*loanRate,2))
</f>
        <v>0</v>
      </c>
      <c r="Z9" s="9">
        <f t="shared" si="5"/>
        <v>0</v>
      </c>
      <c r="AA9" s="9">
        <f t="shared" si="6"/>
        <v>0</v>
      </c>
      <c r="AB9" s="9">
        <f>IF(A9=18, loanStartBal, OFFSET(AA9,-1,0))
</f>
        <v>0</v>
      </c>
    </row>
    <row r="10" ht="15.75" customHeight="1">
      <c r="A10" s="1">
        <v>26.0</v>
      </c>
      <c r="B10" s="11">
        <f>IFERROR(__xludf.DUMMYFUNCTION("IFERROR(
  INDEX( FILTER('Pilot Pay'!R:R, VALUE('Pilot Pay'!K:K)=VALUE($A10)) , 1 ),
  0
)
"),403485.15)</f>
        <v>403485.15</v>
      </c>
      <c r="C10" s="11">
        <f>ROUND(
  MIN($B10*emp401kPct, IF($A10&lt;catchAge, emp401kCap, emp401kCap_catch)),
2)
</f>
        <v>24500</v>
      </c>
      <c r="D10" s="11">
        <f>ROUND(
  MIN(
    MIN($B10*er401kPct, IF($A10&lt;catchAge, er401kCap_base, er401kCap_catch)),
    MAX(
      0,
      MIN($B10,
          IF($A10&gt;=specialCatchStartAge,
             IF($A10&lt;=specialCatchEndAge, total401kCap_60to63, total401kCap_50to59),
             IF($A10&gt;=catchAge, total401kCap_50to59, total401kCap_u50)
          )
      ) - $C10
    )
  ),
2)
</f>
        <v>43500</v>
      </c>
      <c r="E10" s="11">
        <f t="shared" si="7"/>
        <v>378985.15</v>
      </c>
      <c r="F10" s="11">
        <f>IFERROR(
  IF($A10 &lt; MarriageAge,
     SUMPRODUCT( ($E10&gt;FedLower_Single) * ((IF($E10&gt;FedUpper_Single, FedUpper_Single, $E10))-FedLower_Single) * FedRate_Single ),
     SUMPRODUCT( ($E10&gt;FedLower_Married) * ((IF($E10&gt;FedUpper_Married, FedUpper_Married, $E10))-FedLower_Married) * FedRate_Married )
  ),
0)
</f>
        <v>101412.8025</v>
      </c>
      <c r="G10" s="11">
        <f>ROUND(gaEff*$E10, 2)
</f>
        <v>19669.33</v>
      </c>
      <c r="H10" s="11">
        <f>IF($B10=0,0,
  ROUND(
    ssRate*MIN($B10, ssBase) +
    medRate*$B10 +
    addlMedRate*MAX(0, $B10 - addlMedThresh),
 2))
</f>
        <v>19065.1</v>
      </c>
      <c r="I10" s="11">
        <f t="shared" si="8"/>
        <v>238837.92</v>
      </c>
      <c r="J10" s="11">
        <f>ROUND(
  MIN(rothIRA, IF($A10&lt;catchAge, rothCap_base, rothCap_catch)),
2)
</f>
        <v>7000</v>
      </c>
      <c r="K10" s="11">
        <f>ROUND(($I10-$J10-$X10)*allocETF, 2) + IFERROR($P10, 0)
</f>
        <v>46367.58</v>
      </c>
      <c r="L10" s="11">
        <f>ROUND( ($I10-$J10-$X10)*allocRE , 2)
</f>
        <v>34775.69</v>
      </c>
      <c r="M10" s="11">
        <f>LET(
  cap_ratio, IFERROR(savings_cap_ratio, 0.75),
  cap_amt,   cap_ratio * $W10,
  start_sav, IFERROR(Balances!$S10, 0),
  base,      ROUND(($I10-$J10-$X10)*allocSav, 2),
  IF(start_sav &gt;= cap_amt, 0, base)
)
</f>
        <v>11591.9</v>
      </c>
      <c r="N10" s="11">
        <f>IF($A10&lt;=capAge,
   MIN(
     ROUND( ($I10-$J10-$X10)*(1-allocETF-allocRE-allocSav), 2),
     capBase * (1 + inflation) ^ ($A10 - startAge)
   ),
   ROUND( ($I10-$J10-$X10)*(1-allocETF-allocRE-allocSav), 2)
)
</f>
        <v>139102.75</v>
      </c>
      <c r="O10" s="11">
        <f>LET(
  cap_ratio, IFERROR(savings_cap_ratio, 0.75),
  cap_amt,   cap_ratio * $W10,
  start_sav, IFERROR(Balances!$S10, 0),
  base,      ROUND(($I10-$J10-$X10)*allocSav, 2),
  IF(start_sav &gt;= cap_amt, base, 0)
)
</f>
        <v>0</v>
      </c>
      <c r="P10" s="11">
        <f>IFERROR($O10 * IFERROR(surplus_to_ETF, 0.4), 0)
</f>
        <v>0</v>
      </c>
      <c r="Q10" s="11">
        <f>IFERROR($O10 * IFERROR(surplus_to_RE, 0.6), 0)
</f>
        <v>0</v>
      </c>
      <c r="R10" s="10">
        <f>IF($A10&lt;=capAge,
   MAX(
     0,
     ROUND(
       ($I10-$J10-$X10)*(1-allocETF-allocRE-allocSav)
       - capBase * (1 + inflation) ^ ($A10 - startAge),
     2)
   ),
   0
)
</f>
        <v>0</v>
      </c>
      <c r="S10" s="11">
        <f>IF(R10&gt;0, R10*lifeExcessToETF, 0)
</f>
        <v>0</v>
      </c>
      <c r="T10" s="11">
        <f>IF(R10&gt;0, R10*lifeExcessToLoan, 0)
</f>
        <v>0</v>
      </c>
      <c r="U10" s="11">
        <f t="shared" si="3"/>
        <v>0</v>
      </c>
      <c r="V10" s="11">
        <f t="array" ref="V10">LET(
  age,$A10,
  ti_prev,N($E9),
  gross,SUMIF('RE Amortization'!$E:$E,$A10,'RE Amortization'!$K:$K),
  fed_single,IFERROR(LOOKUP(ti_prev,N(Assumptions!$D$3:$D$9),N(Assumptions!$F$3:$F$9)),INDEX(N(Assumptions!$F$3:$F$9),1)),
  fed_married,IFERROR(LOOKUP(ti_prev,N(Assumptions!$D$13:$D$19),N(Assumptions!$F$13:$F$19)),INDEX(N(Assumptions!$F$13:$F$19),1)),
  fed_rate,IF(age&lt;MarriageAge,fed_single,fed_married),
  ROUND(gross*(1-fed_rate-gaEff),2)
)
</f>
        <v>0</v>
      </c>
      <c r="W10" s="13">
        <f t="shared" si="4"/>
        <v>139102.75</v>
      </c>
      <c r="X10" s="11">
        <f t="array" ref="X10">IF(
  AB10&lt;=0,0,
  IF(
    A10&lt;loanStartAge,0,
    MIN(
      AB10 + ROUND(AB10*loanRate,2),
      IF(A10=loanStartAge,
        cfiPayPct * I10,      
        -PMT(loanRate,loanTerm,INDEX($AB:$AB,MATCH(loanStartAge,$A:$A,0)))
      )
    )
  )
)
</f>
        <v>0</v>
      </c>
      <c r="Y10" s="9">
        <f>IF(AB10&lt;=0,0,ROUND(AB10*loanRate,2))
</f>
        <v>0</v>
      </c>
      <c r="Z10" s="9">
        <f t="shared" si="5"/>
        <v>0</v>
      </c>
      <c r="AA10" s="9">
        <f t="shared" si="6"/>
        <v>0</v>
      </c>
      <c r="AB10" s="9">
        <f>IF(A10=18, loanStartBal, OFFSET(AA10,-1,0))
</f>
        <v>0</v>
      </c>
    </row>
    <row r="11" ht="15.75" customHeight="1">
      <c r="A11" s="1">
        <v>27.0</v>
      </c>
      <c r="B11" s="11">
        <f>IFERROR(__xludf.DUMMYFUNCTION("IFERROR(
  INDEX( FILTER('Pilot Pay'!R:R, VALUE('Pilot Pay'!K:K)=VALUE($A11)) , 1 ),
  0
)
"),421763.54)</f>
        <v>421763.54</v>
      </c>
      <c r="C11" s="11">
        <f>ROUND(
  MIN($B11*emp401kPct, IF($A11&lt;catchAge, emp401kCap, emp401kCap_catch)),
2)
</f>
        <v>24500</v>
      </c>
      <c r="D11" s="11">
        <f>ROUND(
  MIN(
    MIN($B11*er401kPct, IF($A11&lt;catchAge, er401kCap_base, er401kCap_catch)),
    MAX(
      0,
      MIN($B11,
          IF($A11&gt;=specialCatchStartAge,
             IF($A11&lt;=specialCatchEndAge, total401kCap_60to63, total401kCap_50to59),
             IF($A11&gt;=catchAge, total401kCap_50to59, total401kCap_u50)
          )
      ) - $C11
    )
  ),
2)
</f>
        <v>43500</v>
      </c>
      <c r="E11" s="11">
        <f t="shared" si="7"/>
        <v>397263.54</v>
      </c>
      <c r="F11" s="11">
        <f>IFERROR(
  IF($A11 &lt; MarriageAge,
     SUMPRODUCT( ($E11&gt;FedLower_Single) * ((IF($E11&gt;FedUpper_Single, FedUpper_Single, $E11))-FedLower_Single) * FedRate_Single ),
     SUMPRODUCT( ($E11&gt;FedLower_Married) * ((IF($E11&gt;FedUpper_Married, FedUpper_Married, $E11))-FedLower_Married) * FedRate_Married )
  ),
0)
</f>
        <v>107810.239</v>
      </c>
      <c r="G11" s="11">
        <f>ROUND(gaEff*$E11, 2)
</f>
        <v>20617.98</v>
      </c>
      <c r="H11" s="11">
        <f>IF($B11=0,0,
  ROUND(
    ssRate*MIN($B11, ssBase) +
    medRate*$B11 +
    addlMedRate*MAX(0, $B11 - addlMedThresh),
 2))
</f>
        <v>19494.64</v>
      </c>
      <c r="I11" s="11">
        <f t="shared" si="8"/>
        <v>249340.68</v>
      </c>
      <c r="J11" s="11">
        <f>ROUND(
  MIN(rothIRA, IF($A11&lt;catchAge, rothCap_base, rothCap_catch)),
2)
</f>
        <v>7000</v>
      </c>
      <c r="K11" s="11">
        <f>ROUND(($I11-$J11-$X11)*allocETF, 2) + IFERROR($P11, 0)
</f>
        <v>48468.14</v>
      </c>
      <c r="L11" s="11">
        <f>ROUND( ($I11-$J11-$X11)*allocRE , 2)
</f>
        <v>36351.1</v>
      </c>
      <c r="M11" s="11">
        <f>LET(
  cap_ratio, IFERROR(savings_cap_ratio, 0.75),
  cap_amt,   cap_ratio * $W11,
  start_sav, IFERROR(Balances!$S11, 0),
  base,      ROUND(($I11-$J11-$X11)*allocSav, 2),
  IF(start_sav &gt;= cap_amt, 0, base)
)
</f>
        <v>12117.03</v>
      </c>
      <c r="N11" s="11">
        <f>IF($A11&lt;=capAge,
   MIN(
     ROUND( ($I11-$J11-$X11)*(1-allocETF-allocRE-allocSav), 2),
     capBase * (1 + inflation) ^ ($A11 - startAge)
   ),
   ROUND( ($I11-$J11-$X11)*(1-allocETF-allocRE-allocSav), 2)
)
</f>
        <v>145404.41</v>
      </c>
      <c r="O11" s="11">
        <f>LET(
  cap_ratio, IFERROR(savings_cap_ratio, 0.75),
  cap_amt,   cap_ratio * $W11,
  start_sav, IFERROR(Balances!$S11, 0),
  base,      ROUND(($I11-$J11-$X11)*allocSav, 2),
  IF(start_sav &gt;= cap_amt, base, 0)
)
</f>
        <v>0</v>
      </c>
      <c r="P11" s="11">
        <f>IFERROR($O11 * IFERROR(surplus_to_ETF, 0.4), 0)
</f>
        <v>0</v>
      </c>
      <c r="Q11" s="11">
        <f>IFERROR($O11 * IFERROR(surplus_to_RE, 0.6), 0)
</f>
        <v>0</v>
      </c>
      <c r="R11" s="10">
        <f>IF($A11&lt;=capAge,
   MAX(
     0,
     ROUND(
       ($I11-$J11-$X11)*(1-allocETF-allocRE-allocSav)
       - capBase * (1 + inflation) ^ ($A11 - startAge),
     2)
   ),
   0
)
</f>
        <v>0</v>
      </c>
      <c r="S11" s="11">
        <f>IF(R11&gt;0, R11*lifeExcessToETF, 0)
</f>
        <v>0</v>
      </c>
      <c r="T11" s="11">
        <f>IF(R11&gt;0, R11*lifeExcessToLoan, 0)
</f>
        <v>0</v>
      </c>
      <c r="U11" s="11">
        <f t="shared" si="3"/>
        <v>0</v>
      </c>
      <c r="V11" s="11">
        <f t="array" ref="V11">LET(
  age,$A11,
  ti_prev,N($E10),
  gross,SUMIF('RE Amortization'!$E:$E,$A11,'RE Amortization'!$K:$K),
  fed_single,IFERROR(LOOKUP(ti_prev,N(Assumptions!$D$3:$D$9),N(Assumptions!$F$3:$F$9)),INDEX(N(Assumptions!$F$3:$F$9),1)),
  fed_married,IFERROR(LOOKUP(ti_prev,N(Assumptions!$D$13:$D$19),N(Assumptions!$F$13:$F$19)),INDEX(N(Assumptions!$F$13:$F$19),1)),
  fed_rate,IF(age&lt;MarriageAge,fed_single,fed_married),
  ROUND(gross*(1-fed_rate-gaEff),2)
)
</f>
        <v>0</v>
      </c>
      <c r="W11" s="13">
        <f t="shared" si="4"/>
        <v>145404.41</v>
      </c>
      <c r="X11" s="11">
        <f t="array" ref="X11">IF(
  AB11&lt;=0,0,
  IF(
    A11&lt;loanStartAge,0,
    MIN(
      AB11 + ROUND(AB11*loanRate,2),
      IF(A11=loanStartAge,
        cfiPayPct * I11,      
        -PMT(loanRate,loanTerm,INDEX($AB:$AB,MATCH(loanStartAge,$A:$A,0)))
      )
    )
  )
)
</f>
        <v>0</v>
      </c>
      <c r="Y11" s="9">
        <f>IF(AB11&lt;=0,0,ROUND(AB11*loanRate,2))
</f>
        <v>0</v>
      </c>
      <c r="Z11" s="9">
        <f t="shared" si="5"/>
        <v>0</v>
      </c>
      <c r="AA11" s="9">
        <f t="shared" si="6"/>
        <v>0</v>
      </c>
      <c r="AB11" s="9">
        <f>IF(A11=18, loanStartBal, OFFSET(AA11,-1,0))
</f>
        <v>0</v>
      </c>
    </row>
    <row r="12" ht="15.75" customHeight="1">
      <c r="A12" s="1">
        <v>28.0</v>
      </c>
      <c r="B12" s="11">
        <f>IFERROR(__xludf.DUMMYFUNCTION("IFERROR(
  INDEX( FILTER('Pilot Pay'!R:R, VALUE('Pilot Pay'!K:K)=VALUE($A12)) , 1 ),
  0
)
"),439947.9)</f>
        <v>439947.9</v>
      </c>
      <c r="C12" s="11">
        <f>ROUND(
  MIN($B12*emp401kPct, IF($A12&lt;catchAge, emp401kCap, emp401kCap_catch)),
2)
</f>
        <v>24500</v>
      </c>
      <c r="D12" s="11">
        <f>ROUND(
  MIN(
    MIN($B12*er401kPct, IF($A12&lt;catchAge, er401kCap_base, er401kCap_catch)),
    MAX(
      0,
      MIN($B12,
          IF($A12&gt;=specialCatchStartAge,
             IF($A12&lt;=specialCatchEndAge, total401kCap_60to63, total401kCap_50to59),
             IF($A12&gt;=catchAge, total401kCap_50to59, total401kCap_u50)
          )
      ) - $C12
    )
  ),
2)
</f>
        <v>43500</v>
      </c>
      <c r="E12" s="11">
        <f t="shared" si="7"/>
        <v>415447.9</v>
      </c>
      <c r="F12" s="11">
        <f>IFERROR(
  IF($A12 &lt; MarriageAge,
     SUMPRODUCT( ($E12&gt;FedLower_Single) * ((IF($E12&gt;FedUpper_Single, FedUpper_Single, $E12))-FedLower_Single) * FedRate_Single ),
     SUMPRODUCT( ($E12&gt;FedLower_Married) * ((IF($E12&gt;FedUpper_Married, FedUpper_Married, $E12))-FedLower_Married) * FedRate_Married )
  ),
0)
</f>
        <v>114174.765</v>
      </c>
      <c r="G12" s="11">
        <f>ROUND(gaEff*$E12, 2)
</f>
        <v>21561.75</v>
      </c>
      <c r="H12" s="11">
        <f>IF($B12=0,0,
  ROUND(
    ssRate*MIN($B12, ssBase) +
    medRate*$B12 +
    addlMedRate*MAX(0, $B12 - addlMedThresh),
 2))
</f>
        <v>19921.98</v>
      </c>
      <c r="I12" s="11">
        <f t="shared" si="8"/>
        <v>259789.41</v>
      </c>
      <c r="J12" s="11">
        <f>ROUND(
  MIN(rothIRA, IF($A12&lt;catchAge, rothCap_base, rothCap_catch)),
2)
</f>
        <v>7000</v>
      </c>
      <c r="K12" s="11">
        <f>ROUND(($I12-$J12-$X12)*allocETF, 2) + IFERROR($P12, 0)
</f>
        <v>50557.88</v>
      </c>
      <c r="L12" s="11">
        <f>ROUND( ($I12-$J12-$X12)*allocRE , 2)
</f>
        <v>37918.41</v>
      </c>
      <c r="M12" s="11">
        <f>LET(
  cap_ratio, IFERROR(savings_cap_ratio, 0.75),
  cap_amt,   cap_ratio * $W12,
  start_sav, IFERROR(Balances!$S12, 0),
  base,      ROUND(($I12-$J12-$X12)*allocSav, 2),
  IF(start_sav &gt;= cap_amt, 0, base)
)
</f>
        <v>12639.47</v>
      </c>
      <c r="N12" s="11">
        <f>IF($A12&lt;=capAge,
   MIN(
     ROUND( ($I12-$J12-$X12)*(1-allocETF-allocRE-allocSav), 2),
     capBase * (1 + inflation) ^ ($A12 - startAge)
   ),
   ROUND( ($I12-$J12-$X12)*(1-allocETF-allocRE-allocSav), 2)
)
</f>
        <v>151673.65</v>
      </c>
      <c r="O12" s="11">
        <f>LET(
  cap_ratio, IFERROR(savings_cap_ratio, 0.75),
  cap_amt,   cap_ratio * $W12,
  start_sav, IFERROR(Balances!$S12, 0),
  base,      ROUND(($I12-$J12-$X12)*allocSav, 2),
  IF(start_sav &gt;= cap_amt, base, 0)
)
</f>
        <v>0</v>
      </c>
      <c r="P12" s="11">
        <f>IFERROR($O12 * IFERROR(surplus_to_ETF, 0.4), 0)
</f>
        <v>0</v>
      </c>
      <c r="Q12" s="11">
        <f>IFERROR($O12 * IFERROR(surplus_to_RE, 0.6), 0)
</f>
        <v>0</v>
      </c>
      <c r="R12" s="10">
        <f>IF($A12&lt;=capAge,
   MAX(
     0,
     ROUND(
       ($I12-$J12-$X12)*(1-allocETF-allocRE-allocSav)
       - capBase * (1 + inflation) ^ ($A12 - startAge),
     2)
   ),
   0
)
</f>
        <v>0</v>
      </c>
      <c r="S12" s="11">
        <f>IF(R12&gt;0, R12*lifeExcessToETF, 0)
</f>
        <v>0</v>
      </c>
      <c r="T12" s="11">
        <f>IF(R12&gt;0, R12*lifeExcessToLoan, 0)
</f>
        <v>0</v>
      </c>
      <c r="U12" s="11">
        <f t="shared" si="3"/>
        <v>0</v>
      </c>
      <c r="V12" s="11">
        <f t="array" ref="V12">LET(
  age,$A12,
  ti_prev,N($E11),
  gross,SUMIF('RE Amortization'!$E:$E,$A12,'RE Amortization'!$K:$K),
  fed_single,IFERROR(LOOKUP(ti_prev,N(Assumptions!$D$3:$D$9),N(Assumptions!$F$3:$F$9)),INDEX(N(Assumptions!$F$3:$F$9),1)),
  fed_married,IFERROR(LOOKUP(ti_prev,N(Assumptions!$D$13:$D$19),N(Assumptions!$F$13:$F$19)),INDEX(N(Assumptions!$F$13:$F$19),1)),
  fed_rate,IF(age&lt;MarriageAge,fed_single,fed_married),
  ROUND(gross*(1-fed_rate-gaEff),2)
)
</f>
        <v>4802.66</v>
      </c>
      <c r="W12" s="13">
        <f t="shared" si="4"/>
        <v>156476.31</v>
      </c>
      <c r="X12" s="11">
        <f t="array" ref="X12">IF(
  AB12&lt;=0,0,
  IF(
    A12&lt;loanStartAge,0,
    MIN(
      AB12 + ROUND(AB12*loanRate,2),
      IF(A12=loanStartAge,
        cfiPayPct * I12,      
        -PMT(loanRate,loanTerm,INDEX($AB:$AB,MATCH(loanStartAge,$A:$A,0)))
      )
    )
  )
)
</f>
        <v>0</v>
      </c>
      <c r="Y12" s="9">
        <f>IF(AB12&lt;=0,0,ROUND(AB12*loanRate,2))
</f>
        <v>0</v>
      </c>
      <c r="Z12" s="9">
        <f t="shared" si="5"/>
        <v>0</v>
      </c>
      <c r="AA12" s="9">
        <f t="shared" si="6"/>
        <v>0</v>
      </c>
      <c r="AB12" s="9">
        <f>IF(A12=18, loanStartBal, OFFSET(AA12,-1,0))
</f>
        <v>0</v>
      </c>
    </row>
    <row r="13" ht="15.75" customHeight="1">
      <c r="A13" s="1">
        <v>29.0</v>
      </c>
      <c r="B13" s="11">
        <f>IFERROR(__xludf.DUMMYFUNCTION("IFERROR(
  INDEX( FILTER('Pilot Pay'!R:R, VALUE('Pilot Pay'!K:K)=VALUE($A13)) , 1 ),
  0
)
"),537236.01)</f>
        <v>537236.01</v>
      </c>
      <c r="C13" s="11">
        <f>ROUND(
  MIN($B13*emp401kPct, IF($A13&lt;catchAge, emp401kCap, emp401kCap_catch)),
2)
</f>
        <v>24500</v>
      </c>
      <c r="D13" s="11">
        <f>ROUND(
  MIN(
    MIN($B13*er401kPct, IF($A13&lt;catchAge, er401kCap_base, er401kCap_catch)),
    MAX(
      0,
      MIN($B13,
          IF($A13&gt;=specialCatchStartAge,
             IF($A13&lt;=specialCatchEndAge, total401kCap_60to63, total401kCap_50to59),
             IF($A13&gt;=catchAge, total401kCap_50to59, total401kCap_u50)
          )
      ) - $C13
    )
  ),
2)
</f>
        <v>43500</v>
      </c>
      <c r="E13" s="11">
        <f t="shared" si="7"/>
        <v>512736.01</v>
      </c>
      <c r="F13" s="11">
        <f>IFERROR(
  IF($A13 &lt; MarriageAge,
     SUMPRODUCT( ($E13&gt;FedLower_Single) * ((IF($E13&gt;FedUpper_Single, FedUpper_Single, $E13))-FedLower_Single) * FedRate_Single ),
     SUMPRODUCT( ($E13&gt;FedLower_Married) * ((IF($E13&gt;FedUpper_Married, FedUpper_Married, $E13))-FedLower_Married) * FedRate_Married )
  ),
0)
</f>
        <v>148225.6035</v>
      </c>
      <c r="G13" s="11">
        <f>ROUND(gaEff*$E13, 2)
</f>
        <v>26611</v>
      </c>
      <c r="H13" s="11">
        <f>IF($B13=0,0,
  ROUND(
    ssRate*MIN($B13, ssBase) +
    medRate*$B13 +
    addlMedRate*MAX(0, $B13 - addlMedThresh),
 2))
</f>
        <v>22208.25</v>
      </c>
      <c r="I13" s="11">
        <f t="shared" si="8"/>
        <v>315691.16</v>
      </c>
      <c r="J13" s="11">
        <f>ROUND(
  MIN(rothIRA, IF($A13&lt;catchAge, rothCap_base, rothCap_catch)),
2)
</f>
        <v>7000</v>
      </c>
      <c r="K13" s="11">
        <f>ROUND(($I13-$J13-$X13)*allocETF, 2) + IFERROR($P13, 0)
</f>
        <v>61738.23</v>
      </c>
      <c r="L13" s="11">
        <f>ROUND( ($I13-$J13-$X13)*allocRE , 2)
</f>
        <v>46303.67</v>
      </c>
      <c r="M13" s="11">
        <f>LET(
  cap_ratio, IFERROR(savings_cap_ratio, 0.75),
  cap_amt,   cap_ratio * $W13,
  start_sav, IFERROR(Balances!$S13, 0),
  base,      ROUND(($I13-$J13-$X13)*allocSav, 2),
  IF(start_sav &gt;= cap_amt, 0, base)
)
</f>
        <v>15434.56</v>
      </c>
      <c r="N13" s="11">
        <f>IF($A13&lt;=capAge,
   MIN(
     ROUND( ($I13-$J13-$X13)*(1-allocETF-allocRE-allocSav), 2),
     capBase * (1 + inflation) ^ ($A13 - startAge)
   ),
   ROUND( ($I13-$J13-$X13)*(1-allocETF-allocRE-allocSav), 2)
)
</f>
        <v>185214.7</v>
      </c>
      <c r="O13" s="11">
        <f>LET(
  cap_ratio, IFERROR(savings_cap_ratio, 0.75),
  cap_amt,   cap_ratio * $W13,
  start_sav, IFERROR(Balances!$S13, 0),
  base,      ROUND(($I13-$J13-$X13)*allocSav, 2),
  IF(start_sav &gt;= cap_amt, base, 0)
)
</f>
        <v>0</v>
      </c>
      <c r="P13" s="11">
        <f>IFERROR($O13 * IFERROR(surplus_to_ETF, 0.4), 0)
</f>
        <v>0</v>
      </c>
      <c r="Q13" s="11">
        <f>IFERROR($O13 * IFERROR(surplus_to_RE, 0.6), 0)
</f>
        <v>0</v>
      </c>
      <c r="R13" s="10">
        <f>IF($A13&lt;=capAge,
   MAX(
     0,
     ROUND(
       ($I13-$J13-$X13)*(1-allocETF-allocRE-allocSav)
       - capBase * (1 + inflation) ^ ($A13 - startAge),
     2)
   ),
   0
)
</f>
        <v>0</v>
      </c>
      <c r="S13" s="11">
        <f>IF(R13&gt;0, R13*lifeExcessToETF, 0)
</f>
        <v>0</v>
      </c>
      <c r="T13" s="11">
        <f>IF(R13&gt;0, R13*lifeExcessToLoan, 0)
</f>
        <v>0</v>
      </c>
      <c r="U13" s="11">
        <f t="shared" si="3"/>
        <v>0</v>
      </c>
      <c r="V13" s="11">
        <f t="array" ref="V13">LET(
  age,$A13,
  ti_prev,N($E12),
  gross,SUMIF('RE Amortization'!$E:$E,$A13,'RE Amortization'!$K:$K),
  fed_single,IFERROR(LOOKUP(ti_prev,N(Assumptions!$D$3:$D$9),N(Assumptions!$F$3:$F$9)),INDEX(N(Assumptions!$F$3:$F$9),1)),
  fed_married,IFERROR(LOOKUP(ti_prev,N(Assumptions!$D$13:$D$19),N(Assumptions!$F$13:$F$19)),INDEX(N(Assumptions!$F$13:$F$19),1)),
  fed_rate,IF(age&lt;MarriageAge,fed_single,fed_married),
  ROUND(gross*(1-fed_rate-gaEff),2)
)
</f>
        <v>4802.66</v>
      </c>
      <c r="W13" s="13">
        <f t="shared" si="4"/>
        <v>190017.36</v>
      </c>
      <c r="X13" s="11">
        <f t="array" ref="X13">IF(
  AB13&lt;=0,0,
  IF(
    A13&lt;loanStartAge,0,
    MIN(
      AB13 + ROUND(AB13*loanRate,2),
      IF(A13=loanStartAge,
        cfiPayPct * I13,      
        -PMT(loanRate,loanTerm,INDEX($AB:$AB,MATCH(loanStartAge,$A:$A,0)))
      )
    )
  )
)
</f>
        <v>0</v>
      </c>
      <c r="Y13" s="9">
        <f>IF(AB13&lt;=0,0,ROUND(AB13*loanRate,2))
</f>
        <v>0</v>
      </c>
      <c r="Z13" s="9">
        <f t="shared" si="5"/>
        <v>0</v>
      </c>
      <c r="AA13" s="9">
        <f t="shared" si="6"/>
        <v>0</v>
      </c>
      <c r="AB13" s="9">
        <f>IF(A13=18, loanStartBal, OFFSET(AA13,-1,0))
</f>
        <v>0</v>
      </c>
    </row>
    <row r="14" ht="15.75" customHeight="1">
      <c r="A14" s="1">
        <v>30.0</v>
      </c>
      <c r="B14" s="11">
        <f>IFERROR(__xludf.DUMMYFUNCTION("IFERROR(
  INDEX( FILTER('Pilot Pay'!R:R, VALUE('Pilot Pay'!K:K)=VALUE($A14)) , 1 ),
  0
)
"),555133.29)</f>
        <v>555133.29</v>
      </c>
      <c r="C14" s="11">
        <f>ROUND(
  MIN($B14*emp401kPct, IF($A14&lt;catchAge, emp401kCap, emp401kCap_catch)),
2)
</f>
        <v>24500</v>
      </c>
      <c r="D14" s="11">
        <f>ROUND(
  MIN(
    MIN($B14*er401kPct, IF($A14&lt;catchAge, er401kCap_base, er401kCap_catch)),
    MAX(
      0,
      MIN($B14,
          IF($A14&gt;=specialCatchStartAge,
             IF($A14&lt;=specialCatchEndAge, total401kCap_60to63, total401kCap_50to59),
             IF($A14&gt;=catchAge, total401kCap_50to59, total401kCap_u50)
          )
      ) - $C14
    )
  ),
2)
</f>
        <v>43500</v>
      </c>
      <c r="E14" s="11">
        <f t="shared" si="7"/>
        <v>530633.29</v>
      </c>
      <c r="F14" s="11">
        <f>IFERROR(
  IF($A14 &lt; MarriageAge,
     SUMPRODUCT( ($E14&gt;FedLower_Single) * ((IF($E14&gt;FedUpper_Single, FedUpper_Single, $E14))-FedLower_Single) * FedRate_Single ),
     SUMPRODUCT( ($E14&gt;FedLower_Married) * ((IF($E14&gt;FedUpper_Married, FedUpper_Married, $E14))-FedLower_Married) * FedRate_Married )
  ),
0)
</f>
        <v>123339.1415</v>
      </c>
      <c r="G14" s="11">
        <f>ROUND(gaEff*$E14, 2)
</f>
        <v>27539.87</v>
      </c>
      <c r="H14" s="11">
        <f>IF($B14=0,0,
  ROUND(
    ssRate*MIN($B14, ssBase) +
    medRate*$B14 +
    addlMedRate*MAX(0, $B14 - addlMedThresh),
 2))
</f>
        <v>22628.83</v>
      </c>
      <c r="I14" s="11">
        <f t="shared" si="8"/>
        <v>357125.45</v>
      </c>
      <c r="J14" s="11">
        <f>ROUND(
  MIN(rothIRA, IF($A14&lt;catchAge, rothCap_base, rothCap_catch)),
2)
</f>
        <v>7000</v>
      </c>
      <c r="K14" s="11">
        <f>ROUND(($I14-$J14-$X14)*allocETF, 2) + IFERROR($P14, 0)
</f>
        <v>70025.09</v>
      </c>
      <c r="L14" s="11">
        <f>ROUND( ($I14-$J14-$X14)*allocRE , 2)
</f>
        <v>52518.82</v>
      </c>
      <c r="M14" s="11">
        <f>LET(
  cap_ratio, IFERROR(savings_cap_ratio, 0.75),
  cap_amt,   cap_ratio * $W14,
  start_sav, IFERROR(Balances!$S14, 0),
  base,      ROUND(($I14-$J14-$X14)*allocSav, 2),
  IF(start_sav &gt;= cap_amt, 0, base)
)
</f>
        <v>17506.27</v>
      </c>
      <c r="N14" s="11">
        <f>IF($A14&lt;=capAge,
   MIN(
     ROUND( ($I14-$J14-$X14)*(1-allocETF-allocRE-allocSav), 2),
     capBase * (1 + inflation) ^ ($A14 - startAge)
   ),
   ROUND( ($I14-$J14-$X14)*(1-allocETF-allocRE-allocSav), 2)
)
</f>
        <v>210075.27</v>
      </c>
      <c r="O14" s="11">
        <f>LET(
  cap_ratio, IFERROR(savings_cap_ratio, 0.75),
  cap_amt,   cap_ratio * $W14,
  start_sav, IFERROR(Balances!$S14, 0),
  base,      ROUND(($I14-$J14-$X14)*allocSav, 2),
  IF(start_sav &gt;= cap_amt, base, 0)
)
</f>
        <v>0</v>
      </c>
      <c r="P14" s="11">
        <f>IFERROR($O14 * IFERROR(surplus_to_ETF, 0.4), 0)
</f>
        <v>0</v>
      </c>
      <c r="Q14" s="11">
        <f>IFERROR($O14 * IFERROR(surplus_to_RE, 0.6), 0)
</f>
        <v>0</v>
      </c>
      <c r="R14" s="10">
        <f>IF($A14&lt;=capAge,
   MAX(
     0,
     ROUND(
       ($I14-$J14-$X14)*(1-allocETF-allocRE-allocSav)
       - capBase * (1 + inflation) ^ ($A14 - startAge),
     2)
   ),
   0
)
</f>
        <v>0</v>
      </c>
      <c r="S14" s="11">
        <f>IF(R14&gt;0, R14*lifeExcessToETF, 0)
</f>
        <v>0</v>
      </c>
      <c r="T14" s="11">
        <f>IF(R14&gt;0, R14*lifeExcessToLoan, 0)
</f>
        <v>0</v>
      </c>
      <c r="U14" s="11">
        <f t="shared" si="3"/>
        <v>0</v>
      </c>
      <c r="V14" s="11">
        <f t="array" ref="V14">LET(
  age,$A14,
  ti_prev,N($E13),
  gross,SUMIF('RE Amortization'!$E:$E,$A14,'RE Amortization'!$K:$K),
  fed_single,IFERROR(LOOKUP(ti_prev,N(Assumptions!$D$3:$D$9),N(Assumptions!$F$3:$F$9)),INDEX(N(Assumptions!$F$3:$F$9),1)),
  fed_married,IFERROR(LOOKUP(ti_prev,N(Assumptions!$D$13:$D$19),N(Assumptions!$F$13:$F$19)),INDEX(N(Assumptions!$F$13:$F$19),1)),
  fed_rate,IF(age&lt;MarriageAge,fed_single,fed_married),
  ROUND(gross*(1-fed_rate-gaEff),2)
)
</f>
        <v>8421.31</v>
      </c>
      <c r="W14" s="13">
        <f t="shared" si="4"/>
        <v>218496.58</v>
      </c>
      <c r="X14" s="11">
        <f t="array" ref="X14">IF(
  AB14&lt;=0,0,
  IF(
    A14&lt;loanStartAge,0,
    MIN(
      AB14 + ROUND(AB14*loanRate,2),
      IF(A14=loanStartAge,
        cfiPayPct * I14,      
        -PMT(loanRate,loanTerm,INDEX($AB:$AB,MATCH(loanStartAge,$A:$A,0)))
      )
    )
  )
)
</f>
        <v>0</v>
      </c>
      <c r="Y14" s="9">
        <f>IF(AB14&lt;=0,0,ROUND(AB14*loanRate,2))
</f>
        <v>0</v>
      </c>
      <c r="Z14" s="9">
        <f t="shared" si="5"/>
        <v>0</v>
      </c>
      <c r="AA14" s="9">
        <f t="shared" si="6"/>
        <v>0</v>
      </c>
      <c r="AB14" s="9">
        <f>IF(A14=18, loanStartBal, OFFSET(AA14,-1,0))
</f>
        <v>0</v>
      </c>
    </row>
    <row r="15" ht="15.75" customHeight="1">
      <c r="A15" s="1">
        <v>31.0</v>
      </c>
      <c r="B15" s="11">
        <f>IFERROR(__xludf.DUMMYFUNCTION("IFERROR(
  INDEX( FILTER('Pilot Pay'!R:R, VALUE('Pilot Pay'!K:K)=VALUE($A15)) , 1 ),
  0
)
"),574098.33)</f>
        <v>574098.33</v>
      </c>
      <c r="C15" s="11">
        <f>ROUND(
  MIN($B15*emp401kPct, IF($A15&lt;catchAge, emp401kCap, emp401kCap_catch)),
2)
</f>
        <v>24500</v>
      </c>
      <c r="D15" s="11">
        <f>ROUND(
  MIN(
    MIN($B15*er401kPct, IF($A15&lt;catchAge, er401kCap_base, er401kCap_catch)),
    MAX(
      0,
      MIN($B15,
          IF($A15&gt;=specialCatchStartAge,
             IF($A15&lt;=specialCatchEndAge, total401kCap_60to63, total401kCap_50to59),
             IF($A15&gt;=catchAge, total401kCap_50to59, total401kCap_u50)
          )
      ) - $C15
    )
  ),
2)
</f>
        <v>43500</v>
      </c>
      <c r="E15" s="11">
        <f t="shared" si="7"/>
        <v>549598.33</v>
      </c>
      <c r="F15" s="11">
        <f>IFERROR(
  IF($A15 &lt; MarriageAge,
     SUMPRODUCT( ($E15&gt;FedLower_Single) * ((IF($E15&gt;FedUpper_Single, FedUpper_Single, $E15))-FedLower_Single) * FedRate_Single ),
     SUMPRODUCT( ($E15&gt;FedLower_Married) * ((IF($E15&gt;FedUpper_Married, FedUpper_Married, $E15))-FedLower_Married) * FedRate_Married )
  ),
0)
</f>
        <v>129976.9055</v>
      </c>
      <c r="G15" s="11">
        <f>ROUND(gaEff*$E15, 2)
</f>
        <v>28524.15</v>
      </c>
      <c r="H15" s="11">
        <f>IF($B15=0,0,
  ROUND(
    ssRate*MIN($B15, ssBase) +
    medRate*$B15 +
    addlMedRate*MAX(0, $B15 - addlMedThresh),
 2))
</f>
        <v>23074.51</v>
      </c>
      <c r="I15" s="11">
        <f t="shared" si="8"/>
        <v>368022.76</v>
      </c>
      <c r="J15" s="11">
        <f>ROUND(
  MIN(rothIRA, IF($A15&lt;catchAge, rothCap_base, rothCap_catch)),
2)
</f>
        <v>7000</v>
      </c>
      <c r="K15" s="11">
        <f>ROUND(($I15-$J15-$X15)*allocETF, 2) + IFERROR($P15, 0)
</f>
        <v>72204.55</v>
      </c>
      <c r="L15" s="11">
        <f>ROUND( ($I15-$J15-$X15)*allocRE , 2)
</f>
        <v>54153.41</v>
      </c>
      <c r="M15" s="11">
        <f>LET(
  cap_ratio, IFERROR(savings_cap_ratio, 0.75),
  cap_amt,   cap_ratio * $W15,
  start_sav, IFERROR(Balances!$S15, 0),
  base,      ROUND(($I15-$J15-$X15)*allocSav, 2),
  IF(start_sav &gt;= cap_amt, 0, base)
)
</f>
        <v>18051.14</v>
      </c>
      <c r="N15" s="11">
        <f>IF($A15&lt;=capAge,
   MIN(
     ROUND( ($I15-$J15-$X15)*(1-allocETF-allocRE-allocSav), 2),
     capBase * (1 + inflation) ^ ($A15 - startAge)
   ),
   ROUND( ($I15-$J15-$X15)*(1-allocETF-allocRE-allocSav), 2)
)
</f>
        <v>216613.66</v>
      </c>
      <c r="O15" s="11">
        <f>LET(
  cap_ratio, IFERROR(savings_cap_ratio, 0.75),
  cap_amt,   cap_ratio * $W15,
  start_sav, IFERROR(Balances!$S15, 0),
  base,      ROUND(($I15-$J15-$X15)*allocSav, 2),
  IF(start_sav &gt;= cap_amt, base, 0)
)
</f>
        <v>0</v>
      </c>
      <c r="P15" s="11">
        <f>IFERROR($O15 * IFERROR(surplus_to_ETF, 0.4), 0)
</f>
        <v>0</v>
      </c>
      <c r="Q15" s="11">
        <f>IFERROR($O15 * IFERROR(surplus_to_RE, 0.6), 0)
</f>
        <v>0</v>
      </c>
      <c r="R15" s="10">
        <f>IF($A15&lt;=capAge,
   MAX(
     0,
     ROUND(
       ($I15-$J15-$X15)*(1-allocETF-allocRE-allocSav)
       - capBase * (1 + inflation) ^ ($A15 - startAge),
     2)
   ),
   0
)
</f>
        <v>0</v>
      </c>
      <c r="S15" s="11">
        <f>IF(R15&gt;0, R15*lifeExcessToETF, 0)
</f>
        <v>0</v>
      </c>
      <c r="T15" s="11">
        <f>IF(R15&gt;0, R15*lifeExcessToLoan, 0)
</f>
        <v>0</v>
      </c>
      <c r="U15" s="11">
        <f t="shared" si="3"/>
        <v>0</v>
      </c>
      <c r="V15" s="11">
        <f t="array" ref="V15">LET(
  age,$A15,
  ti_prev,N($E14),
  gross,SUMIF('RE Amortization'!$E:$E,$A15,'RE Amortization'!$K:$K),
  fed_single,IFERROR(LOOKUP(ti_prev,N(Assumptions!$D$3:$D$9),N(Assumptions!$F$3:$F$9)),INDEX(N(Assumptions!$F$3:$F$9),1)),
  fed_married,IFERROR(LOOKUP(ti_prev,N(Assumptions!$D$13:$D$19),N(Assumptions!$F$13:$F$19)),INDEX(N(Assumptions!$F$13:$F$19),1)),
  fed_rate,IF(age&lt;MarriageAge,fed_single,fed_married),
  ROUND(gross*(1-fed_rate-gaEff),2)
)
</f>
        <v>7469.89</v>
      </c>
      <c r="W15" s="13">
        <f t="shared" si="4"/>
        <v>224083.55</v>
      </c>
      <c r="X15" s="11">
        <f t="array" ref="X15">IF(
  AB15&lt;=0,0,
  IF(
    A15&lt;loanStartAge,0,
    MIN(
      AB15 + ROUND(AB15*loanRate,2),
      IF(A15=loanStartAge,
        cfiPayPct * I15,      
        -PMT(loanRate,loanTerm,INDEX($AB:$AB,MATCH(loanStartAge,$A:$A,0)))
      )
    )
  )
)
</f>
        <v>0</v>
      </c>
      <c r="Y15" s="9">
        <f>IF(AB15&lt;=0,0,ROUND(AB15*loanRate,2))
</f>
        <v>0</v>
      </c>
      <c r="Z15" s="9">
        <f t="shared" si="5"/>
        <v>0</v>
      </c>
      <c r="AA15" s="9">
        <f t="shared" si="6"/>
        <v>0</v>
      </c>
      <c r="AB15" s="9">
        <f>IF(A15=18, loanStartBal, OFFSET(AA15,-1,0))
</f>
        <v>0</v>
      </c>
    </row>
    <row r="16" ht="15.75" customHeight="1">
      <c r="A16" s="1">
        <v>32.0</v>
      </c>
      <c r="B16" s="11">
        <f>IFERROR(__xludf.DUMMYFUNCTION("IFERROR(
  INDEX( FILTER('Pilot Pay'!R:R, VALUE('Pilot Pay'!K:K)=VALUE($A16)) , 1 ),
  0
)
"),578544.43)</f>
        <v>578544.43</v>
      </c>
      <c r="C16" s="11">
        <f>ROUND(
  MIN($B16*emp401kPct, IF($A16&lt;catchAge, emp401kCap, emp401kCap_catch)),
2)
</f>
        <v>24500</v>
      </c>
      <c r="D16" s="11">
        <f>ROUND(
  MIN(
    MIN($B16*er401kPct, IF($A16&lt;catchAge, er401kCap_base, er401kCap_catch)),
    MAX(
      0,
      MIN($B16,
          IF($A16&gt;=specialCatchStartAge,
             IF($A16&lt;=specialCatchEndAge, total401kCap_60to63, total401kCap_50to59),
             IF($A16&gt;=catchAge, total401kCap_50to59, total401kCap_u50)
          )
      ) - $C16
    )
  ),
2)
</f>
        <v>43500</v>
      </c>
      <c r="E16" s="11">
        <f t="shared" si="7"/>
        <v>554044.43</v>
      </c>
      <c r="F16" s="11">
        <f>IFERROR(
  IF($A16 &lt; MarriageAge,
     SUMPRODUCT( ($E16&gt;FedLower_Single) * ((IF($E16&gt;FedUpper_Single, FedUpper_Single, $E16))-FedLower_Single) * FedRate_Single ),
     SUMPRODUCT( ($E16&gt;FedLower_Married) * ((IF($E16&gt;FedUpper_Married, FedUpper_Married, $E16))-FedLower_Married) * FedRate_Married )
  ),
0)
</f>
        <v>131533.0405</v>
      </c>
      <c r="G16" s="11">
        <f>ROUND(gaEff*$E16, 2)
</f>
        <v>28754.91</v>
      </c>
      <c r="H16" s="11">
        <f>IF($B16=0,0,
  ROUND(
    ssRate*MIN($B16, ssBase) +
    medRate*$B16 +
    addlMedRate*MAX(0, $B16 - addlMedThresh),
 2))
</f>
        <v>23178.99</v>
      </c>
      <c r="I16" s="11">
        <f t="shared" si="8"/>
        <v>370577.49</v>
      </c>
      <c r="J16" s="11">
        <f>ROUND(
  MIN(rothIRA, IF($A16&lt;catchAge, rothCap_base, rothCap_catch)),
2)
</f>
        <v>7000</v>
      </c>
      <c r="K16" s="11">
        <f>ROUND(($I16-$J16-$X16)*allocETF, 2) + IFERROR($P16, 0)
</f>
        <v>72715.5</v>
      </c>
      <c r="L16" s="11">
        <f>ROUND( ($I16-$J16-$X16)*allocRE , 2)
</f>
        <v>54536.62</v>
      </c>
      <c r="M16" s="11">
        <f>LET(
  cap_ratio, IFERROR(savings_cap_ratio, 0.75),
  cap_amt,   cap_ratio * $W16,
  start_sav, IFERROR(Balances!$S16, 0),
  base,      ROUND(($I16-$J16-$X16)*allocSav, 2),
  IF(start_sav &gt;= cap_amt, 0, base)
)
</f>
        <v>18178.87</v>
      </c>
      <c r="N16" s="11">
        <f>IF($A16&lt;=capAge,
   MIN(
     ROUND( ($I16-$J16-$X16)*(1-allocETF-allocRE-allocSav), 2),
     capBase * (1 + inflation) ^ ($A16 - startAge)
   ),
   ROUND( ($I16-$J16-$X16)*(1-allocETF-allocRE-allocSav), 2)
)
</f>
        <v>218146.49</v>
      </c>
      <c r="O16" s="11">
        <f>LET(
  cap_ratio, IFERROR(savings_cap_ratio, 0.75),
  cap_amt,   cap_ratio * $W16,
  start_sav, IFERROR(Balances!$S16, 0),
  base,      ROUND(($I16-$J16-$X16)*allocSav, 2),
  IF(start_sav &gt;= cap_amt, base, 0)
)
</f>
        <v>0</v>
      </c>
      <c r="P16" s="11">
        <f>IFERROR($O16 * IFERROR(surplus_to_ETF, 0.4), 0)
</f>
        <v>0</v>
      </c>
      <c r="Q16" s="11">
        <f>IFERROR($O16 * IFERROR(surplus_to_RE, 0.6), 0)
</f>
        <v>0</v>
      </c>
      <c r="R16" s="10">
        <f>IF($A16&lt;=capAge,
   MAX(
     0,
     ROUND(
       ($I16-$J16-$X16)*(1-allocETF-allocRE-allocSav)
       - capBase * (1 + inflation) ^ ($A16 - startAge),
     2)
   ),
   0
)
</f>
        <v>0</v>
      </c>
      <c r="S16" s="11">
        <f>IF(R16&gt;0, R16*lifeExcessToETF, 0)
</f>
        <v>0</v>
      </c>
      <c r="T16" s="11">
        <f>IF(R16&gt;0, R16*lifeExcessToLoan, 0)
</f>
        <v>0</v>
      </c>
      <c r="U16" s="11">
        <f t="shared" si="3"/>
        <v>0</v>
      </c>
      <c r="V16" s="11">
        <f t="array" ref="V16">LET(
  age,$A16,
  ti_prev,N($E15),
  gross,SUMIF('RE Amortization'!$E:$E,$A16,'RE Amortization'!$K:$K),
  fed_single,IFERROR(LOOKUP(ti_prev,N(Assumptions!$D$3:$D$9),N(Assumptions!$F$3:$F$9)),INDEX(N(Assumptions!$F$3:$F$9),1)),
  fed_married,IFERROR(LOOKUP(ti_prev,N(Assumptions!$D$13:$D$19),N(Assumptions!$F$13:$F$19)),INDEX(N(Assumptions!$F$13:$F$19),1)),
  fed_rate,IF(age&lt;MarriageAge,fed_single,fed_married),
  ROUND(gross*(1-fed_rate-gaEff),2)
)
</f>
        <v>7113.1</v>
      </c>
      <c r="W16" s="13">
        <f t="shared" si="4"/>
        <v>225259.59</v>
      </c>
      <c r="X16" s="11">
        <f t="array" ref="X16">IF(
  AB16&lt;=0,0,
  IF(
    A16&lt;loanStartAge,0,
    MIN(
      AB16 + ROUND(AB16*loanRate,2),
      IF(A16=loanStartAge,
        cfiPayPct * I16,      
        -PMT(loanRate,loanTerm,INDEX($AB:$AB,MATCH(loanStartAge,$A:$A,0)))
      )
    )
  )
)
</f>
        <v>0</v>
      </c>
      <c r="Y16" s="9">
        <f>IF(AB16&lt;=0,0,ROUND(AB16*loanRate,2))
</f>
        <v>0</v>
      </c>
      <c r="Z16" s="9">
        <f t="shared" si="5"/>
        <v>0</v>
      </c>
      <c r="AA16" s="9">
        <f t="shared" si="6"/>
        <v>0</v>
      </c>
      <c r="AB16" s="9">
        <f>IF(A16=18, loanStartBal, OFFSET(AA16,-1,0))
</f>
        <v>0</v>
      </c>
    </row>
    <row r="17" ht="15.75" customHeight="1">
      <c r="A17" s="1">
        <v>33.0</v>
      </c>
      <c r="B17" s="11">
        <f>IFERROR(__xludf.DUMMYFUNCTION("IFERROR(
  INDEX( FILTER('Pilot Pay'!R:R, VALUE('Pilot Pay'!K:K)=VALUE($A17)) , 1 ),
  0
)
"),597817.84)</f>
        <v>597817.84</v>
      </c>
      <c r="C17" s="11">
        <f>ROUND(
  MIN($B17*emp401kPct, IF($A17&lt;catchAge, emp401kCap, emp401kCap_catch)),
2)
</f>
        <v>24500</v>
      </c>
      <c r="D17" s="11">
        <f>ROUND(
  MIN(
    MIN($B17*er401kPct, IF($A17&lt;catchAge, er401kCap_base, er401kCap_catch)),
    MAX(
      0,
      MIN($B17,
          IF($A17&gt;=specialCatchStartAge,
             IF($A17&lt;=specialCatchEndAge, total401kCap_60to63, total401kCap_50to59),
             IF($A17&gt;=catchAge, total401kCap_50to59, total401kCap_u50)
          )
      ) - $C17
    )
  ),
2)
</f>
        <v>43500</v>
      </c>
      <c r="E17" s="11">
        <f t="shared" si="7"/>
        <v>573317.84</v>
      </c>
      <c r="F17" s="11">
        <f>IFERROR(
  IF($A17 &lt; MarriageAge,
     SUMPRODUCT( ($E17&gt;FedLower_Single) * ((IF($E17&gt;FedUpper_Single, FedUpper_Single, $E17))-FedLower_Single) * FedRate_Single ),
     SUMPRODUCT( ($E17&gt;FedLower_Married) * ((IF($E17&gt;FedUpper_Married, FedUpper_Married, $E17))-FedLower_Married) * FedRate_Married )
  ),
0)
</f>
        <v>138278.734</v>
      </c>
      <c r="G17" s="11">
        <f>ROUND(gaEff*$E17, 2)
</f>
        <v>29755.2</v>
      </c>
      <c r="H17" s="11">
        <f>IF($B17=0,0,
  ROUND(
    ssRate*MIN($B17, ssBase) +
    medRate*$B17 +
    addlMedRate*MAX(0, $B17 - addlMedThresh),
 2))
</f>
        <v>23631.92</v>
      </c>
      <c r="I17" s="11">
        <f t="shared" si="8"/>
        <v>381651.99</v>
      </c>
      <c r="J17" s="11">
        <f>ROUND(
  MIN(rothIRA, IF($A17&lt;catchAge, rothCap_base, rothCap_catch)),
2)
</f>
        <v>7000</v>
      </c>
      <c r="K17" s="11">
        <f>ROUND(($I17-$J17-$X17)*allocETF, 2) + IFERROR($P17, 0)
</f>
        <v>74930.4</v>
      </c>
      <c r="L17" s="11">
        <f>ROUND( ($I17-$J17-$X17)*allocRE , 2)
</f>
        <v>56197.8</v>
      </c>
      <c r="M17" s="11">
        <f>LET(
  cap_ratio, IFERROR(savings_cap_ratio, 0.75),
  cap_amt,   cap_ratio * $W17,
  start_sav, IFERROR(Balances!$S17, 0),
  base,      ROUND(($I17-$J17-$X17)*allocSav, 2),
  IF(start_sav &gt;= cap_amt, 0, base)
)
</f>
        <v>18732.6</v>
      </c>
      <c r="N17" s="11">
        <f>IF($A17&lt;=capAge,
   MIN(
     ROUND( ($I17-$J17-$X17)*(1-allocETF-allocRE-allocSav), 2),
     capBase * (1 + inflation) ^ ($A17 - startAge)
   ),
   ROUND( ($I17-$J17-$X17)*(1-allocETF-allocRE-allocSav), 2)
)
</f>
        <v>224791.19</v>
      </c>
      <c r="O17" s="11">
        <f>LET(
  cap_ratio, IFERROR(savings_cap_ratio, 0.75),
  cap_amt,   cap_ratio * $W17,
  start_sav, IFERROR(Balances!$S17, 0),
  base,      ROUND(($I17-$J17-$X17)*allocSav, 2),
  IF(start_sav &gt;= cap_amt, base, 0)
)
</f>
        <v>0</v>
      </c>
      <c r="P17" s="11">
        <f>IFERROR($O17 * IFERROR(surplus_to_ETF, 0.4), 0)
</f>
        <v>0</v>
      </c>
      <c r="Q17" s="11">
        <f>IFERROR($O17 * IFERROR(surplus_to_RE, 0.6), 0)
</f>
        <v>0</v>
      </c>
      <c r="R17" s="10">
        <f>IF($A17&lt;=capAge,
   MAX(
     0,
     ROUND(
       ($I17-$J17-$X17)*(1-allocETF-allocRE-allocSav)
       - capBase * (1 + inflation) ^ ($A17 - startAge),
     2)
   ),
   0
)
</f>
        <v>0</v>
      </c>
      <c r="S17" s="11">
        <f>IF(R17&gt;0, R17*lifeExcessToETF, 0)
</f>
        <v>0</v>
      </c>
      <c r="T17" s="11">
        <f>IF(R17&gt;0, R17*lifeExcessToLoan, 0)
</f>
        <v>0</v>
      </c>
      <c r="U17" s="11">
        <f t="shared" si="3"/>
        <v>0</v>
      </c>
      <c r="V17" s="11">
        <f t="array" ref="V17">LET(
  age,$A17,
  ti_prev,N($E16),
  gross,SUMIF('RE Amortization'!$E:$E,$A17,'RE Amortization'!$K:$K),
  fed_single,IFERROR(LOOKUP(ti_prev,N(Assumptions!$D$3:$D$9),N(Assumptions!$F$3:$F$9)),INDEX(N(Assumptions!$F$3:$F$9),1)),
  fed_married,IFERROR(LOOKUP(ti_prev,N(Assumptions!$D$13:$D$19),N(Assumptions!$F$13:$F$19)),INDEX(N(Assumptions!$F$13:$F$19),1)),
  fed_rate,IF(age&lt;MarriageAge,fed_single,fed_married),
  ROUND(gross*(1-fed_rate-gaEff),2)
)
</f>
        <v>13436.77</v>
      </c>
      <c r="W17" s="13">
        <f t="shared" si="4"/>
        <v>238227.96</v>
      </c>
      <c r="X17" s="11">
        <f t="array" ref="X17">IF(
  AB17&lt;=0,0,
  IF(
    A17&lt;loanStartAge,0,
    MIN(
      AB17 + ROUND(AB17*loanRate,2),
      IF(A17=loanStartAge,
        cfiPayPct * I17,      
        -PMT(loanRate,loanTerm,INDEX($AB:$AB,MATCH(loanStartAge,$A:$A,0)))
      )
    )
  )
)
</f>
        <v>0</v>
      </c>
      <c r="Y17" s="9">
        <f>IF(AB17&lt;=0,0,ROUND(AB17*loanRate,2))
</f>
        <v>0</v>
      </c>
      <c r="Z17" s="9">
        <f t="shared" si="5"/>
        <v>0</v>
      </c>
      <c r="AA17" s="9">
        <f t="shared" si="6"/>
        <v>0</v>
      </c>
      <c r="AB17" s="9">
        <f>IF(A17=18, loanStartBal, OFFSET(AA17,-1,0))
</f>
        <v>0</v>
      </c>
    </row>
    <row r="18" ht="15.75" customHeight="1">
      <c r="A18" s="1">
        <v>34.0</v>
      </c>
      <c r="B18" s="11">
        <f>IFERROR(__xludf.DUMMYFUNCTION("IFERROR(
  INDEX( FILTER('Pilot Pay'!R:R, VALUE('Pilot Pay'!K:K)=VALUE($A18)) , 1 ),
  0
)
"),617789.19)</f>
        <v>617789.19</v>
      </c>
      <c r="C18" s="11">
        <f>ROUND(
  MIN($B18*emp401kPct, IF($A18&lt;catchAge, emp401kCap, emp401kCap_catch)),
2)
</f>
        <v>24500</v>
      </c>
      <c r="D18" s="11">
        <f>ROUND(
  MIN(
    MIN($B18*er401kPct, IF($A18&lt;catchAge, er401kCap_base, er401kCap_catch)),
    MAX(
      0,
      MIN($B18,
          IF($A18&gt;=specialCatchStartAge,
             IF($A18&lt;=specialCatchEndAge, total401kCap_60to63, total401kCap_50to59),
             IF($A18&gt;=catchAge, total401kCap_50to59, total401kCap_u50)
          )
      ) - $C18
    )
  ),
2)
</f>
        <v>43500</v>
      </c>
      <c r="E18" s="11">
        <f t="shared" si="7"/>
        <v>593289.19</v>
      </c>
      <c r="F18" s="11">
        <f>IFERROR(
  IF($A18 &lt; MarriageAge,
     SUMPRODUCT( ($E18&gt;FedLower_Single) * ((IF($E18&gt;FedUpper_Single, FedUpper_Single, $E18))-FedLower_Single) * FedRate_Single ),
     SUMPRODUCT( ($E18&gt;FedLower_Married) * ((IF($E18&gt;FedUpper_Married, FedUpper_Married, $E18))-FedLower_Married) * FedRate_Married )
  ),
0)
</f>
        <v>145268.7065</v>
      </c>
      <c r="G18" s="11">
        <f>ROUND(gaEff*$E18, 2)
</f>
        <v>30791.71</v>
      </c>
      <c r="H18" s="11">
        <f>IF($B18=0,0,
  ROUND(
    ssRate*MIN($B18, ssBase) +
    medRate*$B18 +
    addlMedRate*MAX(0, $B18 - addlMedThresh),
 2))
</f>
        <v>24101.25</v>
      </c>
      <c r="I18" s="11">
        <f t="shared" si="8"/>
        <v>393127.52</v>
      </c>
      <c r="J18" s="11">
        <f>ROUND(
  MIN(rothIRA, IF($A18&lt;catchAge, rothCap_base, rothCap_catch)),
2)
</f>
        <v>7000</v>
      </c>
      <c r="K18" s="11">
        <f>ROUND(($I18-$J18-$X18)*allocETF, 2) + IFERROR($P18, 0)
</f>
        <v>77225.5</v>
      </c>
      <c r="L18" s="11">
        <f>ROUND( ($I18-$J18-$X18)*allocRE , 2)
</f>
        <v>57919.13</v>
      </c>
      <c r="M18" s="11">
        <f>LET(
  cap_ratio, IFERROR(savings_cap_ratio, 0.75),
  cap_amt,   cap_ratio * $W18,
  start_sav, IFERROR(Balances!$S18, 0),
  base,      ROUND(($I18-$J18-$X18)*allocSav, 2),
  IF(start_sav &gt;= cap_amt, 0, base)
)
</f>
        <v>19306.38</v>
      </c>
      <c r="N18" s="11">
        <f>IF($A18&lt;=capAge,
   MIN(
     ROUND( ($I18-$J18-$X18)*(1-allocETF-allocRE-allocSav), 2),
     capBase * (1 + inflation) ^ ($A18 - startAge)
   ),
   ROUND( ($I18-$J18-$X18)*(1-allocETF-allocRE-allocSav), 2)
)
</f>
        <v>231676.51</v>
      </c>
      <c r="O18" s="11">
        <f>LET(
  cap_ratio, IFERROR(savings_cap_ratio, 0.75),
  cap_amt,   cap_ratio * $W18,
  start_sav, IFERROR(Balances!$S18, 0),
  base,      ROUND(($I18-$J18-$X18)*allocSav, 2),
  IF(start_sav &gt;= cap_amt, base, 0)
)
</f>
        <v>0</v>
      </c>
      <c r="P18" s="11">
        <f>IFERROR($O18 * IFERROR(surplus_to_ETF, 0.4), 0)
</f>
        <v>0</v>
      </c>
      <c r="Q18" s="11">
        <f>IFERROR($O18 * IFERROR(surplus_to_RE, 0.6), 0)
</f>
        <v>0</v>
      </c>
      <c r="R18" s="10">
        <f>IF($A18&lt;=capAge,
   MAX(
     0,
     ROUND(
       ($I18-$J18-$X18)*(1-allocETF-allocRE-allocSav)
       - capBase * (1 + inflation) ^ ($A18 - startAge),
     2)
   ),
   0
)
</f>
        <v>0</v>
      </c>
      <c r="S18" s="11">
        <f>IF(R18&gt;0, R18*lifeExcessToETF, 0)
</f>
        <v>0</v>
      </c>
      <c r="T18" s="11">
        <f>IF(R18&gt;0, R18*lifeExcessToLoan, 0)
</f>
        <v>0</v>
      </c>
      <c r="U18" s="11">
        <f t="shared" si="3"/>
        <v>0</v>
      </c>
      <c r="V18" s="11">
        <f t="array" ref="V18">LET(
  age,$A18,
  ti_prev,N($E17),
  gross,SUMIF('RE Amortization'!$E:$E,$A18,'RE Amortization'!$K:$K),
  fed_single,IFERROR(LOOKUP(ti_prev,N(Assumptions!$D$3:$D$9),N(Assumptions!$F$3:$F$9)),INDEX(N(Assumptions!$F$3:$F$9),1)),
  fed_married,IFERROR(LOOKUP(ti_prev,N(Assumptions!$D$13:$D$19),N(Assumptions!$F$13:$F$19)),INDEX(N(Assumptions!$F$13:$F$19),1)),
  fed_rate,IF(age&lt;MarriageAge,fed_single,fed_married),
  ROUND(gross*(1-fed_rate-gaEff),2)
)
</f>
        <v>17496.77</v>
      </c>
      <c r="W18" s="13">
        <f t="shared" si="4"/>
        <v>249173.28</v>
      </c>
      <c r="X18" s="11">
        <f t="array" ref="X18">IF(
  AB18&lt;=0,0,
  IF(
    A18&lt;loanStartAge,0,
    MIN(
      AB18 + ROUND(AB18*loanRate,2),
      IF(A18=loanStartAge,
        cfiPayPct * I18,      
        -PMT(loanRate,loanTerm,INDEX($AB:$AB,MATCH(loanStartAge,$A:$A,0)))
      )
    )
  )
)
</f>
        <v>0</v>
      </c>
      <c r="Y18" s="9">
        <f>IF(AB18&lt;=0,0,ROUND(AB18*loanRate,2))
</f>
        <v>0</v>
      </c>
      <c r="Z18" s="9">
        <f t="shared" si="5"/>
        <v>0</v>
      </c>
      <c r="AA18" s="9">
        <f t="shared" si="6"/>
        <v>0</v>
      </c>
      <c r="AB18" s="9">
        <f>IF(A18=18, loanStartBal, OFFSET(AA18,-1,0))
</f>
        <v>0</v>
      </c>
    </row>
    <row r="19" ht="15.75" customHeight="1">
      <c r="A19" s="1">
        <v>35.0</v>
      </c>
      <c r="B19" s="11">
        <f>IFERROR(__xludf.DUMMYFUNCTION("IFERROR(
  INDEX( FILTER('Pilot Pay'!R:R, VALUE('Pilot Pay'!K:K)=VALUE($A19)) , 1 ),
  0
)
"),638343.36)</f>
        <v>638343.36</v>
      </c>
      <c r="C19" s="11">
        <f>ROUND(
  MIN($B19*emp401kPct, IF($A19&lt;catchAge, emp401kCap, emp401kCap_catch)),
2)
</f>
        <v>24500</v>
      </c>
      <c r="D19" s="11">
        <f>ROUND(
  MIN(
    MIN($B19*er401kPct, IF($A19&lt;catchAge, er401kCap_base, er401kCap_catch)),
    MAX(
      0,
      MIN($B19,
          IF($A19&gt;=specialCatchStartAge,
             IF($A19&lt;=specialCatchEndAge, total401kCap_60to63, total401kCap_50to59),
             IF($A19&gt;=catchAge, total401kCap_50to59, total401kCap_u50)
          )
      ) - $C19
    )
  ),
2)
</f>
        <v>43500</v>
      </c>
      <c r="E19" s="11">
        <f t="shared" si="7"/>
        <v>613843.36</v>
      </c>
      <c r="F19" s="11">
        <f>IFERROR(
  IF($A19 &lt; MarriageAge,
     SUMPRODUCT( ($E19&gt;FedLower_Single) * ((IF($E19&gt;FedUpper_Single, FedUpper_Single, $E19))-FedLower_Single) * FedRate_Single ),
     SUMPRODUCT( ($E19&gt;FedLower_Married) * ((IF($E19&gt;FedUpper_Married, FedUpper_Married, $E19))-FedLower_Married) * FedRate_Married )
  ),
0)
</f>
        <v>152462.666</v>
      </c>
      <c r="G19" s="11">
        <f>ROUND(gaEff*$E19, 2)
</f>
        <v>31858.47</v>
      </c>
      <c r="H19" s="11">
        <f>IF($B19=0,0,
  ROUND(
    ssRate*MIN($B19, ssBase) +
    medRate*$B19 +
    addlMedRate*MAX(0, $B19 - addlMedThresh),
 2))
</f>
        <v>24584.27</v>
      </c>
      <c r="I19" s="11">
        <f t="shared" si="8"/>
        <v>404937.95</v>
      </c>
      <c r="J19" s="11">
        <f>ROUND(
  MIN(rothIRA, IF($A19&lt;catchAge, rothCap_base, rothCap_catch)),
2)
</f>
        <v>7000</v>
      </c>
      <c r="K19" s="11">
        <f>ROUND(($I19-$J19-$X19)*allocETF, 2) + IFERROR($P19, 0)
</f>
        <v>79587.59</v>
      </c>
      <c r="L19" s="11">
        <f>ROUND( ($I19-$J19-$X19)*allocRE , 2)
</f>
        <v>59690.69</v>
      </c>
      <c r="M19" s="11">
        <f>LET(
  cap_ratio, IFERROR(savings_cap_ratio, 0.75),
  cap_amt,   cap_ratio * $W19,
  start_sav, IFERROR(Balances!$S19, 0),
  base,      ROUND(($I19-$J19-$X19)*allocSav, 2),
  IF(start_sav &gt;= cap_amt, 0, base)
)
</f>
        <v>19896.9</v>
      </c>
      <c r="N19" s="11">
        <f>IF($A19&lt;=capAge,
   MIN(
     ROUND( ($I19-$J19-$X19)*(1-allocETF-allocRE-allocSav), 2),
     capBase * (1 + inflation) ^ ($A19 - startAge)
   ),
   ROUND( ($I19-$J19-$X19)*(1-allocETF-allocRE-allocSav), 2)
)
</f>
        <v>238762.77</v>
      </c>
      <c r="O19" s="11">
        <f>LET(
  cap_ratio, IFERROR(savings_cap_ratio, 0.75),
  cap_amt,   cap_ratio * $W19,
  start_sav, IFERROR(Balances!$S19, 0),
  base,      ROUND(($I19-$J19-$X19)*allocSav, 2),
  IF(start_sav &gt;= cap_amt, base, 0)
)
</f>
        <v>0</v>
      </c>
      <c r="P19" s="11">
        <f>IFERROR($O19 * IFERROR(surplus_to_ETF, 0.4), 0)
</f>
        <v>0</v>
      </c>
      <c r="Q19" s="11">
        <f>IFERROR($O19 * IFERROR(surplus_to_RE, 0.6), 0)
</f>
        <v>0</v>
      </c>
      <c r="R19" s="10">
        <f>IF($A19&lt;=capAge,
   MAX(
     0,
     ROUND(
       ($I19-$J19-$X19)*(1-allocETF-allocRE-allocSav)
       - capBase * (1 + inflation) ^ ($A19 - startAge),
     2)
   ),
   0
)
</f>
        <v>0</v>
      </c>
      <c r="S19" s="11">
        <f>IF(R19&gt;0, R19*lifeExcessToETF, 0)
</f>
        <v>0</v>
      </c>
      <c r="T19" s="11">
        <f>IF(R19&gt;0, R19*lifeExcessToLoan, 0)
</f>
        <v>0</v>
      </c>
      <c r="U19" s="11">
        <f t="shared" si="3"/>
        <v>0</v>
      </c>
      <c r="V19" s="11">
        <f t="array" ref="V19">LET(
  age,$A19,
  ti_prev,N($E18),
  gross,SUMIF('RE Amortization'!$E:$E,$A19,'RE Amortization'!$K:$K),
  fed_single,IFERROR(LOOKUP(ti_prev,N(Assumptions!$D$3:$D$9),N(Assumptions!$F$3:$F$9)),INDEX(N(Assumptions!$F$3:$F$9),1)),
  fed_married,IFERROR(LOOKUP(ti_prev,N(Assumptions!$D$13:$D$19),N(Assumptions!$F$13:$F$19)),INDEX(N(Assumptions!$F$13:$F$19),1)),
  fed_rate,IF(age&lt;MarriageAge,fed_single,fed_married),
  ROUND(gross*(1-fed_rate-gaEff),2)
)
</f>
        <v>24032.89</v>
      </c>
      <c r="W19" s="13">
        <f t="shared" si="4"/>
        <v>262795.66</v>
      </c>
      <c r="X19" s="11">
        <f t="array" ref="X19">IF(
  AB19&lt;=0,0,
  IF(
    A19&lt;loanStartAge,0,
    MIN(
      AB19 + ROUND(AB19*loanRate,2),
      IF(A19=loanStartAge,
        cfiPayPct * I19,      
        -PMT(loanRate,loanTerm,INDEX($AB:$AB,MATCH(loanStartAge,$A:$A,0)))
      )
    )
  )
)
</f>
        <v>0</v>
      </c>
      <c r="Y19" s="9">
        <f>IF(AB19&lt;=0,0,ROUND(AB19*loanRate,2))
</f>
        <v>0</v>
      </c>
      <c r="Z19" s="9">
        <f t="shared" si="5"/>
        <v>0</v>
      </c>
      <c r="AA19" s="9">
        <f t="shared" si="6"/>
        <v>0</v>
      </c>
      <c r="AB19" s="9">
        <f>IF(A19=18, loanStartBal, OFFSET(AA19,-1,0))
</f>
        <v>0</v>
      </c>
    </row>
    <row r="20" ht="15.75" customHeight="1">
      <c r="A20" s="1">
        <v>36.0</v>
      </c>
      <c r="B20" s="11">
        <f>IFERROR(__xludf.DUMMYFUNCTION("IFERROR(
  INDEX( FILTER('Pilot Pay'!R:R, VALUE('Pilot Pay'!K:K)=VALUE($A20)) , 1 ),
  0
)
"),659539.12)</f>
        <v>659539.12</v>
      </c>
      <c r="C20" s="11">
        <f>ROUND(
  MIN($B20*emp401kPct, IF($A20&lt;catchAge, emp401kCap, emp401kCap_catch)),
2)
</f>
        <v>24500</v>
      </c>
      <c r="D20" s="11">
        <f>ROUND(
  MIN(
    MIN($B20*er401kPct, IF($A20&lt;catchAge, er401kCap_base, er401kCap_catch)),
    MAX(
      0,
      MIN($B20,
          IF($A20&gt;=specialCatchStartAge,
             IF($A20&lt;=specialCatchEndAge, total401kCap_60to63, total401kCap_50to59),
             IF($A20&gt;=catchAge, total401kCap_50to59, total401kCap_u50)
          )
      ) - $C20
    )
  ),
2)
</f>
        <v>43500</v>
      </c>
      <c r="E20" s="11">
        <f t="shared" si="7"/>
        <v>635039.12</v>
      </c>
      <c r="F20" s="11">
        <f>IFERROR(
  IF($A20 &lt; MarriageAge,
     SUMPRODUCT( ($E20&gt;FedLower_Single) * ((IF($E20&gt;FedUpper_Single, FedUpper_Single, $E20))-FedLower_Single) * FedRate_Single ),
     SUMPRODUCT( ($E20&gt;FedLower_Married) * ((IF($E20&gt;FedUpper_Married, FedUpper_Married, $E20))-FedLower_Married) * FedRate_Married )
  ),
0)
</f>
        <v>159881.182</v>
      </c>
      <c r="G20" s="11">
        <f>ROUND(gaEff*$E20, 2)
</f>
        <v>32958.53</v>
      </c>
      <c r="H20" s="11">
        <f>IF($B20=0,0,
  ROUND(
    ssRate*MIN($B20, ssBase) +
    medRate*$B20 +
    addlMedRate*MAX(0, $B20 - addlMedThresh),
 2))
</f>
        <v>25082.37</v>
      </c>
      <c r="I20" s="11">
        <f t="shared" si="8"/>
        <v>417117.04</v>
      </c>
      <c r="J20" s="11">
        <f>ROUND(
  MIN(rothIRA, IF($A20&lt;catchAge, rothCap_base, rothCap_catch)),
2)
</f>
        <v>7000</v>
      </c>
      <c r="K20" s="11">
        <f>ROUND(($I20-$J20-$X20)*allocETF, 2) + IFERROR($P20, 0)
</f>
        <v>92276.335</v>
      </c>
      <c r="L20" s="11">
        <f>ROUND( ($I20-$J20-$X20)*allocRE , 2)
</f>
        <v>61517.56</v>
      </c>
      <c r="M20" s="11">
        <f>LET(
  cap_ratio, IFERROR(savings_cap_ratio, 0.75),
  cap_amt,   cap_ratio * $W20,
  start_sav, IFERROR(Balances!$S20, 0),
  base,      ROUND(($I20-$J20-$X20)*allocSav, 2),
  IF(start_sav &gt;= cap_amt, 0, base)
)
</f>
        <v>0</v>
      </c>
      <c r="N20" s="11">
        <f>IF($A20&lt;=capAge,
   MIN(
     ROUND( ($I20-$J20-$X20)*(1-allocETF-allocRE-allocSav), 2),
     capBase * (1 + inflation) ^ ($A20 - startAge)
   ),
   ROUND( ($I20-$J20-$X20)*(1-allocETF-allocRE-allocSav), 2)
)
</f>
        <v>246070.22</v>
      </c>
      <c r="O20" s="11">
        <f>LET(
  cap_ratio, IFERROR(savings_cap_ratio, 0.75),
  cap_amt,   cap_ratio * $W20,
  start_sav, IFERROR(Balances!$S20, 0),
  base,      ROUND(($I20-$J20-$X20)*allocSav, 2),
  IF(start_sav &gt;= cap_amt, base, 0)
)
</f>
        <v>20505.85</v>
      </c>
      <c r="P20" s="11">
        <f>IFERROR($O20 * IFERROR(surplus_to_ETF, 0.4), 0)
</f>
        <v>10252.925</v>
      </c>
      <c r="Q20" s="11">
        <f>IFERROR($O20 * IFERROR(surplus_to_RE, 0.6), 0)
</f>
        <v>10252.925</v>
      </c>
      <c r="R20" s="10">
        <f>IF($A20&lt;=capAge,
   MAX(
     0,
     ROUND(
       ($I20-$J20-$X20)*(1-allocETF-allocRE-allocSav)
       - capBase * (1 + inflation) ^ ($A20 - startAge),
     2)
   ),
   0
)
</f>
        <v>0</v>
      </c>
      <c r="S20" s="11">
        <f>IF(R20&gt;0, R20*lifeExcessToETF, 0)
</f>
        <v>0</v>
      </c>
      <c r="T20" s="11">
        <f>IF(R20&gt;0, R20*lifeExcessToLoan, 0)
</f>
        <v>0</v>
      </c>
      <c r="U20" s="11">
        <f t="shared" si="3"/>
        <v>0</v>
      </c>
      <c r="V20" s="11">
        <f t="array" ref="V20">LET(
  age,$A20,
  ti_prev,N($E19),
  gross,SUMIF('RE Amortization'!$E:$E,$A20,'RE Amortization'!$K:$K),
  fed_single,IFERROR(LOOKUP(ti_prev,N(Assumptions!$D$3:$D$9),N(Assumptions!$F$3:$F$9)),INDEX(N(Assumptions!$F$3:$F$9),1)),
  fed_married,IFERROR(LOOKUP(ti_prev,N(Assumptions!$D$13:$D$19),N(Assumptions!$F$13:$F$19)),INDEX(N(Assumptions!$F$13:$F$19),1)),
  fed_rate,IF(age&lt;MarriageAge,fed_single,fed_married),
  ROUND(gross*(1-fed_rate-gaEff),2)
)
</f>
        <v>18456.23</v>
      </c>
      <c r="W20" s="13">
        <f t="shared" si="4"/>
        <v>264526.45</v>
      </c>
      <c r="X20" s="11">
        <f t="array" ref="X20">IF(
  AB20&lt;=0,0,
  IF(
    A20&lt;loanStartAge,0,
    MIN(
      AB20 + ROUND(AB20*loanRate,2),
      IF(A20=loanStartAge,
        cfiPayPct * I20,      
        -PMT(loanRate,loanTerm,INDEX($AB:$AB,MATCH(loanStartAge,$A:$A,0)))
      )
    )
  )
)
</f>
        <v>0</v>
      </c>
      <c r="Y20" s="9">
        <f>IF(AB20&lt;=0,0,ROUND(AB20*loanRate,2))
</f>
        <v>0</v>
      </c>
      <c r="Z20" s="9">
        <f t="shared" si="5"/>
        <v>0</v>
      </c>
      <c r="AA20" s="9">
        <f t="shared" si="6"/>
        <v>0</v>
      </c>
      <c r="AB20" s="9">
        <f>IF(A20=18, loanStartBal, OFFSET(AA20,-1,0))
</f>
        <v>0</v>
      </c>
    </row>
    <row r="21" ht="15.75" customHeight="1">
      <c r="A21" s="1">
        <v>37.0</v>
      </c>
      <c r="B21" s="11">
        <f>IFERROR(__xludf.DUMMYFUNCTION("IFERROR(
  INDEX( FILTER('Pilot Pay'!R:R, VALUE('Pilot Pay'!K:K)=VALUE($A21)) , 1 ),
  0
)
"),681336.72)</f>
        <v>681336.72</v>
      </c>
      <c r="C21" s="11">
        <f>ROUND(
  MIN($B21*emp401kPct, IF($A21&lt;catchAge, emp401kCap, emp401kCap_catch)),
2)
</f>
        <v>24500</v>
      </c>
      <c r="D21" s="11">
        <f>ROUND(
  MIN(
    MIN($B21*er401kPct, IF($A21&lt;catchAge, er401kCap_base, er401kCap_catch)),
    MAX(
      0,
      MIN($B21,
          IF($A21&gt;=specialCatchStartAge,
             IF($A21&lt;=specialCatchEndAge, total401kCap_60to63, total401kCap_50to59),
             IF($A21&gt;=catchAge, total401kCap_50to59, total401kCap_u50)
          )
      ) - $C21
    )
  ),
2)
</f>
        <v>43500</v>
      </c>
      <c r="E21" s="11">
        <f t="shared" si="7"/>
        <v>656836.72</v>
      </c>
      <c r="F21" s="11">
        <f>IFERROR(
  IF($A21 &lt; MarriageAge,
     SUMPRODUCT( ($E21&gt;FedLower_Single) * ((IF($E21&gt;FedUpper_Single, FedUpper_Single, $E21))-FedLower_Single) * FedRate_Single ),
     SUMPRODUCT( ($E21&gt;FedLower_Married) * ((IF($E21&gt;FedUpper_Married, FedUpper_Married, $E21))-FedLower_Married) * FedRate_Married )
  ),
0)
</f>
        <v>167510.342</v>
      </c>
      <c r="G21" s="11">
        <f>ROUND(gaEff*$E21, 2)
</f>
        <v>34089.83</v>
      </c>
      <c r="H21" s="11">
        <f>IF($B21=0,0,
  ROUND(
    ssRate*MIN($B21, ssBase) +
    medRate*$B21 +
    addlMedRate*MAX(0, $B21 - addlMedThresh),
 2))
</f>
        <v>25594.61</v>
      </c>
      <c r="I21" s="11">
        <f t="shared" si="8"/>
        <v>429641.94</v>
      </c>
      <c r="J21" s="11">
        <f>ROUND(
  MIN(rothIRA, IF($A21&lt;catchAge, rothCap_base, rothCap_catch)),
2)
</f>
        <v>7000</v>
      </c>
      <c r="K21" s="11">
        <f>ROUND(($I21-$J21-$X21)*allocETF, 2) + IFERROR($P21, 0)
</f>
        <v>95094.44</v>
      </c>
      <c r="L21" s="11">
        <f>ROUND( ($I21-$J21-$X21)*allocRE , 2)
</f>
        <v>63396.29</v>
      </c>
      <c r="M21" s="11">
        <f>LET(
  cap_ratio, IFERROR(savings_cap_ratio, 0.75),
  cap_amt,   cap_ratio * $W21,
  start_sav, IFERROR(Balances!$S21, 0),
  base,      ROUND(($I21-$J21-$X21)*allocSav, 2),
  IF(start_sav &gt;= cap_amt, 0, base)
)
</f>
        <v>0</v>
      </c>
      <c r="N21" s="11">
        <f>IF($A21&lt;=capAge,
   MIN(
     ROUND( ($I21-$J21-$X21)*(1-allocETF-allocRE-allocSav), 2),
     capBase * (1 + inflation) ^ ($A21 - startAge)
   ),
   ROUND( ($I21-$J21-$X21)*(1-allocETF-allocRE-allocSav), 2)
)
</f>
        <v>253585.16</v>
      </c>
      <c r="O21" s="11">
        <f>LET(
  cap_ratio, IFERROR(savings_cap_ratio, 0.75),
  cap_amt,   cap_ratio * $W21,
  start_sav, IFERROR(Balances!$S21, 0),
  base,      ROUND(($I21-$J21-$X21)*allocSav, 2),
  IF(start_sav &gt;= cap_amt, base, 0)
)
</f>
        <v>21132.1</v>
      </c>
      <c r="P21" s="11">
        <f>IFERROR($O21 * IFERROR(surplus_to_ETF, 0.4), 0)
</f>
        <v>10566.05</v>
      </c>
      <c r="Q21" s="11">
        <f>IFERROR($O21 * IFERROR(surplus_to_RE, 0.6), 0)
</f>
        <v>10566.05</v>
      </c>
      <c r="R21" s="10">
        <f>IF($A21&lt;=capAge,
   MAX(
     0,
     ROUND(
       ($I21-$J21-$X21)*(1-allocETF-allocRE-allocSav)
       - capBase * (1 + inflation) ^ ($A21 - startAge),
     2)
   ),
   0
)
</f>
        <v>0</v>
      </c>
      <c r="S21" s="11">
        <f>IF(R21&gt;0, R21*lifeExcessToETF, 0)
</f>
        <v>0</v>
      </c>
      <c r="T21" s="11">
        <f>IF(R21&gt;0, R21*lifeExcessToLoan, 0)
</f>
        <v>0</v>
      </c>
      <c r="U21" s="11">
        <f t="shared" si="3"/>
        <v>0</v>
      </c>
      <c r="V21" s="11">
        <f t="array" ref="V21">LET(
  age,$A21,
  ti_prev,N($E20),
  gross,SUMIF('RE Amortization'!$E:$E,$A21,'RE Amortization'!$K:$K),
  fed_single,IFERROR(LOOKUP(ti_prev,N(Assumptions!$D$3:$D$9),N(Assumptions!$F$3:$F$9)),INDEX(N(Assumptions!$F$3:$F$9),1)),
  fed_married,IFERROR(LOOKUP(ti_prev,N(Assumptions!$D$13:$D$19),N(Assumptions!$F$13:$F$19)),INDEX(N(Assumptions!$F$13:$F$19),1)),
  fed_rate,IF(age&lt;MarriageAge,fed_single,fed_married),
  ROUND(gross*(1-fed_rate-gaEff),2)
)
</f>
        <v>23729.8</v>
      </c>
      <c r="W21" s="13">
        <f t="shared" si="4"/>
        <v>277314.96</v>
      </c>
      <c r="X21" s="11">
        <f t="array" ref="X21">IF(
  AB21&lt;=0,0,
  IF(
    A21&lt;loanStartAge,0,
    MIN(
      AB21 + ROUND(AB21*loanRate,2),
      IF(A21=loanStartAge,
        cfiPayPct * I21,      
        -PMT(loanRate,loanTerm,INDEX($AB:$AB,MATCH(loanStartAge,$A:$A,0)))
      )
    )
  )
)
</f>
        <v>0</v>
      </c>
      <c r="Y21" s="9">
        <f>IF(AB21&lt;=0,0,ROUND(AB21*loanRate,2))
</f>
        <v>0</v>
      </c>
      <c r="Z21" s="9">
        <f t="shared" si="5"/>
        <v>0</v>
      </c>
      <c r="AA21" s="9">
        <f t="shared" si="6"/>
        <v>0</v>
      </c>
      <c r="AB21" s="9">
        <f>IF(A21=18, loanStartBal, OFFSET(AA21,-1,0))
</f>
        <v>0</v>
      </c>
    </row>
    <row r="22" ht="15.75" customHeight="1">
      <c r="A22" s="1">
        <v>38.0</v>
      </c>
      <c r="B22" s="11">
        <f>IFERROR(__xludf.DUMMYFUNCTION("IFERROR(
  INDEX( FILTER('Pilot Pay'!R:R, VALUE('Pilot Pay'!K:K)=VALUE($A22)) , 1 ),
  0
)
"),703872.44)</f>
        <v>703872.44</v>
      </c>
      <c r="C22" s="11">
        <f>ROUND(
  MIN($B22*emp401kPct, IF($A22&lt;catchAge, emp401kCap, emp401kCap_catch)),
2)
</f>
        <v>24500</v>
      </c>
      <c r="D22" s="11">
        <f>ROUND(
  MIN(
    MIN($B22*er401kPct, IF($A22&lt;catchAge, er401kCap_base, er401kCap_catch)),
    MAX(
      0,
      MIN($B22,
          IF($A22&gt;=specialCatchStartAge,
             IF($A22&lt;=specialCatchEndAge, total401kCap_60to63, total401kCap_50to59),
             IF($A22&gt;=catchAge, total401kCap_50to59, total401kCap_u50)
          )
      ) - $C22
    )
  ),
2)
</f>
        <v>43500</v>
      </c>
      <c r="E22" s="11">
        <f t="shared" si="7"/>
        <v>679372.44</v>
      </c>
      <c r="F22" s="11">
        <f>IFERROR(
  IF($A22 &lt; MarriageAge,
     SUMPRODUCT( ($E22&gt;FedLower_Single) * ((IF($E22&gt;FedUpper_Single, FedUpper_Single, $E22))-FedLower_Single) * FedRate_Single ),
     SUMPRODUCT( ($E22&gt;FedLower_Married) * ((IF($E22&gt;FedUpper_Married, FedUpper_Married, $E22))-FedLower_Married) * FedRate_Married )
  ),
0)
</f>
        <v>175397.844</v>
      </c>
      <c r="G22" s="11">
        <f>ROUND(gaEff*$E22, 2)
</f>
        <v>35259.43</v>
      </c>
      <c r="H22" s="11">
        <f>IF($B22=0,0,
  ROUND(
    ssRate*MIN($B22, ssBase) +
    medRate*$B22 +
    addlMedRate*MAX(0, $B22 - addlMedThresh),
 2))
</f>
        <v>26124.2</v>
      </c>
      <c r="I22" s="11">
        <f t="shared" si="8"/>
        <v>442590.97</v>
      </c>
      <c r="J22" s="11">
        <f>ROUND(
  MIN(rothIRA, IF($A22&lt;catchAge, rothCap_base, rothCap_catch)),
2)
</f>
        <v>7000</v>
      </c>
      <c r="K22" s="11">
        <f>ROUND(($I22-$J22-$X22)*allocETF, 2) + IFERROR($P22, 0)
</f>
        <v>98007.965</v>
      </c>
      <c r="L22" s="11">
        <f>ROUND( ($I22-$J22-$X22)*allocRE , 2)
</f>
        <v>65338.65</v>
      </c>
      <c r="M22" s="11">
        <f>LET(
  cap_ratio, IFERROR(savings_cap_ratio, 0.75),
  cap_amt,   cap_ratio * $W22,
  start_sav, IFERROR(Balances!$S22, 0),
  base,      ROUND(($I22-$J22-$X22)*allocSav, 2),
  IF(start_sav &gt;= cap_amt, 0, base)
)
</f>
        <v>0</v>
      </c>
      <c r="N22" s="11">
        <f>IF($A22&lt;=capAge,
   MIN(
     ROUND( ($I22-$J22-$X22)*(1-allocETF-allocRE-allocSav), 2),
     capBase * (1 + inflation) ^ ($A22 - startAge)
   ),
   ROUND( ($I22-$J22-$X22)*(1-allocETF-allocRE-allocSav), 2)
)
</f>
        <v>261354.58</v>
      </c>
      <c r="O22" s="11">
        <f>LET(
  cap_ratio, IFERROR(savings_cap_ratio, 0.75),
  cap_amt,   cap_ratio * $W22,
  start_sav, IFERROR(Balances!$S22, 0),
  base,      ROUND(($I22-$J22-$X22)*allocSav, 2),
  IF(start_sav &gt;= cap_amt, base, 0)
)
</f>
        <v>21779.55</v>
      </c>
      <c r="P22" s="11">
        <f>IFERROR($O22 * IFERROR(surplus_to_ETF, 0.4), 0)
</f>
        <v>10889.775</v>
      </c>
      <c r="Q22" s="11">
        <f>IFERROR($O22 * IFERROR(surplus_to_RE, 0.6), 0)
</f>
        <v>10889.775</v>
      </c>
      <c r="R22" s="10">
        <f>IF($A22&lt;=capAge,
   MAX(
     0,
     ROUND(
       ($I22-$J22-$X22)*(1-allocETF-allocRE-allocSav)
       - capBase * (1 + inflation) ^ ($A22 - startAge),
     2)
   ),
   0
)
</f>
        <v>0</v>
      </c>
      <c r="S22" s="11">
        <f>IF(R22&gt;0, R22*lifeExcessToETF, 0)
</f>
        <v>0</v>
      </c>
      <c r="T22" s="11">
        <f>IF(R22&gt;0, R22*lifeExcessToLoan, 0)
</f>
        <v>0</v>
      </c>
      <c r="U22" s="11">
        <f t="shared" si="3"/>
        <v>0</v>
      </c>
      <c r="V22" s="11">
        <f t="array" ref="V22">LET(
  age,$A22,
  ti_prev,N($E21),
  gross,SUMIF('RE Amortization'!$E:$E,$A22,'RE Amortization'!$K:$K),
  fed_single,IFERROR(LOOKUP(ti_prev,N(Assumptions!$D$3:$D$9),N(Assumptions!$F$3:$F$9)),INDEX(N(Assumptions!$F$3:$F$9),1)),
  fed_married,IFERROR(LOOKUP(ti_prev,N(Assumptions!$D$13:$D$19),N(Assumptions!$F$13:$F$19)),INDEX(N(Assumptions!$F$13:$F$19),1)),
  fed_rate,IF(age&lt;MarriageAge,fed_single,fed_married),
  ROUND(gross*(1-fed_rate-gaEff),2)
)
</f>
        <v>23729.8</v>
      </c>
      <c r="W22" s="13">
        <f t="shared" si="4"/>
        <v>285084.38</v>
      </c>
      <c r="X22" s="11">
        <f t="array" ref="X22">IF(
  AB22&lt;=0,0,
  IF(
    A22&lt;loanStartAge,0,
    MIN(
      AB22 + ROUND(AB22*loanRate,2),
      IF(A22=loanStartAge,
        cfiPayPct * I22,      
        -PMT(loanRate,loanTerm,INDEX($AB:$AB,MATCH(loanStartAge,$A:$A,0)))
      )
    )
  )
)
</f>
        <v>0</v>
      </c>
      <c r="Y22" s="9">
        <f>IF(AB22&lt;=0,0,ROUND(AB22*loanRate,2))
</f>
        <v>0</v>
      </c>
      <c r="Z22" s="9">
        <f t="shared" si="5"/>
        <v>0</v>
      </c>
      <c r="AA22" s="9">
        <f t="shared" si="6"/>
        <v>0</v>
      </c>
      <c r="AB22" s="9">
        <f>IF(A22=18, loanStartBal, OFFSET(AA22,-1,0))
</f>
        <v>0</v>
      </c>
    </row>
    <row r="23" ht="15.75" customHeight="1">
      <c r="A23" s="1">
        <v>39.0</v>
      </c>
      <c r="B23" s="11">
        <f>IFERROR(__xludf.DUMMYFUNCTION("IFERROR(
  INDEX( FILTER('Pilot Pay'!R:R, VALUE('Pilot Pay'!K:K)=VALUE($A23)) , 1 ),
  0
)
"),728023.28)</f>
        <v>728023.28</v>
      </c>
      <c r="C23" s="11">
        <f>ROUND(
  MIN($B23*emp401kPct, IF($A23&lt;catchAge, emp401kCap, emp401kCap_catch)),
2)
</f>
        <v>24500</v>
      </c>
      <c r="D23" s="11">
        <f>ROUND(
  MIN(
    MIN($B23*er401kPct, IF($A23&lt;catchAge, er401kCap_base, er401kCap_catch)),
    MAX(
      0,
      MIN($B23,
          IF($A23&gt;=specialCatchStartAge,
             IF($A23&lt;=specialCatchEndAge, total401kCap_60to63, total401kCap_50to59),
             IF($A23&gt;=catchAge, total401kCap_50to59, total401kCap_u50)
          )
      ) - $C23
    )
  ),
2)
</f>
        <v>43500</v>
      </c>
      <c r="E23" s="11">
        <f t="shared" si="7"/>
        <v>703523.28</v>
      </c>
      <c r="F23" s="11">
        <f>IFERROR(
  IF($A23 &lt; MarriageAge,
     SUMPRODUCT( ($E23&gt;FedLower_Single) * ((IF($E23&gt;FedUpper_Single, FedUpper_Single, $E23))-FedLower_Single) * FedRate_Single ),
     SUMPRODUCT( ($E23&gt;FedLower_Married) * ((IF($E23&gt;FedUpper_Married, FedUpper_Married, $E23))-FedLower_Married) * FedRate_Married )
  ),
0)
</f>
        <v>183850.638</v>
      </c>
      <c r="G23" s="11">
        <f>ROUND(gaEff*$E23, 2)
</f>
        <v>36512.86</v>
      </c>
      <c r="H23" s="11">
        <f>IF($B23=0,0,
  ROUND(
    ssRate*MIN($B23, ssBase) +
    medRate*$B23 +
    addlMedRate*MAX(0, $B23 - addlMedThresh),
 2))
</f>
        <v>26691.75</v>
      </c>
      <c r="I23" s="11">
        <f t="shared" si="8"/>
        <v>456468.03</v>
      </c>
      <c r="J23" s="11">
        <f>ROUND(
  MIN(rothIRA, IF($A23&lt;catchAge, rothCap_base, rothCap_catch)),
2)
</f>
        <v>7000</v>
      </c>
      <c r="K23" s="11">
        <f>ROUND(($I23-$J23-$X23)*allocETF, 2) + IFERROR($P23, 0)
</f>
        <v>101130.31</v>
      </c>
      <c r="L23" s="11">
        <f>ROUND( ($I23-$J23-$X23)*allocRE , 2)
</f>
        <v>67420.2</v>
      </c>
      <c r="M23" s="11">
        <f>LET(
  cap_ratio, IFERROR(savings_cap_ratio, 0.75),
  cap_amt,   cap_ratio * $W23,
  start_sav, IFERROR(Balances!$S23, 0),
  base,      ROUND(($I23-$J23-$X23)*allocSav, 2),
  IF(start_sav &gt;= cap_amt, 0, base)
)
</f>
        <v>0</v>
      </c>
      <c r="N23" s="11">
        <f>IF($A23&lt;=capAge,
   MIN(
     ROUND( ($I23-$J23-$X23)*(1-allocETF-allocRE-allocSav), 2),
     capBase * (1 + inflation) ^ ($A23 - startAge)
   ),
   ROUND( ($I23-$J23-$X23)*(1-allocETF-allocRE-allocSav), 2)
)
</f>
        <v>269680.82</v>
      </c>
      <c r="O23" s="11">
        <f>LET(
  cap_ratio, IFERROR(savings_cap_ratio, 0.75),
  cap_amt,   cap_ratio * $W23,
  start_sav, IFERROR(Balances!$S23, 0),
  base,      ROUND(($I23-$J23-$X23)*allocSav, 2),
  IF(start_sav &gt;= cap_amt, base, 0)
)
</f>
        <v>22473.4</v>
      </c>
      <c r="P23" s="11">
        <f>IFERROR($O23 * IFERROR(surplus_to_ETF, 0.4), 0)
</f>
        <v>11236.7</v>
      </c>
      <c r="Q23" s="11">
        <f>IFERROR($O23 * IFERROR(surplus_to_RE, 0.6), 0)
</f>
        <v>11236.7</v>
      </c>
      <c r="R23" s="10">
        <f>IF($A23&lt;=capAge,
   MAX(
     0,
     ROUND(
       ($I23-$J23-$X23)*(1-allocETF-allocRE-allocSav)
       - capBase * (1 + inflation) ^ ($A23 - startAge),
     2)
   ),
   0
)
</f>
        <v>0</v>
      </c>
      <c r="S23" s="11">
        <f>IF(R23&gt;0, R23*lifeExcessToETF, 0)
</f>
        <v>0</v>
      </c>
      <c r="T23" s="11">
        <f>IF(R23&gt;0, R23*lifeExcessToLoan, 0)
</f>
        <v>0</v>
      </c>
      <c r="U23" s="11">
        <f t="shared" si="3"/>
        <v>0</v>
      </c>
      <c r="V23" s="11">
        <f t="array" ref="V23">LET(
  age,$A23,
  ti_prev,N($E22),
  gross,SUMIF('RE Amortization'!$E:$E,$A23,'RE Amortization'!$K:$K),
  fed_single,IFERROR(LOOKUP(ti_prev,N(Assumptions!$D$3:$D$9),N(Assumptions!$F$3:$F$9)),INDEX(N(Assumptions!$F$3:$F$9),1)),
  fed_married,IFERROR(LOOKUP(ti_prev,N(Assumptions!$D$13:$D$19),N(Assumptions!$F$13:$F$19)),INDEX(N(Assumptions!$F$13:$F$19),1)),
  fed_rate,IF(age&lt;MarriageAge,fed_single,fed_married),
  ROUND(gross*(1-fed_rate-gaEff),2)
)
</f>
        <v>29270.35</v>
      </c>
      <c r="W23" s="13">
        <f t="shared" si="4"/>
        <v>298951.17</v>
      </c>
      <c r="X23" s="11">
        <f t="array" ref="X23">IF(
  AB23&lt;=0,0,
  IF(
    A23&lt;loanStartAge,0,
    MIN(
      AB23 + ROUND(AB23*loanRate,2),
      IF(A23=loanStartAge,
        cfiPayPct * I23,      
        -PMT(loanRate,loanTerm,INDEX($AB:$AB,MATCH(loanStartAge,$A:$A,0)))
      )
    )
  )
)
</f>
        <v>0</v>
      </c>
      <c r="Y23" s="9">
        <f>IF(AB23&lt;=0,0,ROUND(AB23*loanRate,2))
</f>
        <v>0</v>
      </c>
      <c r="Z23" s="9">
        <f t="shared" si="5"/>
        <v>0</v>
      </c>
      <c r="AA23" s="9">
        <f t="shared" si="6"/>
        <v>0</v>
      </c>
      <c r="AB23" s="9">
        <f>IF(A23=18, loanStartBal, OFFSET(AA23,-1,0))
</f>
        <v>0</v>
      </c>
    </row>
    <row r="24" ht="15.75" customHeight="1">
      <c r="A24" s="1">
        <v>40.0</v>
      </c>
      <c r="B24" s="11">
        <f>IFERROR(__xludf.DUMMYFUNCTION("IFERROR(
  INDEX( FILTER('Pilot Pay'!R:R, VALUE('Pilot Pay'!K:K)=VALUE($A24)) , 1 ),
  0
)
"),750988.31)</f>
        <v>750988.31</v>
      </c>
      <c r="C24" s="11">
        <f>ROUND(
  MIN($B24*emp401kPct, IF($A24&lt;catchAge, emp401kCap, emp401kCap_catch)),
2)
</f>
        <v>24500</v>
      </c>
      <c r="D24" s="11">
        <f>ROUND(
  MIN(
    MIN($B24*er401kPct, IF($A24&lt;catchAge, er401kCap_base, er401kCap_catch)),
    MAX(
      0,
      MIN($B24,
          IF($A24&gt;=specialCatchStartAge,
             IF($A24&lt;=specialCatchEndAge, total401kCap_60to63, total401kCap_50to59),
             IF($A24&gt;=catchAge, total401kCap_50to59, total401kCap_u50)
          )
      ) - $C24
    )
  ),
2)
</f>
        <v>43500</v>
      </c>
      <c r="E24" s="11">
        <f t="shared" si="7"/>
        <v>726488.31</v>
      </c>
      <c r="F24" s="11">
        <f>IFERROR(
  IF($A24 &lt; MarriageAge,
     SUMPRODUCT( ($E24&gt;FedLower_Single) * ((IF($E24&gt;FedUpper_Single, FedUpper_Single, $E24))-FedLower_Single) * FedRate_Single ),
     SUMPRODUCT( ($E24&gt;FedLower_Married) * ((IF($E24&gt;FedUpper_Married, FedUpper_Married, $E24))-FedLower_Married) * FedRate_Married )
  ),
0)
</f>
        <v>191888.3985</v>
      </c>
      <c r="G24" s="11">
        <f>ROUND(gaEff*$E24, 2)
</f>
        <v>37704.74</v>
      </c>
      <c r="H24" s="11">
        <f>IF($B24=0,0,
  ROUND(
    ssRate*MIN($B24, ssBase) +
    medRate*$B24 +
    addlMedRate*MAX(0, $B24 - addlMedThresh),
 2))
</f>
        <v>27231.43</v>
      </c>
      <c r="I24" s="11">
        <f t="shared" si="8"/>
        <v>469663.74</v>
      </c>
      <c r="J24" s="11">
        <f>ROUND(
  MIN(rothIRA, IF($A24&lt;catchAge, rothCap_base, rothCap_catch)),
2)
</f>
        <v>7000</v>
      </c>
      <c r="K24" s="11">
        <f>ROUND(($I24-$J24-$X24)*allocETF, 2) + IFERROR($P24, 0)
</f>
        <v>104099.345</v>
      </c>
      <c r="L24" s="11">
        <f>ROUND( ($I24-$J24-$X24)*allocRE , 2)
</f>
        <v>69399.56</v>
      </c>
      <c r="M24" s="11">
        <f>LET(
  cap_ratio, IFERROR(savings_cap_ratio, 0.75),
  cap_amt,   cap_ratio * $W24,
  start_sav, IFERROR(Balances!$S24, 0),
  base,      ROUND(($I24-$J24-$X24)*allocSav, 2),
  IF(start_sav &gt;= cap_amt, 0, base)
)
</f>
        <v>0</v>
      </c>
      <c r="N24" s="11">
        <f>IF($A24&lt;=capAge,
   MIN(
     ROUND( ($I24-$J24-$X24)*(1-allocETF-allocRE-allocSav), 2),
     capBase * (1 + inflation) ^ ($A24 - startAge)
   ),
   ROUND( ($I24-$J24-$X24)*(1-allocETF-allocRE-allocSav), 2)
)
</f>
        <v>277598.24</v>
      </c>
      <c r="O24" s="11">
        <f>LET(
  cap_ratio, IFERROR(savings_cap_ratio, 0.75),
  cap_amt,   cap_ratio * $W24,
  start_sav, IFERROR(Balances!$S24, 0),
  base,      ROUND(($I24-$J24-$X24)*allocSav, 2),
  IF(start_sav &gt;= cap_amt, base, 0)
)
</f>
        <v>23133.19</v>
      </c>
      <c r="P24" s="11">
        <f>IFERROR($O24 * IFERROR(surplus_to_ETF, 0.4), 0)
</f>
        <v>11566.595</v>
      </c>
      <c r="Q24" s="11">
        <f>IFERROR($O24 * IFERROR(surplus_to_RE, 0.6), 0)
</f>
        <v>11566.595</v>
      </c>
      <c r="R24" s="10">
        <f>IF($A24&lt;=capAge,
   MAX(
     0,
     ROUND(
       ($I24-$J24-$X24)*(1-allocETF-allocRE-allocSav)
       - capBase * (1 + inflation) ^ ($A24 - startAge),
     2)
   ),
   0
)
</f>
        <v>0</v>
      </c>
      <c r="S24" s="11">
        <f>IF(R24&gt;0, R24*lifeExcessToETF, 0)
</f>
        <v>0</v>
      </c>
      <c r="T24" s="11">
        <f>IF(R24&gt;0, R24*lifeExcessToLoan, 0)
</f>
        <v>0</v>
      </c>
      <c r="U24" s="11">
        <f t="shared" si="3"/>
        <v>0</v>
      </c>
      <c r="V24" s="11">
        <f t="array" ref="V24">LET(
  age,$A24,
  ti_prev,N($E23),
  gross,SUMIF('RE Amortization'!$E:$E,$A24,'RE Amortization'!$K:$K),
  fed_single,IFERROR(LOOKUP(ti_prev,N(Assumptions!$D$3:$D$9),N(Assumptions!$F$3:$F$9)),INDEX(N(Assumptions!$F$3:$F$9),1)),
  fed_married,IFERROR(LOOKUP(ti_prev,N(Assumptions!$D$13:$D$19),N(Assumptions!$F$13:$F$19)),INDEX(N(Assumptions!$F$13:$F$19),1)),
  fed_rate,IF(age&lt;MarriageAge,fed_single,fed_married),
  ROUND(gross*(1-fed_rate-gaEff),2)
)
</f>
        <v>29270.35</v>
      </c>
      <c r="W24" s="13">
        <f t="shared" si="4"/>
        <v>306868.59</v>
      </c>
      <c r="X24" s="11">
        <f t="array" ref="X24">IF(
  AB24&lt;=0,0,
  IF(
    A24&lt;loanStartAge,0,
    MIN(
      AB24 + ROUND(AB24*loanRate,2),
      IF(A24=loanStartAge,
        cfiPayPct * I24,      
        -PMT(loanRate,loanTerm,INDEX($AB:$AB,MATCH(loanStartAge,$A:$A,0)))
      )
    )
  )
)
</f>
        <v>0</v>
      </c>
      <c r="Y24" s="9">
        <f>IF(AB24&lt;=0,0,ROUND(AB24*loanRate,2))
</f>
        <v>0</v>
      </c>
      <c r="Z24" s="9">
        <f t="shared" si="5"/>
        <v>0</v>
      </c>
      <c r="AA24" s="9">
        <f t="shared" si="6"/>
        <v>0</v>
      </c>
      <c r="AB24" s="9">
        <f>IF(A24=18, loanStartBal, OFFSET(AA24,-1,0))
</f>
        <v>0</v>
      </c>
    </row>
    <row r="25" ht="15.75" customHeight="1">
      <c r="A25" s="1">
        <v>41.0</v>
      </c>
      <c r="B25" s="11">
        <f>IFERROR(__xludf.DUMMYFUNCTION("IFERROR(
  INDEX( FILTER('Pilot Pay'!R:R, VALUE('Pilot Pay'!K:K)=VALUE($A25)) , 1 ),
  0
)
"),775623.29)</f>
        <v>775623.29</v>
      </c>
      <c r="C25" s="11">
        <f>ROUND(
  MIN($B25*emp401kPct, IF($A25&lt;catchAge, emp401kCap, emp401kCap_catch)),
2)
</f>
        <v>24500</v>
      </c>
      <c r="D25" s="11">
        <f>ROUND(
  MIN(
    MIN($B25*er401kPct, IF($A25&lt;catchAge, er401kCap_base, er401kCap_catch)),
    MAX(
      0,
      MIN($B25,
          IF($A25&gt;=specialCatchStartAge,
             IF($A25&lt;=specialCatchEndAge, total401kCap_60to63, total401kCap_50to59),
             IF($A25&gt;=catchAge, total401kCap_50to59, total401kCap_u50)
          )
      ) - $C25
    )
  ),
2)
</f>
        <v>43500</v>
      </c>
      <c r="E25" s="11">
        <f t="shared" si="7"/>
        <v>751123.29</v>
      </c>
      <c r="F25" s="11">
        <f>IFERROR(
  IF($A25 &lt; MarriageAge,
     SUMPRODUCT( ($E25&gt;FedLower_Single) * ((IF($E25&gt;FedUpper_Single, FedUpper_Single, $E25))-FedLower_Single) * FedRate_Single ),
     SUMPRODUCT( ($E25&gt;FedLower_Married) * ((IF($E25&gt;FedUpper_Married, FedUpper_Married, $E25))-FedLower_Married) * FedRate_Married )
  ),
0)
</f>
        <v>200510.6415</v>
      </c>
      <c r="G25" s="11">
        <f>ROUND(gaEff*$E25, 2)
</f>
        <v>38983.3</v>
      </c>
      <c r="H25" s="11">
        <f>IF($B25=0,0,
  ROUND(
    ssRate*MIN($B25, ssBase) +
    medRate*$B25 +
    addlMedRate*MAX(0, $B25 - addlMedThresh),
 2))
</f>
        <v>27810.35</v>
      </c>
      <c r="I25" s="11">
        <f t="shared" si="8"/>
        <v>483819</v>
      </c>
      <c r="J25" s="11">
        <f>ROUND(
  MIN(rothIRA, IF($A25&lt;catchAge, rothCap_base, rothCap_catch)),
2)
</f>
        <v>7000</v>
      </c>
      <c r="K25" s="11">
        <f>ROUND(($I25-$J25-$X25)*allocETF, 2) + IFERROR($P25, 0)
</f>
        <v>107284.275</v>
      </c>
      <c r="L25" s="11">
        <f>ROUND( ($I25-$J25-$X25)*allocRE , 2)
</f>
        <v>71522.85</v>
      </c>
      <c r="M25" s="11">
        <f>LET(
  cap_ratio, IFERROR(savings_cap_ratio, 0.75),
  cap_amt,   cap_ratio * $W25,
  start_sav, IFERROR(Balances!$S25, 0),
  base,      ROUND(($I25-$J25-$X25)*allocSav, 2),
  IF(start_sav &gt;= cap_amt, 0, base)
)
</f>
        <v>0</v>
      </c>
      <c r="N25" s="11">
        <f>IF($A25&lt;=capAge,
   MIN(
     ROUND( ($I25-$J25-$X25)*(1-allocETF-allocRE-allocSav), 2),
     capBase * (1 + inflation) ^ ($A25 - startAge)
   ),
   ROUND( ($I25-$J25-$X25)*(1-allocETF-allocRE-allocSav), 2)
)
</f>
        <v>286091.4</v>
      </c>
      <c r="O25" s="11">
        <f>LET(
  cap_ratio, IFERROR(savings_cap_ratio, 0.75),
  cap_amt,   cap_ratio * $W25,
  start_sav, IFERROR(Balances!$S25, 0),
  base,      ROUND(($I25-$J25-$X25)*allocSav, 2),
  IF(start_sav &gt;= cap_amt, base, 0)
)
</f>
        <v>23840.95</v>
      </c>
      <c r="P25" s="11">
        <f>IFERROR($O25 * IFERROR(surplus_to_ETF, 0.4), 0)
</f>
        <v>11920.475</v>
      </c>
      <c r="Q25" s="11">
        <f>IFERROR($O25 * IFERROR(surplus_to_RE, 0.6), 0)
</f>
        <v>11920.475</v>
      </c>
      <c r="R25" s="10">
        <f>IF($A25&lt;=capAge,
   MAX(
     0,
     ROUND(
       ($I25-$J25-$X25)*(1-allocETF-allocRE-allocSav)
       - capBase * (1 + inflation) ^ ($A25 - startAge),
     2)
   ),
   0
)
</f>
        <v>0</v>
      </c>
      <c r="S25" s="11">
        <f>IF(R25&gt;0, R25*lifeExcessToETF, 0)
</f>
        <v>0</v>
      </c>
      <c r="T25" s="11">
        <f>IF(R25&gt;0, R25*lifeExcessToLoan, 0)
</f>
        <v>0</v>
      </c>
      <c r="U25" s="11">
        <f t="shared" si="3"/>
        <v>0</v>
      </c>
      <c r="V25" s="11">
        <f t="array" ref="V25">LET(
  age,$A25,
  ti_prev,N($E24),
  gross,SUMIF('RE Amortization'!$E:$E,$A25,'RE Amortization'!$K:$K),
  fed_single,IFERROR(LOOKUP(ti_prev,N(Assumptions!$D$3:$D$9),N(Assumptions!$F$3:$F$9)),INDEX(N(Assumptions!$F$3:$F$9),1)),
  fed_married,IFERROR(LOOKUP(ti_prev,N(Assumptions!$D$13:$D$19),N(Assumptions!$F$13:$F$19)),INDEX(N(Assumptions!$F$13:$F$19),1)),
  fed_rate,IF(age&lt;MarriageAge,fed_single,fed_married),
  ROUND(gross*(1-fed_rate-gaEff),2)
)
</f>
        <v>35091.38</v>
      </c>
      <c r="W25" s="13">
        <f t="shared" si="4"/>
        <v>321182.78</v>
      </c>
      <c r="X25" s="11">
        <f t="array" ref="X25">IF(
  AB25&lt;=0,0,
  IF(
    A25&lt;loanStartAge,0,
    MIN(
      AB25 + ROUND(AB25*loanRate,2),
      IF(A25=loanStartAge,
        cfiPayPct * I25,      
        -PMT(loanRate,loanTerm,INDEX($AB:$AB,MATCH(loanStartAge,$A:$A,0)))
      )
    )
  )
)
</f>
        <v>0</v>
      </c>
      <c r="Y25" s="9"/>
      <c r="Z25" s="9"/>
      <c r="AA25" s="9"/>
      <c r="AB25" s="9"/>
    </row>
    <row r="26" ht="15.75" customHeight="1">
      <c r="A26" s="1">
        <v>42.0</v>
      </c>
      <c r="B26" s="11">
        <f>IFERROR(__xludf.DUMMYFUNCTION("IFERROR(
  INDEX( FILTER('Pilot Pay'!R:R, VALUE('Pilot Pay'!K:K)=VALUE($A26)) , 1 ),
  0
)
"),801054.02)</f>
        <v>801054.02</v>
      </c>
      <c r="C26" s="11">
        <f>ROUND(
  MIN($B26*emp401kPct, IF($A26&lt;catchAge, emp401kCap, emp401kCap_catch)),
2)
</f>
        <v>24500</v>
      </c>
      <c r="D26" s="11">
        <f>ROUND(
  MIN(
    MIN($B26*er401kPct, IF($A26&lt;catchAge, er401kCap_base, er401kCap_catch)),
    MAX(
      0,
      MIN($B26,
          IF($A26&gt;=specialCatchStartAge,
             IF($A26&lt;=specialCatchEndAge, total401kCap_60to63, total401kCap_50to59),
             IF($A26&gt;=catchAge, total401kCap_50to59, total401kCap_u50)
          )
      ) - $C26
    )
  ),
2)
</f>
        <v>43500</v>
      </c>
      <c r="E26" s="11">
        <f t="shared" si="7"/>
        <v>776554.02</v>
      </c>
      <c r="F26" s="11">
        <f>IFERROR(
  IF($A26 &lt; MarriageAge,
     SUMPRODUCT( ($E26&gt;FedLower_Single) * ((IF($E26&gt;FedUpper_Single, FedUpper_Single, $E26))-FedLower_Single) * FedRate_Single ),
     SUMPRODUCT( ($E26&gt;FedLower_Married) * ((IF($E26&gt;FedUpper_Married, FedUpper_Married, $E26))-FedLower_Married) * FedRate_Married )
  ),
0)
</f>
        <v>209568.1074</v>
      </c>
      <c r="G26" s="11">
        <f>ROUND(gaEff*$E26, 2)
</f>
        <v>40303.15</v>
      </c>
      <c r="H26" s="11">
        <f>IF($B26=0,0,
  ROUND(
    ssRate*MIN($B26, ssBase) +
    medRate*$B26 +
    addlMedRate*MAX(0, $B26 - addlMedThresh),
 2))
</f>
        <v>28407.97</v>
      </c>
      <c r="I26" s="11">
        <f t="shared" si="8"/>
        <v>498274.79</v>
      </c>
      <c r="J26" s="11">
        <f>ROUND(
  MIN(rothIRA, IF($A26&lt;catchAge, rothCap_base, rothCap_catch)),
2)
</f>
        <v>7000</v>
      </c>
      <c r="K26" s="11">
        <f>ROUND(($I26-$J26-$X26)*allocETF, 2) + IFERROR($P26, 0)
</f>
        <v>110536.83</v>
      </c>
      <c r="L26" s="11">
        <f>ROUND( ($I26-$J26-$X26)*allocRE , 2)
</f>
        <v>73691.22</v>
      </c>
      <c r="M26" s="11">
        <f>LET(
  cap_ratio, IFERROR(savings_cap_ratio, 0.75),
  cap_amt,   cap_ratio * $W26,
  start_sav, IFERROR(Balances!$S26, 0),
  base,      ROUND(($I26-$J26-$X26)*allocSav, 2),
  IF(start_sav &gt;= cap_amt, 0, base)
)
</f>
        <v>0</v>
      </c>
      <c r="N26" s="11">
        <f>IF($A26&lt;=capAge,
   MIN(
     ROUND( ($I26-$J26-$X26)*(1-allocETF-allocRE-allocSav), 2),
     capBase * (1 + inflation) ^ ($A26 - startAge)
   ),
   ROUND( ($I26-$J26-$X26)*(1-allocETF-allocRE-allocSav), 2)
)
</f>
        <v>294764.87</v>
      </c>
      <c r="O26" s="11">
        <f>LET(
  cap_ratio, IFERROR(savings_cap_ratio, 0.75),
  cap_amt,   cap_ratio * $W26,
  start_sav, IFERROR(Balances!$S26, 0),
  base,      ROUND(($I26-$J26-$X26)*allocSav, 2),
  IF(start_sav &gt;= cap_amt, base, 0)
)
</f>
        <v>24563.74</v>
      </c>
      <c r="P26" s="11">
        <f>IFERROR($O26 * IFERROR(surplus_to_ETF, 0.4), 0)
</f>
        <v>12281.87</v>
      </c>
      <c r="Q26" s="11">
        <f>IFERROR($O26 * IFERROR(surplus_to_RE, 0.6), 0)
</f>
        <v>12281.87</v>
      </c>
      <c r="R26" s="10">
        <f>IF($A26&lt;=capAge,
   MAX(
     0,
     ROUND(
       ($I26-$J26-$X26)*(1-allocETF-allocRE-allocSav)
       - capBase * (1 + inflation) ^ ($A26 - startAge),
     2)
   ),
   0
)
</f>
        <v>0</v>
      </c>
      <c r="S26" s="11">
        <f>IF(R26&gt;0, R26*lifeExcessToETF, 0)
</f>
        <v>0</v>
      </c>
      <c r="T26" s="11">
        <f>IF(R26&gt;0, R26*lifeExcessToLoan, 0)
</f>
        <v>0</v>
      </c>
      <c r="U26" s="11">
        <f t="shared" si="3"/>
        <v>0</v>
      </c>
      <c r="V26" s="11">
        <f t="array" ref="V26">LET(
  age,$A26,
  ti_prev,N($E25),
  gross,SUMIF('RE Amortization'!$E:$E,$A26,'RE Amortization'!$K:$K),
  fed_single,IFERROR(LOOKUP(ti_prev,N(Assumptions!$D$3:$D$9),N(Assumptions!$F$3:$F$9)),INDEX(N(Assumptions!$F$3:$F$9),1)),
  fed_married,IFERROR(LOOKUP(ti_prev,N(Assumptions!$D$13:$D$19),N(Assumptions!$F$13:$F$19)),INDEX(N(Assumptions!$F$13:$F$19),1)),
  fed_rate,IF(age&lt;MarriageAge,fed_single,fed_married),
  ROUND(gross*(1-fed_rate-gaEff),2)
)
</f>
        <v>35091.38</v>
      </c>
      <c r="W26" s="13">
        <f t="shared" si="4"/>
        <v>329856.25</v>
      </c>
      <c r="X26" s="11">
        <f t="array" ref="X26">IF(
  AB26&lt;=0,0,
  IF(
    A26&lt;loanStartAge,0,
    MIN(
      AB26 + ROUND(AB26*loanRate,2),
      IF(A26=loanStartAge,
        cfiPayPct * I26,      
        -PMT(loanRate,loanTerm,INDEX($AB:$AB,MATCH(loanStartAge,$A:$A,0)))
      )
    )
  )
)
</f>
        <v>0</v>
      </c>
      <c r="Y26" s="9"/>
      <c r="Z26" s="9"/>
      <c r="AA26" s="9"/>
      <c r="AB26" s="9"/>
    </row>
    <row r="27" ht="15.75" customHeight="1">
      <c r="A27" s="1">
        <v>43.0</v>
      </c>
      <c r="B27" s="11">
        <f>IFERROR(__xludf.DUMMYFUNCTION("IFERROR(
  INDEX( FILTER('Pilot Pay'!R:R, VALUE('Pilot Pay'!K:K)=VALUE($A27)) , 1 ),
  0
)
"),827322.83)</f>
        <v>827322.83</v>
      </c>
      <c r="C27" s="11">
        <f>ROUND(
  MIN($B27*emp401kPct, IF($A27&lt;catchAge, emp401kCap, emp401kCap_catch)),
2)
</f>
        <v>24500</v>
      </c>
      <c r="D27" s="11">
        <f>ROUND(
  MIN(
    MIN($B27*er401kPct, IF($A27&lt;catchAge, er401kCap_base, er401kCap_catch)),
    MAX(
      0,
      MIN($B27,
          IF($A27&gt;=specialCatchStartAge,
             IF($A27&lt;=specialCatchEndAge, total401kCap_60to63, total401kCap_50to59),
             IF($A27&gt;=catchAge, total401kCap_50to59, total401kCap_u50)
          )
      ) - $C27
    )
  ),
2)
</f>
        <v>43500</v>
      </c>
      <c r="E27" s="11">
        <f t="shared" si="7"/>
        <v>802822.83</v>
      </c>
      <c r="F27" s="11">
        <f>IFERROR(
  IF($A27 &lt; MarriageAge,
     SUMPRODUCT( ($E27&gt;FedLower_Single) * ((IF($E27&gt;FedUpper_Single, FedUpper_Single, $E27))-FedLower_Single) * FedRate_Single ),
     SUMPRODUCT( ($E27&gt;FedLower_Married) * ((IF($E27&gt;FedUpper_Married, FedUpper_Married, $E27))-FedLower_Married) * FedRate_Married )
  ),
0)
</f>
        <v>219287.5671</v>
      </c>
      <c r="G27" s="11">
        <f>ROUND(gaEff*$E27, 2)
</f>
        <v>41666.5</v>
      </c>
      <c r="H27" s="11">
        <f>IF($B27=0,0,
  ROUND(
    ssRate*MIN($B27, ssBase) +
    medRate*$B27 +
    addlMedRate*MAX(0, $B27 - addlMedThresh),
 2))
</f>
        <v>29025.29</v>
      </c>
      <c r="I27" s="11">
        <f t="shared" si="8"/>
        <v>512843.47</v>
      </c>
      <c r="J27" s="11">
        <f>ROUND(
  MIN(rothIRA, IF($A27&lt;catchAge, rothCap_base, rothCap_catch)),
2)
</f>
        <v>7000</v>
      </c>
      <c r="K27" s="11">
        <f>ROUND(($I27-$J27-$X27)*allocETF, 2) + IFERROR($P27, 0)
</f>
        <v>113814.775</v>
      </c>
      <c r="L27" s="11">
        <f>ROUND( ($I27-$J27-$X27)*allocRE , 2)
</f>
        <v>75876.52</v>
      </c>
      <c r="M27" s="11">
        <f>LET(
  cap_ratio, IFERROR(savings_cap_ratio, 0.75),
  cap_amt,   cap_ratio * $W27,
  start_sav, IFERROR(Balances!$S27, 0),
  base,      ROUND(($I27-$J27-$X27)*allocSav, 2),
  IF(start_sav &gt;= cap_amt, 0, base)
)
</f>
        <v>0</v>
      </c>
      <c r="N27" s="11">
        <f>IF($A27&lt;=capAge,
   MIN(
     ROUND( ($I27-$J27-$X27)*(1-allocETF-allocRE-allocSav), 2),
     capBase * (1 + inflation) ^ ($A27 - startAge)
   ),
   ROUND( ($I27-$J27-$X27)*(1-allocETF-allocRE-allocSav), 2)
)
</f>
        <v>303506.08</v>
      </c>
      <c r="O27" s="11">
        <f>LET(
  cap_ratio, IFERROR(savings_cap_ratio, 0.75),
  cap_amt,   cap_ratio * $W27,
  start_sav, IFERROR(Balances!$S27, 0),
  base,      ROUND(($I27-$J27-$X27)*allocSav, 2),
  IF(start_sav &gt;= cap_amt, base, 0)
)
</f>
        <v>25292.17</v>
      </c>
      <c r="P27" s="11">
        <f>IFERROR($O27 * IFERROR(surplus_to_ETF, 0.4), 0)
</f>
        <v>12646.085</v>
      </c>
      <c r="Q27" s="11">
        <f>IFERROR($O27 * IFERROR(surplus_to_RE, 0.6), 0)
</f>
        <v>12646.085</v>
      </c>
      <c r="R27" s="10">
        <f>IF($A27&lt;=capAge,
   MAX(
     0,
     ROUND(
       ($I27-$J27-$X27)*(1-allocETF-allocRE-allocSav)
       - capBase * (1 + inflation) ^ ($A27 - startAge),
     2)
   ),
   0
)
</f>
        <v>0</v>
      </c>
      <c r="S27" s="11">
        <f>IF(R27&gt;0, R27*lifeExcessToETF, 0)
</f>
        <v>0</v>
      </c>
      <c r="T27" s="11">
        <f>IF(R27&gt;0, R27*lifeExcessToLoan, 0)
</f>
        <v>0</v>
      </c>
      <c r="U27" s="11">
        <f t="shared" si="3"/>
        <v>0</v>
      </c>
      <c r="V27" s="11">
        <f t="array" ref="V27">LET(
  age,$A27,
  ti_prev,N($E26),
  gross,SUMIF('RE Amortization'!$E:$E,$A27,'RE Amortization'!$K:$K),
  fed_single,IFERROR(LOOKUP(ti_prev,N(Assumptions!$D$3:$D$9),N(Assumptions!$F$3:$F$9)),INDEX(N(Assumptions!$F$3:$F$9),1)),
  fed_married,IFERROR(LOOKUP(ti_prev,N(Assumptions!$D$13:$D$19),N(Assumptions!$F$13:$F$19)),INDEX(N(Assumptions!$F$13:$F$19),1)),
  fed_rate,IF(age&lt;MarriageAge,fed_single,fed_married),
  ROUND(gross*(1-fed_rate-gaEff),2)
)
</f>
        <v>41207.11</v>
      </c>
      <c r="W27" s="13">
        <f t="shared" si="4"/>
        <v>344713.19</v>
      </c>
      <c r="X27" s="11">
        <f t="array" ref="X27">IF(
  AB27&lt;=0,0,
  IF(
    A27&lt;loanStartAge,0,
    MIN(
      AB27 + ROUND(AB27*loanRate,2),
      IF(A27=loanStartAge,
        cfiPayPct * I27,      
        -PMT(loanRate,loanTerm,INDEX($AB:$AB,MATCH(loanStartAge,$A:$A,0)))
      )
    )
  )
)
</f>
        <v>0</v>
      </c>
      <c r="Y27" s="9"/>
      <c r="Z27" s="9"/>
      <c r="AA27" s="9"/>
      <c r="AB27" s="9"/>
    </row>
    <row r="28" ht="15.75" customHeight="1">
      <c r="A28" s="1">
        <v>44.0</v>
      </c>
      <c r="B28" s="11">
        <f>IFERROR(__xludf.DUMMYFUNCTION("IFERROR(
  INDEX( FILTER('Pilot Pay'!R:R, VALUE('Pilot Pay'!K:K)=VALUE($A28)) , 1 ),
  0
)
"),848005.9)</f>
        <v>848005.9</v>
      </c>
      <c r="C28" s="11">
        <f>ROUND(
  MIN($B28*emp401kPct, IF($A28&lt;catchAge, emp401kCap, emp401kCap_catch)),
2)
</f>
        <v>24500</v>
      </c>
      <c r="D28" s="11">
        <f>ROUND(
  MIN(
    MIN($B28*er401kPct, IF($A28&lt;catchAge, er401kCap_base, er401kCap_catch)),
    MAX(
      0,
      MIN($B28,
          IF($A28&gt;=specialCatchStartAge,
             IF($A28&lt;=specialCatchEndAge, total401kCap_60to63, total401kCap_50to59),
             IF($A28&gt;=catchAge, total401kCap_50to59, total401kCap_u50)
          )
      ) - $C28
    )
  ),
2)
</f>
        <v>43500</v>
      </c>
      <c r="E28" s="11">
        <f t="shared" si="7"/>
        <v>823505.9</v>
      </c>
      <c r="F28" s="11">
        <f>IFERROR(
  IF($A28 &lt; MarriageAge,
     SUMPRODUCT( ($E28&gt;FedLower_Single) * ((IF($E28&gt;FedUpper_Single, FedUpper_Single, $E28))-FedLower_Single) * FedRate_Single ),
     SUMPRODUCT( ($E28&gt;FedLower_Married) * ((IF($E28&gt;FedUpper_Married, FedUpper_Married, $E28))-FedLower_Married) * FedRate_Married )
  ),
0)
</f>
        <v>226940.303</v>
      </c>
      <c r="G28" s="11">
        <f>ROUND(gaEff*$E28, 2)
</f>
        <v>42739.96</v>
      </c>
      <c r="H28" s="11">
        <f>IF($B28=0,0,
  ROUND(
    ssRate*MIN($B28, ssBase) +
    medRate*$B28 +
    addlMedRate*MAX(0, $B28 - addlMedThresh),
 2))
</f>
        <v>29511.34</v>
      </c>
      <c r="I28" s="11">
        <f t="shared" si="8"/>
        <v>524314.3</v>
      </c>
      <c r="J28" s="11">
        <f>ROUND(
  MIN(rothIRA, IF($A28&lt;catchAge, rothCap_base, rothCap_catch)),
2)
</f>
        <v>7000</v>
      </c>
      <c r="K28" s="11">
        <f>ROUND(($I28-$J28-$X28)*allocETF, 2) + IFERROR($P28, 0)
</f>
        <v>116395.72</v>
      </c>
      <c r="L28" s="11">
        <f>ROUND( ($I28-$J28-$X28)*allocRE , 2)
</f>
        <v>77597.15</v>
      </c>
      <c r="M28" s="11">
        <f>LET(
  cap_ratio, IFERROR(savings_cap_ratio, 0.75),
  cap_amt,   cap_ratio * $W28,
  start_sav, IFERROR(Balances!$S28, 0),
  base,      ROUND(($I28-$J28-$X28)*allocSav, 2),
  IF(start_sav &gt;= cap_amt, 0, base)
)
</f>
        <v>0</v>
      </c>
      <c r="N28" s="11">
        <f>IF($A28&lt;=capAge,
   MIN(
     ROUND( ($I28-$J28-$X28)*(1-allocETF-allocRE-allocSav), 2),
     capBase * (1 + inflation) ^ ($A28 - startAge)
   ),
   ROUND( ($I28-$J28-$X28)*(1-allocETF-allocRE-allocSav), 2)
)
</f>
        <v>310388.58</v>
      </c>
      <c r="O28" s="11">
        <f>LET(
  cap_ratio, IFERROR(savings_cap_ratio, 0.75),
  cap_amt,   cap_ratio * $W28,
  start_sav, IFERROR(Balances!$S28, 0),
  base,      ROUND(($I28-$J28-$X28)*allocSav, 2),
  IF(start_sav &gt;= cap_amt, base, 0)
)
</f>
        <v>25865.72</v>
      </c>
      <c r="P28" s="11">
        <f>IFERROR($O28 * IFERROR(surplus_to_ETF, 0.4), 0)
</f>
        <v>12932.86</v>
      </c>
      <c r="Q28" s="11">
        <f>IFERROR($O28 * IFERROR(surplus_to_RE, 0.6), 0)
</f>
        <v>12932.86</v>
      </c>
      <c r="R28" s="10">
        <f>IF($A28&lt;=capAge,
   MAX(
     0,
     ROUND(
       ($I28-$J28-$X28)*(1-allocETF-allocRE-allocSav)
       - capBase * (1 + inflation) ^ ($A28 - startAge),
     2)
   ),
   0
)
</f>
        <v>0</v>
      </c>
      <c r="S28" s="11">
        <f>IF(R28&gt;0, R28*lifeExcessToETF, 0)
</f>
        <v>0</v>
      </c>
      <c r="T28" s="11">
        <f>IF(R28&gt;0, R28*lifeExcessToLoan, 0)
</f>
        <v>0</v>
      </c>
      <c r="U28" s="11">
        <f t="shared" si="3"/>
        <v>0</v>
      </c>
      <c r="V28" s="11">
        <f t="array" ref="V28">LET(
  age,$A28,
  ti_prev,N($E27),
  gross,SUMIF('RE Amortization'!$E:$E,$A28,'RE Amortization'!$K:$K),
  fed_single,IFERROR(LOOKUP(ti_prev,N(Assumptions!$D$3:$D$9),N(Assumptions!$F$3:$F$9)),INDEX(N(Assumptions!$F$3:$F$9),1)),
  fed_married,IFERROR(LOOKUP(ti_prev,N(Assumptions!$D$13:$D$19),N(Assumptions!$F$13:$F$19)),INDEX(N(Assumptions!$F$13:$F$19),1)),
  fed_rate,IF(age&lt;MarriageAge,fed_single,fed_married),
  ROUND(gross*(1-fed_rate-gaEff),2)
)
</f>
        <v>47475.73</v>
      </c>
      <c r="W28" s="13">
        <f t="shared" si="4"/>
        <v>357864.31</v>
      </c>
      <c r="X28" s="11">
        <f t="array" ref="X28">IF(
  AB28&lt;=0,0,
  IF(
    A28&lt;loanStartAge,0,
    MIN(
      AB28 + ROUND(AB28*loanRate,2),
      IF(A28=loanStartAge,
        cfiPayPct * I28,      
        -PMT(loanRate,loanTerm,INDEX($AB:$AB,MATCH(loanStartAge,$A:$A,0)))
      )
    )
  )
)
</f>
        <v>0</v>
      </c>
      <c r="Y28" s="9"/>
      <c r="Z28" s="9"/>
      <c r="AA28" s="9"/>
      <c r="AB28" s="9"/>
    </row>
    <row r="29" ht="15.75" customHeight="1">
      <c r="A29" s="1">
        <v>45.0</v>
      </c>
      <c r="B29" s="11">
        <f>IFERROR(__xludf.DUMMYFUNCTION("IFERROR(
  INDEX( FILTER('Pilot Pay'!R:R, VALUE('Pilot Pay'!K:K)=VALUE($A29)) , 1 ),
  0
)
"),869206.05)</f>
        <v>869206.05</v>
      </c>
      <c r="C29" s="11">
        <f>ROUND(
  MIN($B29*emp401kPct, IF($A29&lt;catchAge, emp401kCap, emp401kCap_catch)),
2)
</f>
        <v>24500</v>
      </c>
      <c r="D29" s="11">
        <f>ROUND(
  MIN(
    MIN($B29*er401kPct, IF($A29&lt;catchAge, er401kCap_base, er401kCap_catch)),
    MAX(
      0,
      MIN($B29,
          IF($A29&gt;=specialCatchStartAge,
             IF($A29&lt;=specialCatchEndAge, total401kCap_60to63, total401kCap_50to59),
             IF($A29&gt;=catchAge, total401kCap_50to59, total401kCap_u50)
          )
      ) - $C29
    )
  ),
2)
</f>
        <v>43500</v>
      </c>
      <c r="E29" s="11">
        <f t="shared" si="7"/>
        <v>844706.05</v>
      </c>
      <c r="F29" s="11">
        <f>IFERROR(
  IF($A29 &lt; MarriageAge,
     SUMPRODUCT( ($E29&gt;FedLower_Single) * ((IF($E29&gt;FedUpper_Single, FedUpper_Single, $E29))-FedLower_Single) * FedRate_Single ),
     SUMPRODUCT( ($E29&gt;FedLower_Married) * ((IF($E29&gt;FedUpper_Married, FedUpper_Married, $E29))-FedLower_Married) * FedRate_Married )
  ),
0)
</f>
        <v>234784.3585</v>
      </c>
      <c r="G29" s="11">
        <f>ROUND(gaEff*$E29, 2)
</f>
        <v>43840.24</v>
      </c>
      <c r="H29" s="11">
        <f>IF($B29=0,0,
  ROUND(
    ssRate*MIN($B29, ssBase) +
    medRate*$B29 +
    addlMedRate*MAX(0, $B29 - addlMedThresh),
 2))
</f>
        <v>30009.54</v>
      </c>
      <c r="I29" s="11">
        <f t="shared" si="8"/>
        <v>536071.91</v>
      </c>
      <c r="J29" s="11">
        <f>ROUND(
  MIN(rothIRA, IF($A29&lt;catchAge, rothCap_base, rothCap_catch)),
2)
</f>
        <v>7000</v>
      </c>
      <c r="K29" s="11">
        <f>ROUND(($I29-$J29-$X29)*allocETF, 2) + IFERROR($P29, 0)
</f>
        <v>119041.18</v>
      </c>
      <c r="L29" s="11">
        <f>ROUND( ($I29-$J29-$X29)*allocRE , 2)
</f>
        <v>79360.79</v>
      </c>
      <c r="M29" s="11">
        <f>LET(
  cap_ratio, IFERROR(savings_cap_ratio, 0.75),
  cap_amt,   cap_ratio * $W29,
  start_sav, IFERROR(Balances!$S29, 0),
  base,      ROUND(($I29-$J29-$X29)*allocSav, 2),
  IF(start_sav &gt;= cap_amt, 0, base)
)
</f>
        <v>0</v>
      </c>
      <c r="N29" s="11">
        <f>IF($A29&lt;=capAge,
   MIN(
     ROUND( ($I29-$J29-$X29)*(1-allocETF-allocRE-allocSav), 2),
     capBase * (1 + inflation) ^ ($A29 - startAge)
   ),
   ROUND( ($I29-$J29-$X29)*(1-allocETF-allocRE-allocSav), 2)
)
</f>
        <v>317443.15</v>
      </c>
      <c r="O29" s="11">
        <f>LET(
  cap_ratio, IFERROR(savings_cap_ratio, 0.75),
  cap_amt,   cap_ratio * $W29,
  start_sav, IFERROR(Balances!$S29, 0),
  base,      ROUND(($I29-$J29-$X29)*allocSav, 2),
  IF(start_sav &gt;= cap_amt, base, 0)
)
</f>
        <v>26453.6</v>
      </c>
      <c r="P29" s="11">
        <f>IFERROR($O29 * IFERROR(surplus_to_ETF, 0.4), 0)
</f>
        <v>13226.8</v>
      </c>
      <c r="Q29" s="11">
        <f>IFERROR($O29 * IFERROR(surplus_to_RE, 0.6), 0)
</f>
        <v>13226.8</v>
      </c>
      <c r="R29" s="10">
        <f>IF($A29&lt;=capAge,
   MAX(
     0,
     ROUND(
       ($I29-$J29-$X29)*(1-allocETF-allocRE-allocSav)
       - capBase * (1 + inflation) ^ ($A29 - startAge),
     2)
   ),
   0
)
</f>
        <v>0</v>
      </c>
      <c r="S29" s="11">
        <f>IF(R29&gt;0, R29*lifeExcessToETF, 0)
</f>
        <v>0</v>
      </c>
      <c r="T29" s="11">
        <f>IF(R29&gt;0, R29*lifeExcessToLoan, 0)
</f>
        <v>0</v>
      </c>
      <c r="U29" s="11">
        <f t="shared" si="3"/>
        <v>0</v>
      </c>
      <c r="V29" s="11">
        <f t="array" ref="V29">LET(
  age,$A29,
  ti_prev,N($E28),
  gross,SUMIF('RE Amortization'!$E:$E,$A29,'RE Amortization'!$K:$K),
  fed_single,IFERROR(LOOKUP(ti_prev,N(Assumptions!$D$3:$D$9),N(Assumptions!$F$3:$F$9)),INDEX(N(Assumptions!$F$3:$F$9),1)),
  fed_married,IFERROR(LOOKUP(ti_prev,N(Assumptions!$D$13:$D$19),N(Assumptions!$F$13:$F$19)),INDEX(N(Assumptions!$F$13:$F$19),1)),
  fed_rate,IF(age&lt;MarriageAge,fed_single,fed_married),
  ROUND(gross*(1-fed_rate-gaEff),2)
)
</f>
        <v>47475.73</v>
      </c>
      <c r="W29" s="13">
        <f t="shared" si="4"/>
        <v>364918.88</v>
      </c>
      <c r="X29" s="11">
        <f t="array" ref="X29">IF(
  AB29&lt;=0,0,
  IF(
    A29&lt;loanStartAge,0,
    MIN(
      AB29 + ROUND(AB29*loanRate,2),
      IF(A29=loanStartAge,
        cfiPayPct * I29,      
        -PMT(loanRate,loanTerm,INDEX($AB:$AB,MATCH(loanStartAge,$A:$A,0)))
      )
    )
  )
)
</f>
        <v>0</v>
      </c>
      <c r="Y29" s="9"/>
      <c r="Z29" s="9"/>
      <c r="AA29" s="9"/>
      <c r="AB29" s="9"/>
    </row>
    <row r="30" ht="15.75" customHeight="1">
      <c r="A30" s="1">
        <v>46.0</v>
      </c>
      <c r="B30" s="11">
        <f>IFERROR(__xludf.DUMMYFUNCTION("IFERROR(
  INDEX( FILTER('Pilot Pay'!R:R, VALUE('Pilot Pay'!K:K)=VALUE($A30)) , 1 ),
  0
)
"),890936.2)</f>
        <v>890936.2</v>
      </c>
      <c r="C30" s="11">
        <f>ROUND(
  MIN($B30*emp401kPct, IF($A30&lt;catchAge, emp401kCap, emp401kCap_catch)),
2)
</f>
        <v>24500</v>
      </c>
      <c r="D30" s="11">
        <f>ROUND(
  MIN(
    MIN($B30*er401kPct, IF($A30&lt;catchAge, er401kCap_base, er401kCap_catch)),
    MAX(
      0,
      MIN($B30,
          IF($A30&gt;=specialCatchStartAge,
             IF($A30&lt;=specialCatchEndAge, total401kCap_60to63, total401kCap_50to59),
             IF($A30&gt;=catchAge, total401kCap_50to59, total401kCap_u50)
          )
      ) - $C30
    )
  ),
2)
</f>
        <v>43500</v>
      </c>
      <c r="E30" s="11">
        <f t="shared" si="7"/>
        <v>866436.2</v>
      </c>
      <c r="F30" s="11">
        <f>IFERROR(
  IF($A30 &lt; MarriageAge,
     SUMPRODUCT( ($E30&gt;FedLower_Single) * ((IF($E30&gt;FedUpper_Single, FedUpper_Single, $E30))-FedLower_Single) * FedRate_Single ),
     SUMPRODUCT( ($E30&gt;FedLower_Married) * ((IF($E30&gt;FedUpper_Married, FedUpper_Married, $E30))-FedLower_Married) * FedRate_Married )
  ),
0)
</f>
        <v>242824.514</v>
      </c>
      <c r="G30" s="11">
        <f>ROUND(gaEff*$E30, 2)
</f>
        <v>44968.04</v>
      </c>
      <c r="H30" s="11">
        <f>IF($B30=0,0,
  ROUND(
    ssRate*MIN($B30, ssBase) +
    medRate*$B30 +
    addlMedRate*MAX(0, $B30 - addlMedThresh),
 2))
</f>
        <v>30520.2</v>
      </c>
      <c r="I30" s="11">
        <f t="shared" si="8"/>
        <v>548123.45</v>
      </c>
      <c r="J30" s="11">
        <f>ROUND(
  MIN(rothIRA, IF($A30&lt;catchAge, rothCap_base, rothCap_catch)),
2)
</f>
        <v>7000</v>
      </c>
      <c r="K30" s="11">
        <f>ROUND(($I30-$J30-$X30)*allocETF, 2) + IFERROR($P30, 0)
</f>
        <v>121752.775</v>
      </c>
      <c r="L30" s="11">
        <f>ROUND( ($I30-$J30-$X30)*allocRE , 2)
</f>
        <v>81168.52</v>
      </c>
      <c r="M30" s="11">
        <f>LET(
  cap_ratio, IFERROR(savings_cap_ratio, 0.75),
  cap_amt,   cap_ratio * $W30,
  start_sav, IFERROR(Balances!$S30, 0),
  base,      ROUND(($I30-$J30-$X30)*allocSav, 2),
  IF(start_sav &gt;= cap_amt, 0, base)
)
</f>
        <v>0</v>
      </c>
      <c r="N30" s="11">
        <f>IF($A30&lt;=capAge,
   MIN(
     ROUND( ($I30-$J30-$X30)*(1-allocETF-allocRE-allocSav), 2),
     capBase * (1 + inflation) ^ ($A30 - startAge)
   ),
   ROUND( ($I30-$J30-$X30)*(1-allocETF-allocRE-allocSav), 2)
)
</f>
        <v>324674.07</v>
      </c>
      <c r="O30" s="11">
        <f>LET(
  cap_ratio, IFERROR(savings_cap_ratio, 0.75),
  cap_amt,   cap_ratio * $W30,
  start_sav, IFERROR(Balances!$S30, 0),
  base,      ROUND(($I30-$J30-$X30)*allocSav, 2),
  IF(start_sav &gt;= cap_amt, base, 0)
)
</f>
        <v>27056.17</v>
      </c>
      <c r="P30" s="11">
        <f>IFERROR($O30 * IFERROR(surplus_to_ETF, 0.4), 0)
</f>
        <v>13528.085</v>
      </c>
      <c r="Q30" s="11">
        <f>IFERROR($O30 * IFERROR(surplus_to_RE, 0.6), 0)
</f>
        <v>13528.085</v>
      </c>
      <c r="R30" s="10">
        <f>IF($A30&lt;=capAge,
   MAX(
     0,
     ROUND(
       ($I30-$J30-$X30)*(1-allocETF-allocRE-allocSav)
       - capBase * (1 + inflation) ^ ($A30 - startAge),
     2)
   ),
   0
)
</f>
        <v>0</v>
      </c>
      <c r="S30" s="11">
        <f>IF(R30&gt;0, R30*lifeExcessToETF, 0)
</f>
        <v>0</v>
      </c>
      <c r="T30" s="11">
        <f>IF(R30&gt;0, R30*lifeExcessToLoan, 0)
</f>
        <v>0</v>
      </c>
      <c r="U30" s="11">
        <f t="shared" si="3"/>
        <v>0</v>
      </c>
      <c r="V30" s="11">
        <f t="array" ref="V30">LET(
  age,$A30,
  ti_prev,N($E29),
  gross,SUMIF('RE Amortization'!$E:$E,$A30,'RE Amortization'!$K:$K),
  fed_single,IFERROR(LOOKUP(ti_prev,N(Assumptions!$D$3:$D$9),N(Assumptions!$F$3:$F$9)),INDEX(N(Assumptions!$F$3:$F$9),1)),
  fed_married,IFERROR(LOOKUP(ti_prev,N(Assumptions!$D$13:$D$19),N(Assumptions!$F$13:$F$19)),INDEX(N(Assumptions!$F$13:$F$19),1)),
  fed_rate,IF(age&lt;MarriageAge,fed_single,fed_married),
  ROUND(gross*(1-fed_rate-gaEff),2)
)
</f>
        <v>54061.7</v>
      </c>
      <c r="W30" s="13">
        <f t="shared" si="4"/>
        <v>378735.77</v>
      </c>
      <c r="X30" s="11">
        <f t="array" ref="X30">IF(
  AB30&lt;=0,0,
  IF(
    A30&lt;loanStartAge,0,
    MIN(
      AB30 + ROUND(AB30*loanRate,2),
      IF(A30=loanStartAge,
        cfiPayPct * I30,      
        -PMT(loanRate,loanTerm,INDEX($AB:$AB,MATCH(loanStartAge,$A:$A,0)))
      )
    )
  )
)
</f>
        <v>0</v>
      </c>
      <c r="Y30" s="9"/>
      <c r="Z30" s="9"/>
      <c r="AA30" s="9"/>
      <c r="AB30" s="9"/>
    </row>
    <row r="31" ht="15.75" customHeight="1">
      <c r="A31" s="1">
        <v>47.0</v>
      </c>
      <c r="B31" s="11">
        <f>IFERROR(__xludf.DUMMYFUNCTION("IFERROR(
  INDEX( FILTER('Pilot Pay'!R:R, VALUE('Pilot Pay'!K:K)=VALUE($A31)) , 1 ),
  0
)
"),913209.61)</f>
        <v>913209.61</v>
      </c>
      <c r="C31" s="11">
        <f>ROUND(
  MIN($B31*emp401kPct, IF($A31&lt;catchAge, emp401kCap, emp401kCap_catch)),
2)
</f>
        <v>24500</v>
      </c>
      <c r="D31" s="11">
        <f>ROUND(
  MIN(
    MIN($B31*er401kPct, IF($A31&lt;catchAge, er401kCap_base, er401kCap_catch)),
    MAX(
      0,
      MIN($B31,
          IF($A31&gt;=specialCatchStartAge,
             IF($A31&lt;=specialCatchEndAge, total401kCap_60to63, total401kCap_50to59),
             IF($A31&gt;=catchAge, total401kCap_50to59, total401kCap_u50)
          )
      ) - $C31
    )
  ),
2)
</f>
        <v>43500</v>
      </c>
      <c r="E31" s="11">
        <f t="shared" si="7"/>
        <v>888709.61</v>
      </c>
      <c r="F31" s="11">
        <f>IFERROR(
  IF($A31 &lt; MarriageAge,
     SUMPRODUCT( ($E31&gt;FedLower_Single) * ((IF($E31&gt;FedUpper_Single, FedUpper_Single, $E31))-FedLower_Single) * FedRate_Single ),
     SUMPRODUCT( ($E31&gt;FedLower_Married) * ((IF($E31&gt;FedUpper_Married, FedUpper_Married, $E31))-FedLower_Married) * FedRate_Married )
  ),
0)
</f>
        <v>251065.6757</v>
      </c>
      <c r="G31" s="11">
        <f>ROUND(gaEff*$E31, 2)
</f>
        <v>46124.03</v>
      </c>
      <c r="H31" s="11">
        <f>IF($B31=0,0,
  ROUND(
    ssRate*MIN($B31, ssBase) +
    medRate*$B31 +
    addlMedRate*MAX(0, $B31 - addlMedThresh),
 2))
</f>
        <v>31043.63</v>
      </c>
      <c r="I31" s="11">
        <f t="shared" si="8"/>
        <v>560476.27</v>
      </c>
      <c r="J31" s="11">
        <f>ROUND(
  MIN(rothIRA, IF($A31&lt;catchAge, rothCap_base, rothCap_catch)),
2)
</f>
        <v>7000</v>
      </c>
      <c r="K31" s="11">
        <f>ROUND(($I31-$J31-$X31)*allocETF, 2) + IFERROR($P31, 0)
</f>
        <v>124532.155</v>
      </c>
      <c r="L31" s="11">
        <f>ROUND( ($I31-$J31-$X31)*allocRE , 2)
</f>
        <v>83021.44</v>
      </c>
      <c r="M31" s="11">
        <f>LET(
  cap_ratio, IFERROR(savings_cap_ratio, 0.75),
  cap_amt,   cap_ratio * $W31,
  start_sav, IFERROR(Balances!$S31, 0),
  base,      ROUND(($I31-$J31-$X31)*allocSav, 2),
  IF(start_sav &gt;= cap_amt, 0, base)
)
</f>
        <v>0</v>
      </c>
      <c r="N31" s="11">
        <f>IF($A31&lt;=capAge,
   MIN(
     ROUND( ($I31-$J31-$X31)*(1-allocETF-allocRE-allocSav), 2),
     capBase * (1 + inflation) ^ ($A31 - startAge)
   ),
   ROUND( ($I31-$J31-$X31)*(1-allocETF-allocRE-allocSav), 2)
)
</f>
        <v>332085.76</v>
      </c>
      <c r="O31" s="11">
        <f>LET(
  cap_ratio, IFERROR(savings_cap_ratio, 0.75),
  cap_amt,   cap_ratio * $W31,
  start_sav, IFERROR(Balances!$S31, 0),
  base,      ROUND(($I31-$J31-$X31)*allocSav, 2),
  IF(start_sav &gt;= cap_amt, base, 0)
)
</f>
        <v>27673.81</v>
      </c>
      <c r="P31" s="11">
        <f>IFERROR($O31 * IFERROR(surplus_to_ETF, 0.4), 0)
</f>
        <v>13836.905</v>
      </c>
      <c r="Q31" s="11">
        <f>IFERROR($O31 * IFERROR(surplus_to_RE, 0.6), 0)
</f>
        <v>13836.905</v>
      </c>
      <c r="R31" s="10">
        <f>IF($A31&lt;=capAge,
   MAX(
     0,
     ROUND(
       ($I31-$J31-$X31)*(1-allocETF-allocRE-allocSav)
       - capBase * (1 + inflation) ^ ($A31 - startAge),
     2)
   ),
   0
)
</f>
        <v>0</v>
      </c>
      <c r="S31" s="11">
        <f>IF(R31&gt;0, R31*lifeExcessToETF, 0)
</f>
        <v>0</v>
      </c>
      <c r="T31" s="11">
        <f>IF(R31&gt;0, R31*lifeExcessToLoan, 0)
</f>
        <v>0</v>
      </c>
      <c r="U31" s="11">
        <f t="shared" si="3"/>
        <v>0</v>
      </c>
      <c r="V31" s="11">
        <f t="array" ref="V31">LET(
  age,$A31,
  ti_prev,N($E30),
  gross,SUMIF('RE Amortization'!$E:$E,$A31,'RE Amortization'!$K:$K),
  fed_single,IFERROR(LOOKUP(ti_prev,N(Assumptions!$D$3:$D$9),N(Assumptions!$F$3:$F$9)),INDEX(N(Assumptions!$F$3:$F$9),1)),
  fed_married,IFERROR(LOOKUP(ti_prev,N(Assumptions!$D$13:$D$19),N(Assumptions!$F$13:$F$19)),INDEX(N(Assumptions!$F$13:$F$19),1)),
  fed_rate,IF(age&lt;MarriageAge,fed_single,fed_married),
  ROUND(gross*(1-fed_rate-gaEff),2)
)
</f>
        <v>54061.7</v>
      </c>
      <c r="W31" s="13">
        <f t="shared" si="4"/>
        <v>386147.46</v>
      </c>
      <c r="X31" s="11">
        <f t="array" ref="X31">IF(
  AB31&lt;=0,0,
  IF(
    A31&lt;loanStartAge,0,
    MIN(
      AB31 + ROUND(AB31*loanRate,2),
      IF(A31=loanStartAge,
        cfiPayPct * I31,      
        -PMT(loanRate,loanTerm,INDEX($AB:$AB,MATCH(loanStartAge,$A:$A,0)))
      )
    )
  )
)
</f>
        <v>0</v>
      </c>
      <c r="Y31" s="9"/>
      <c r="Z31" s="9"/>
      <c r="AA31" s="9"/>
      <c r="AB31" s="9"/>
    </row>
    <row r="32" ht="15.75" customHeight="1">
      <c r="A32" s="1">
        <v>48.0</v>
      </c>
      <c r="B32" s="11">
        <f>IFERROR(__xludf.DUMMYFUNCTION("IFERROR(
  INDEX( FILTER('Pilot Pay'!R:R, VALUE('Pilot Pay'!K:K)=VALUE($A32)) , 1 ),
  0
)
"),936039.85)</f>
        <v>936039.85</v>
      </c>
      <c r="C32" s="11">
        <f>ROUND(
  MIN($B32*emp401kPct, IF($A32&lt;catchAge, emp401kCap, emp401kCap_catch)),
2)
</f>
        <v>24500</v>
      </c>
      <c r="D32" s="11">
        <f>ROUND(
  MIN(
    MIN($B32*er401kPct, IF($A32&lt;catchAge, er401kCap_base, er401kCap_catch)),
    MAX(
      0,
      MIN($B32,
          IF($A32&gt;=specialCatchStartAge,
             IF($A32&lt;=specialCatchEndAge, total401kCap_60to63, total401kCap_50to59),
             IF($A32&gt;=catchAge, total401kCap_50to59, total401kCap_u50)
          )
      ) - $C32
    )
  ),
2)
</f>
        <v>43500</v>
      </c>
      <c r="E32" s="11">
        <f t="shared" si="7"/>
        <v>911539.85</v>
      </c>
      <c r="F32" s="11">
        <f>IFERROR(
  IF($A32 &lt; MarriageAge,
     SUMPRODUCT( ($E32&gt;FedLower_Single) * ((IF($E32&gt;FedUpper_Single, FedUpper_Single, $E32))-FedLower_Single) * FedRate_Single ),
     SUMPRODUCT( ($E32&gt;FedLower_Married) * ((IF($E32&gt;FedUpper_Married, FedUpper_Married, $E32))-FedLower_Married) * FedRate_Married )
  ),
0)
</f>
        <v>259512.8645</v>
      </c>
      <c r="G32" s="11">
        <f>ROUND(gaEff*$E32, 2)
</f>
        <v>47308.92</v>
      </c>
      <c r="H32" s="11">
        <f>IF($B32=0,0,
  ROUND(
    ssRate*MIN($B32, ssBase) +
    medRate*$B32 +
    addlMedRate*MAX(0, $B32 - addlMedThresh),
 2))
</f>
        <v>31580.14</v>
      </c>
      <c r="I32" s="11">
        <f t="shared" si="8"/>
        <v>573137.93</v>
      </c>
      <c r="J32" s="11">
        <f>ROUND(
  MIN(rothIRA, IF($A32&lt;catchAge, rothCap_base, rothCap_catch)),
2)
</f>
        <v>7000</v>
      </c>
      <c r="K32" s="11">
        <f>ROUND(($I32-$J32-$X32)*allocETF, 2) + IFERROR($P32, 0)
</f>
        <v>127381.04</v>
      </c>
      <c r="L32" s="11">
        <f>ROUND( ($I32-$J32-$X32)*allocRE , 2)
</f>
        <v>84920.69</v>
      </c>
      <c r="M32" s="11">
        <f>LET(
  cap_ratio, IFERROR(savings_cap_ratio, 0.75),
  cap_amt,   cap_ratio * $W32,
  start_sav, IFERROR(Balances!$S32, 0),
  base,      ROUND(($I32-$J32-$X32)*allocSav, 2),
  IF(start_sav &gt;= cap_amt, 0, base)
)
</f>
        <v>0</v>
      </c>
      <c r="N32" s="11">
        <f>IF($A32&lt;=capAge,
   MIN(
     ROUND( ($I32-$J32-$X32)*(1-allocETF-allocRE-allocSav), 2),
     capBase * (1 + inflation) ^ ($A32 - startAge)
   ),
   ROUND( ($I32-$J32-$X32)*(1-allocETF-allocRE-allocSav), 2)
)
</f>
        <v>339682.76</v>
      </c>
      <c r="O32" s="11">
        <f>LET(
  cap_ratio, IFERROR(savings_cap_ratio, 0.75),
  cap_amt,   cap_ratio * $W32,
  start_sav, IFERROR(Balances!$S32, 0),
  base,      ROUND(($I32-$J32-$X32)*allocSav, 2),
  IF(start_sav &gt;= cap_amt, base, 0)
)
</f>
        <v>28306.9</v>
      </c>
      <c r="P32" s="11">
        <f>IFERROR($O32 * IFERROR(surplus_to_ETF, 0.4), 0)
</f>
        <v>14153.45</v>
      </c>
      <c r="Q32" s="11">
        <f>IFERROR($O32 * IFERROR(surplus_to_RE, 0.6), 0)
</f>
        <v>14153.45</v>
      </c>
      <c r="R32" s="10">
        <f>IF($A32&lt;=capAge,
   MAX(
     0,
     ROUND(
       ($I32-$J32-$X32)*(1-allocETF-allocRE-allocSav)
       - capBase * (1 + inflation) ^ ($A32 - startAge),
     2)
   ),
   0
)
</f>
        <v>0</v>
      </c>
      <c r="S32" s="11">
        <f>IF(R32&gt;0, R32*lifeExcessToETF, 0)
</f>
        <v>0</v>
      </c>
      <c r="T32" s="11">
        <f>IF(R32&gt;0, R32*lifeExcessToLoan, 0)
</f>
        <v>0</v>
      </c>
      <c r="U32" s="11">
        <f t="shared" si="3"/>
        <v>0</v>
      </c>
      <c r="V32" s="11">
        <f t="array" ref="V32">LET(
  age,$A32,
  ti_prev,N($E31),
  gross,SUMIF('RE Amortization'!$E:$E,$A32,'RE Amortization'!$K:$K),
  fed_single,IFERROR(LOOKUP(ti_prev,N(Assumptions!$D$3:$D$9),N(Assumptions!$F$3:$F$9)),INDEX(N(Assumptions!$F$3:$F$9),1)),
  fed_married,IFERROR(LOOKUP(ti_prev,N(Assumptions!$D$13:$D$19),N(Assumptions!$F$13:$F$19)),INDEX(N(Assumptions!$F$13:$F$19),1)),
  fed_rate,IF(age&lt;MarriageAge,fed_single,fed_married),
  ROUND(gross*(1-fed_rate-gaEff),2)
)
</f>
        <v>60981.08</v>
      </c>
      <c r="W32" s="13">
        <f t="shared" si="4"/>
        <v>400663.84</v>
      </c>
      <c r="X32" s="11">
        <f t="array" ref="X32">IF(
  AB32&lt;=0,0,
  IF(
    A32&lt;loanStartAge,0,
    MIN(
      AB32 + ROUND(AB32*loanRate,2),
      IF(A32=loanStartAge,
        cfiPayPct * I32,      
        -PMT(loanRate,loanTerm,INDEX($AB:$AB,MATCH(loanStartAge,$A:$A,0)))
      )
    )
  )
)
</f>
        <v>0</v>
      </c>
      <c r="Y32" s="9"/>
      <c r="Z32" s="9"/>
      <c r="AA32" s="9"/>
      <c r="AB32" s="9"/>
    </row>
    <row r="33" ht="15.75" customHeight="1">
      <c r="A33" s="1">
        <v>49.0</v>
      </c>
      <c r="B33" s="11">
        <f>IFERROR(__xludf.DUMMYFUNCTION("IFERROR(
  INDEX( FILTER('Pilot Pay'!R:R, VALUE('Pilot Pay'!K:K)=VALUE($A33)) , 1 ),
  0
)
"),959440.84)</f>
        <v>959440.84</v>
      </c>
      <c r="C33" s="11">
        <f>ROUND(
  MIN($B33*emp401kPct, IF($A33&lt;catchAge, emp401kCap, emp401kCap_catch)),
2)
</f>
        <v>24500</v>
      </c>
      <c r="D33" s="11">
        <f>ROUND(
  MIN(
    MIN($B33*er401kPct, IF($A33&lt;catchAge, er401kCap_base, er401kCap_catch)),
    MAX(
      0,
      MIN($B33,
          IF($A33&gt;=specialCatchStartAge,
             IF($A33&lt;=specialCatchEndAge, total401kCap_60to63, total401kCap_50to59),
             IF($A33&gt;=catchAge, total401kCap_50to59, total401kCap_u50)
          )
      ) - $C33
    )
  ),
2)
</f>
        <v>43500</v>
      </c>
      <c r="E33" s="11">
        <f t="shared" si="7"/>
        <v>934940.84</v>
      </c>
      <c r="F33" s="11">
        <f>IFERROR(
  IF($A33 &lt; MarriageAge,
     SUMPRODUCT( ($E33&gt;FedLower_Single) * ((IF($E33&gt;FedUpper_Single, FedUpper_Single, $E33))-FedLower_Single) * FedRate_Single ),
     SUMPRODUCT( ($E33&gt;FedLower_Married) * ((IF($E33&gt;FedUpper_Married, FedUpper_Married, $E33))-FedLower_Married) * FedRate_Married )
  ),
0)
</f>
        <v>268171.2308</v>
      </c>
      <c r="G33" s="11">
        <f>ROUND(gaEff*$E33, 2)
</f>
        <v>48523.43</v>
      </c>
      <c r="H33" s="11">
        <f>IF($B33=0,0,
  ROUND(
    ssRate*MIN($B33, ssBase) +
    medRate*$B33 +
    addlMedRate*MAX(0, $B33 - addlMedThresh),
 2))
</f>
        <v>32130.06</v>
      </c>
      <c r="I33" s="11">
        <f t="shared" si="8"/>
        <v>586116.12</v>
      </c>
      <c r="J33" s="11">
        <f>ROUND(
  MIN(rothIRA, IF($A33&lt;catchAge, rothCap_base, rothCap_catch)),
2)
</f>
        <v>7000</v>
      </c>
      <c r="K33" s="11">
        <f>ROUND(($I33-$J33-$X33)*allocETF, 2) + IFERROR($P33, 0)
</f>
        <v>130301.125</v>
      </c>
      <c r="L33" s="11">
        <f>ROUND( ($I33-$J33-$X33)*allocRE , 2)
</f>
        <v>86867.42</v>
      </c>
      <c r="M33" s="11">
        <f>LET(
  cap_ratio, IFERROR(savings_cap_ratio, 0.75),
  cap_amt,   cap_ratio * $W33,
  start_sav, IFERROR(Balances!$S33, 0),
  base,      ROUND(($I33-$J33-$X33)*allocSav, 2),
  IF(start_sav &gt;= cap_amt, 0, base)
)
</f>
        <v>0</v>
      </c>
      <c r="N33" s="11">
        <f>IF($A33&lt;=capAge,
   MIN(
     ROUND( ($I33-$J33-$X33)*(1-allocETF-allocRE-allocSav), 2),
     capBase * (1 + inflation) ^ ($A33 - startAge)
   ),
   ROUND( ($I33-$J33-$X33)*(1-allocETF-allocRE-allocSav), 2)
)
</f>
        <v>347469.67</v>
      </c>
      <c r="O33" s="11">
        <f>LET(
  cap_ratio, IFERROR(savings_cap_ratio, 0.75),
  cap_amt,   cap_ratio * $W33,
  start_sav, IFERROR(Balances!$S33, 0),
  base,      ROUND(($I33-$J33-$X33)*allocSav, 2),
  IF(start_sav &gt;= cap_amt, base, 0)
)
</f>
        <v>28955.81</v>
      </c>
      <c r="P33" s="11">
        <f>IFERROR($O33 * IFERROR(surplus_to_ETF, 0.4), 0)
</f>
        <v>14477.905</v>
      </c>
      <c r="Q33" s="11">
        <f>IFERROR($O33 * IFERROR(surplus_to_RE, 0.6), 0)
</f>
        <v>14477.905</v>
      </c>
      <c r="R33" s="10">
        <f>IF($A33&lt;=capAge,
   MAX(
     0,
     ROUND(
       ($I33-$J33-$X33)*(1-allocETF-allocRE-allocSav)
       - capBase * (1 + inflation) ^ ($A33 - startAge),
     2)
   ),
   0
)
</f>
        <v>0</v>
      </c>
      <c r="S33" s="11">
        <f>IF(R33&gt;0, R33*lifeExcessToETF, 0)
</f>
        <v>0</v>
      </c>
      <c r="T33" s="11">
        <f>IF(R33&gt;0, R33*lifeExcessToLoan, 0)
</f>
        <v>0</v>
      </c>
      <c r="U33" s="11">
        <f t="shared" si="3"/>
        <v>0</v>
      </c>
      <c r="V33" s="11">
        <f t="array" ref="V33">LET(
  age,$A33,
  ti_prev,N($E32),
  gross,SUMIF('RE Amortization'!$E:$E,$A33,'RE Amortization'!$K:$K),
  fed_single,IFERROR(LOOKUP(ti_prev,N(Assumptions!$D$3:$D$9),N(Assumptions!$F$3:$F$9)),INDEX(N(Assumptions!$F$3:$F$9),1)),
  fed_married,IFERROR(LOOKUP(ti_prev,N(Assumptions!$D$13:$D$19),N(Assumptions!$F$13:$F$19)),INDEX(N(Assumptions!$F$13:$F$19),1)),
  fed_rate,IF(age&lt;MarriageAge,fed_single,fed_married),
  ROUND(gross*(1-fed_rate-gaEff),2)
)
</f>
        <v>60981.08</v>
      </c>
      <c r="W33" s="13">
        <f t="shared" si="4"/>
        <v>408450.75</v>
      </c>
      <c r="X33" s="11">
        <f t="array" ref="X33">IF(
  AB33&lt;=0,0,
  IF(
    A33&lt;loanStartAge,0,
    MIN(
      AB33 + ROUND(AB33*loanRate,2),
      IF(A33=loanStartAge,
        cfiPayPct * I33,      
        -PMT(loanRate,loanTerm,INDEX($AB:$AB,MATCH(loanStartAge,$A:$A,0)))
      )
    )
  )
)
</f>
        <v>0</v>
      </c>
      <c r="Y33" s="9"/>
      <c r="Z33" s="9"/>
      <c r="AA33" s="9"/>
      <c r="AB33" s="9"/>
    </row>
    <row r="34" ht="15.75" customHeight="1">
      <c r="A34" s="1">
        <v>50.0</v>
      </c>
      <c r="B34" s="11">
        <f>IFERROR(__xludf.DUMMYFUNCTION("IFERROR(
  INDEX( FILTER('Pilot Pay'!R:R, VALUE('Pilot Pay'!K:K)=VALUE($A34)) , 1 ),
  0
)
"),983426.86)</f>
        <v>983426.86</v>
      </c>
      <c r="C34" s="11">
        <f>ROUND(
  MIN($B34*emp401kPct, IF($A34&lt;catchAge, emp401kCap, emp401kCap_catch)),
2)
</f>
        <v>32500</v>
      </c>
      <c r="D34" s="11">
        <f>ROUND(
  MIN(
    MIN($B34*er401kPct, IF($A34&lt;catchAge, er401kCap_base, er401kCap_catch)),
    MAX(
      0,
      MIN($B34,
          IF($A34&gt;=specialCatchStartAge,
             IF($A34&lt;=specialCatchEndAge, total401kCap_60to63, total401kCap_50to59),
             IF($A34&gt;=catchAge, total401kCap_50to59, total401kCap_u50)
          )
      ) - $C34
    )
  ),
2)
</f>
        <v>47500</v>
      </c>
      <c r="E34" s="11">
        <f t="shared" si="7"/>
        <v>950926.86</v>
      </c>
      <c r="F34" s="11">
        <f>IFERROR(
  IF($A34 &lt; MarriageAge,
     SUMPRODUCT( ($E34&gt;FedLower_Single) * ((IF($E34&gt;FedUpper_Single, FedUpper_Single, $E34))-FedLower_Single) * FedRate_Single ),
     SUMPRODUCT( ($E34&gt;FedLower_Married) * ((IF($E34&gt;FedUpper_Married, FedUpper_Married, $E34))-FedLower_Married) * FedRate_Married )
  ),
0)
</f>
        <v>274086.0582</v>
      </c>
      <c r="G34" s="11">
        <f>ROUND(gaEff*$E34, 2)
</f>
        <v>49353.1</v>
      </c>
      <c r="H34" s="11">
        <f>IF($B34=0,0,
  ROUND(
    ssRate*MIN($B34, ssBase) +
    medRate*$B34 +
    addlMedRate*MAX(0, $B34 - addlMedThresh),
 2))
</f>
        <v>32693.73</v>
      </c>
      <c r="I34" s="11">
        <f t="shared" si="8"/>
        <v>594793.97</v>
      </c>
      <c r="J34" s="11">
        <f>ROUND(
  MIN(rothIRA, IF($A34&lt;catchAge, rothCap_base, rothCap_catch)),
2)
</f>
        <v>8000</v>
      </c>
      <c r="K34" s="11">
        <f>ROUND(($I34-$J34-$X34)*allocETF, 2) + IFERROR($P34, 0)
</f>
        <v>132028.64</v>
      </c>
      <c r="L34" s="11">
        <f>ROUND( ($I34-$J34-$X34)*allocRE , 2)
</f>
        <v>88019.1</v>
      </c>
      <c r="M34" s="11">
        <f>LET(
  cap_ratio, IFERROR(savings_cap_ratio, 0.75),
  cap_amt,   cap_ratio * $W34,
  start_sav, IFERROR(Balances!$S34, 0),
  base,      ROUND(($I34-$J34-$X34)*allocSav, 2),
  IF(start_sav &gt;= cap_amt, 0, base)
)
</f>
        <v>0</v>
      </c>
      <c r="N34" s="11">
        <f>IF($A34&lt;=capAge,
   MIN(
     ROUND( ($I34-$J34-$X34)*(1-allocETF-allocRE-allocSav), 2),
     capBase * (1 + inflation) ^ ($A34 - startAge)
   ),
   ROUND( ($I34-$J34-$X34)*(1-allocETF-allocRE-allocSav), 2)
)
</f>
        <v>352076.38</v>
      </c>
      <c r="O34" s="11">
        <f>LET(
  cap_ratio, IFERROR(savings_cap_ratio, 0.75),
  cap_amt,   cap_ratio * $W34,
  start_sav, IFERROR(Balances!$S34, 0),
  base,      ROUND(($I34-$J34-$X34)*allocSav, 2),
  IF(start_sav &gt;= cap_amt, base, 0)
)
</f>
        <v>29339.7</v>
      </c>
      <c r="P34" s="11">
        <f>IFERROR($O34 * IFERROR(surplus_to_ETF, 0.4), 0)
</f>
        <v>14669.85</v>
      </c>
      <c r="Q34" s="11">
        <f>IFERROR($O34 * IFERROR(surplus_to_RE, 0.6), 0)
</f>
        <v>14669.85</v>
      </c>
      <c r="R34" s="10">
        <f>IF($A34&lt;=capAge,
   MAX(
     0,
     ROUND(
       ($I34-$J34-$X34)*(1-allocETF-allocRE-allocSav)
       - capBase * (1 + inflation) ^ ($A34 - startAge),
     2)
   ),
   0
)
</f>
        <v>0</v>
      </c>
      <c r="S34" s="11">
        <f>IF(R34&gt;0, R34*lifeExcessToETF, 0)
</f>
        <v>0</v>
      </c>
      <c r="T34" s="11">
        <f>IF(R34&gt;0, R34*lifeExcessToLoan, 0)
</f>
        <v>0</v>
      </c>
      <c r="U34" s="11">
        <f t="shared" si="3"/>
        <v>0</v>
      </c>
      <c r="V34" s="11">
        <f t="array" ref="V34">LET(
  age,$A34,
  ti_prev,N($E33),
  gross,SUMIF('RE Amortization'!$E:$E,$A34,'RE Amortization'!$K:$K),
  fed_single,IFERROR(LOOKUP(ti_prev,N(Assumptions!$D$3:$D$9),N(Assumptions!$F$3:$F$9)),INDEX(N(Assumptions!$F$3:$F$9),1)),
  fed_married,IFERROR(LOOKUP(ti_prev,N(Assumptions!$D$13:$D$19),N(Assumptions!$F$13:$F$19)),INDEX(N(Assumptions!$F$13:$F$19),1)),
  fed_rate,IF(age&lt;MarriageAge,fed_single,fed_married),
  ROUND(gross*(1-fed_rate-gaEff),2)
)
</f>
        <v>68250.76</v>
      </c>
      <c r="W34" s="13">
        <f t="shared" si="4"/>
        <v>420327.14</v>
      </c>
      <c r="X34" s="11">
        <f t="array" ref="X34">IF(
  AB34&lt;=0,0,
  IF(
    A34&lt;loanStartAge,0,
    MIN(
      AB34 + ROUND(AB34*loanRate,2),
      IF(A34=loanStartAge,
        cfiPayPct * I34,      
        -PMT(loanRate,loanTerm,INDEX($AB:$AB,MATCH(loanStartAge,$A:$A,0)))
      )
    )
  )
)
</f>
        <v>0</v>
      </c>
      <c r="Y34" s="9"/>
      <c r="Z34" s="9"/>
      <c r="AA34" s="9"/>
      <c r="AB34" s="9"/>
    </row>
    <row r="35" ht="15.75" customHeight="1">
      <c r="A35" s="1">
        <v>51.0</v>
      </c>
      <c r="B35" s="11">
        <f>IFERROR(__xludf.DUMMYFUNCTION("IFERROR(
  INDEX( FILTER('Pilot Pay'!R:R, VALUE('Pilot Pay'!K:K)=VALUE($A35)) , 1 ),
  0
)
"),1008012.54)</f>
        <v>1008012.54</v>
      </c>
      <c r="C35" s="11">
        <f>ROUND(
  MIN($B35*emp401kPct, IF($A35&lt;catchAge, emp401kCap, emp401kCap_catch)),
2)
</f>
        <v>32500</v>
      </c>
      <c r="D35" s="11">
        <f>ROUND(
  MIN(
    MIN($B35*er401kPct, IF($A35&lt;catchAge, er401kCap_base, er401kCap_catch)),
    MAX(
      0,
      MIN($B35,
          IF($A35&gt;=specialCatchStartAge,
             IF($A35&lt;=specialCatchEndAge, total401kCap_60to63, total401kCap_50to59),
             IF($A35&gt;=catchAge, total401kCap_50to59, total401kCap_u50)
          )
      ) - $C35
    )
  ),
2)
</f>
        <v>47500</v>
      </c>
      <c r="E35" s="11">
        <f t="shared" si="7"/>
        <v>975512.54</v>
      </c>
      <c r="F35" s="11">
        <f>IFERROR(
  IF($A35 &lt; MarriageAge,
     SUMPRODUCT( ($E35&gt;FedLower_Single) * ((IF($E35&gt;FedUpper_Single, FedUpper_Single, $E35))-FedLower_Single) * FedRate_Single ),
     SUMPRODUCT( ($E35&gt;FedLower_Married) * ((IF($E35&gt;FedUpper_Married, FedUpper_Married, $E35))-FedLower_Married) * FedRate_Married )
  ),
0)
</f>
        <v>283182.7598</v>
      </c>
      <c r="G35" s="11">
        <f>ROUND(gaEff*$E35, 2)
</f>
        <v>50629.1</v>
      </c>
      <c r="H35" s="11">
        <f>IF($B35=0,0,
  ROUND(
    ssRate*MIN($B35, ssBase) +
    medRate*$B35 +
    addlMedRate*MAX(0, $B35 - addlMedThresh),
 2))
</f>
        <v>33271.49</v>
      </c>
      <c r="I35" s="11">
        <f t="shared" si="8"/>
        <v>608429.19</v>
      </c>
      <c r="J35" s="11">
        <f>ROUND(
  MIN(rothIRA, IF($A35&lt;catchAge, rothCap_base, rothCap_catch)),
2)
</f>
        <v>8000</v>
      </c>
      <c r="K35" s="11">
        <f>ROUND(($I35-$J35-$X35)*allocETF, 2) + IFERROR($P35, 0)
</f>
        <v>135096.57</v>
      </c>
      <c r="L35" s="11">
        <f>ROUND( ($I35-$J35-$X35)*allocRE , 2)
</f>
        <v>90064.38</v>
      </c>
      <c r="M35" s="11">
        <f>LET(
  cap_ratio, IFERROR(savings_cap_ratio, 0.75),
  cap_amt,   cap_ratio * $W35,
  start_sav, IFERROR(Balances!$S35, 0),
  base,      ROUND(($I35-$J35-$X35)*allocSav, 2),
  IF(start_sav &gt;= cap_amt, 0, base)
)
</f>
        <v>0</v>
      </c>
      <c r="N35" s="11">
        <f>IF($A35&lt;=capAge,
   MIN(
     ROUND( ($I35-$J35-$X35)*(1-allocETF-allocRE-allocSav), 2),
     capBase * (1 + inflation) ^ ($A35 - startAge)
   ),
   ROUND( ($I35-$J35-$X35)*(1-allocETF-allocRE-allocSav), 2)
)
</f>
        <v>360257.51</v>
      </c>
      <c r="O35" s="11">
        <f>LET(
  cap_ratio, IFERROR(savings_cap_ratio, 0.75),
  cap_amt,   cap_ratio * $W35,
  start_sav, IFERROR(Balances!$S35, 0),
  base,      ROUND(($I35-$J35-$X35)*allocSav, 2),
  IF(start_sav &gt;= cap_amt, base, 0)
)
</f>
        <v>30021.46</v>
      </c>
      <c r="P35" s="11">
        <f>IFERROR($O35 * IFERROR(surplus_to_ETF, 0.4), 0)
</f>
        <v>15010.73</v>
      </c>
      <c r="Q35" s="11">
        <f>IFERROR($O35 * IFERROR(surplus_to_RE, 0.6), 0)
</f>
        <v>15010.73</v>
      </c>
      <c r="R35" s="10">
        <f>IF($A35&lt;=capAge,
   MAX(
     0,
     ROUND(
       ($I35-$J35-$X35)*(1-allocETF-allocRE-allocSav)
       - capBase * (1 + inflation) ^ ($A35 - startAge),
     2)
   ),
   0
)
</f>
        <v>0</v>
      </c>
      <c r="S35" s="11">
        <f>IF(R35&gt;0, R35*lifeExcessToETF, 0)
</f>
        <v>0</v>
      </c>
      <c r="T35" s="11">
        <f>IF(R35&gt;0, R35*lifeExcessToLoan, 0)
</f>
        <v>0</v>
      </c>
      <c r="U35" s="11">
        <f t="shared" si="3"/>
        <v>0</v>
      </c>
      <c r="V35" s="11">
        <f t="array" ref="V35">LET(
  age,$A35,
  ti_prev,N($E34),
  gross,SUMIF('RE Amortization'!$E:$E,$A35,'RE Amortization'!$K:$K),
  fed_single,IFERROR(LOOKUP(ti_prev,N(Assumptions!$D$3:$D$9),N(Assumptions!$F$3:$F$9)),INDEX(N(Assumptions!$F$3:$F$9),1)),
  fed_married,IFERROR(LOOKUP(ti_prev,N(Assumptions!$D$13:$D$19),N(Assumptions!$F$13:$F$19)),INDEX(N(Assumptions!$F$13:$F$19),1)),
  fed_rate,IF(age&lt;MarriageAge,fed_single,fed_married),
  ROUND(gross*(1-fed_rate-gaEff),2)
)
</f>
        <v>68250.76</v>
      </c>
      <c r="W35" s="13">
        <f t="shared" si="4"/>
        <v>428508.27</v>
      </c>
      <c r="X35" s="11">
        <f t="array" ref="X35">IF(
  AB35&lt;=0,0,
  IF(
    A35&lt;loanStartAge,0,
    MIN(
      AB35 + ROUND(AB35*loanRate,2),
      IF(A35=loanStartAge,
        cfiPayPct * I35,      
        -PMT(loanRate,loanTerm,INDEX($AB:$AB,MATCH(loanStartAge,$A:$A,0)))
      )
    )
  )
)
</f>
        <v>0</v>
      </c>
      <c r="Y35" s="9"/>
      <c r="Z35" s="9"/>
      <c r="AA35" s="9"/>
      <c r="AB35" s="9"/>
    </row>
    <row r="36" ht="15.75" customHeight="1">
      <c r="A36" s="1">
        <v>52.0</v>
      </c>
      <c r="B36" s="11">
        <f>IFERROR(__xludf.DUMMYFUNCTION("IFERROR(
  INDEX( FILTER('Pilot Pay'!R:R, VALUE('Pilot Pay'!K:K)=VALUE($A36)) , 1 ),
  0
)
"),1033212.85)</f>
        <v>1033212.85</v>
      </c>
      <c r="C36" s="11">
        <f>ROUND(
  MIN($B36*emp401kPct, IF($A36&lt;catchAge, emp401kCap, emp401kCap_catch)),
2)
</f>
        <v>32500</v>
      </c>
      <c r="D36" s="11">
        <f>ROUND(
  MIN(
    MIN($B36*er401kPct, IF($A36&lt;catchAge, er401kCap_base, er401kCap_catch)),
    MAX(
      0,
      MIN($B36,
          IF($A36&gt;=specialCatchStartAge,
             IF($A36&lt;=specialCatchEndAge, total401kCap_60to63, total401kCap_50to59),
             IF($A36&gt;=catchAge, total401kCap_50to59, total401kCap_u50)
          )
      ) - $C36
    )
  ),
2)
</f>
        <v>47500</v>
      </c>
      <c r="E36" s="11">
        <f t="shared" si="7"/>
        <v>1000712.85</v>
      </c>
      <c r="F36" s="11">
        <f>IFERROR(
  IF($A36 &lt; MarriageAge,
     SUMPRODUCT( ($E36&gt;FedLower_Single) * ((IF($E36&gt;FedUpper_Single, FedUpper_Single, $E36))-FedLower_Single) * FedRate_Single ),
     SUMPRODUCT( ($E36&gt;FedLower_Married) * ((IF($E36&gt;FedUpper_Married, FedUpper_Married, $E36))-FedLower_Married) * FedRate_Married )
  ),
0)
</f>
        <v>292506.8745</v>
      </c>
      <c r="G36" s="11">
        <f>ROUND(gaEff*$E36, 2)
</f>
        <v>51937</v>
      </c>
      <c r="H36" s="11">
        <f>IF($B36=0,0,
  ROUND(
    ssRate*MIN($B36, ssBase) +
    medRate*$B36 +
    addlMedRate*MAX(0, $B36 - addlMedThresh),
 2))
</f>
        <v>33863.7</v>
      </c>
      <c r="I36" s="11">
        <f t="shared" si="8"/>
        <v>622405.28</v>
      </c>
      <c r="J36" s="11">
        <f>ROUND(
  MIN(rothIRA, IF($A36&lt;catchAge, rothCap_base, rothCap_catch)),
2)
</f>
        <v>8000</v>
      </c>
      <c r="K36" s="11">
        <f>ROUND(($I36-$J36-$X36)*allocETF, 2) + IFERROR($P36, 0)
</f>
        <v>138241.19</v>
      </c>
      <c r="L36" s="11">
        <f>ROUND( ($I36-$J36-$X36)*allocRE , 2)
</f>
        <v>92160.79</v>
      </c>
      <c r="M36" s="11">
        <f>LET(
  cap_ratio, IFERROR(savings_cap_ratio, 0.75),
  cap_amt,   cap_ratio * $W36,
  start_sav, IFERROR(Balances!$S36, 0),
  base,      ROUND(($I36-$J36-$X36)*allocSav, 2),
  IF(start_sav &gt;= cap_amt, 0, base)
)
</f>
        <v>0</v>
      </c>
      <c r="N36" s="11">
        <f>IF($A36&lt;=capAge,
   MIN(
     ROUND( ($I36-$J36-$X36)*(1-allocETF-allocRE-allocSav), 2),
     capBase * (1 + inflation) ^ ($A36 - startAge)
   ),
   ROUND( ($I36-$J36-$X36)*(1-allocETF-allocRE-allocSav), 2)
)
</f>
        <v>368643.17</v>
      </c>
      <c r="O36" s="11">
        <f>LET(
  cap_ratio, IFERROR(savings_cap_ratio, 0.75),
  cap_amt,   cap_ratio * $W36,
  start_sav, IFERROR(Balances!$S36, 0),
  base,      ROUND(($I36-$J36-$X36)*allocSav, 2),
  IF(start_sav &gt;= cap_amt, base, 0)
)
</f>
        <v>30720.26</v>
      </c>
      <c r="P36" s="11">
        <f>IFERROR($O36 * IFERROR(surplus_to_ETF, 0.4), 0)
</f>
        <v>15360.13</v>
      </c>
      <c r="Q36" s="11">
        <f>IFERROR($O36 * IFERROR(surplus_to_RE, 0.6), 0)
</f>
        <v>15360.13</v>
      </c>
      <c r="R36" s="10">
        <f>IF($A36&lt;=capAge,
   MAX(
     0,
     ROUND(
       ($I36-$J36-$X36)*(1-allocETF-allocRE-allocSav)
       - capBase * (1 + inflation) ^ ($A36 - startAge),
     2)
   ),
   0
)
</f>
        <v>0</v>
      </c>
      <c r="S36" s="11">
        <f>IF(R36&gt;0, R36*lifeExcessToETF, 0)
</f>
        <v>0</v>
      </c>
      <c r="T36" s="11">
        <f>IF(R36&gt;0, R36*lifeExcessToLoan, 0)
</f>
        <v>0</v>
      </c>
      <c r="U36" s="11">
        <f t="shared" si="3"/>
        <v>0</v>
      </c>
      <c r="V36" s="11">
        <f t="array" ref="V36">LET(
  age,$A36,
  ti_prev,N($E35),
  gross,SUMIF('RE Amortization'!$E:$E,$A36,'RE Amortization'!$K:$K),
  fed_single,IFERROR(LOOKUP(ti_prev,N(Assumptions!$D$3:$D$9),N(Assumptions!$F$3:$F$9)),INDEX(N(Assumptions!$F$3:$F$9),1)),
  fed_married,IFERROR(LOOKUP(ti_prev,N(Assumptions!$D$13:$D$19),N(Assumptions!$F$13:$F$19)),INDEX(N(Assumptions!$F$13:$F$19),1)),
  fed_rate,IF(age&lt;MarriageAge,fed_single,fed_married),
  ROUND(gross*(1-fed_rate-gaEff),2)
)
</f>
        <v>75888.46</v>
      </c>
      <c r="W36" s="13">
        <f t="shared" si="4"/>
        <v>444531.63</v>
      </c>
      <c r="X36" s="11">
        <f t="array" ref="X36">IF(
  AB36&lt;=0,0,
  IF(
    A36&lt;loanStartAge,0,
    MIN(
      AB36 + ROUND(AB36*loanRate,2),
      IF(A36=loanStartAge,
        cfiPayPct * I36,      
        -PMT(loanRate,loanTerm,INDEX($AB:$AB,MATCH(loanStartAge,$A:$A,0)))
      )
    )
  )
)
</f>
        <v>0</v>
      </c>
      <c r="Y36" s="9"/>
      <c r="Z36" s="9"/>
      <c r="AA36" s="9"/>
      <c r="AB36" s="9"/>
    </row>
    <row r="37" ht="15.75" customHeight="1">
      <c r="A37" s="1">
        <v>53.0</v>
      </c>
      <c r="B37" s="11">
        <f>IFERROR(__xludf.DUMMYFUNCTION("IFERROR(
  INDEX( FILTER('Pilot Pay'!R:R, VALUE('Pilot Pay'!K:K)=VALUE($A37)) , 1 ),
  0
)
"),1059043.17)</f>
        <v>1059043.17</v>
      </c>
      <c r="C37" s="11">
        <f>ROUND(
  MIN($B37*emp401kPct, IF($A37&lt;catchAge, emp401kCap, emp401kCap_catch)),
2)
</f>
        <v>32500</v>
      </c>
      <c r="D37" s="11">
        <f>ROUND(
  MIN(
    MIN($B37*er401kPct, IF($A37&lt;catchAge, er401kCap_base, er401kCap_catch)),
    MAX(
      0,
      MIN($B37,
          IF($A37&gt;=specialCatchStartAge,
             IF($A37&lt;=specialCatchEndAge, total401kCap_60to63, total401kCap_50to59),
             IF($A37&gt;=catchAge, total401kCap_50to59, total401kCap_u50)
          )
      ) - $C37
    )
  ),
2)
</f>
        <v>47500</v>
      </c>
      <c r="E37" s="11">
        <f t="shared" si="7"/>
        <v>1026543.17</v>
      </c>
      <c r="F37" s="11">
        <f>IFERROR(
  IF($A37 &lt; MarriageAge,
     SUMPRODUCT( ($E37&gt;FedLower_Single) * ((IF($E37&gt;FedUpper_Single, FedUpper_Single, $E37))-FedLower_Single) * FedRate_Single ),
     SUMPRODUCT( ($E37&gt;FedLower_Married) * ((IF($E37&gt;FedUpper_Married, FedUpper_Married, $E37))-FedLower_Married) * FedRate_Married )
  ),
0)
</f>
        <v>302064.0929</v>
      </c>
      <c r="G37" s="11">
        <f>ROUND(gaEff*$E37, 2)
</f>
        <v>53277.59</v>
      </c>
      <c r="H37" s="11">
        <f>IF($B37=0,0,
  ROUND(
    ssRate*MIN($B37, ssBase) +
    medRate*$B37 +
    addlMedRate*MAX(0, $B37 - addlMedThresh),
 2))
</f>
        <v>34470.71</v>
      </c>
      <c r="I37" s="11">
        <f t="shared" si="8"/>
        <v>636730.78</v>
      </c>
      <c r="J37" s="11">
        <f>ROUND(
  MIN(rothIRA, IF($A37&lt;catchAge, rothCap_base, rothCap_catch)),
2)
</f>
        <v>8000</v>
      </c>
      <c r="K37" s="11">
        <f>ROUND(($I37-$J37-$X37)*allocETF, 2) + IFERROR($P37, 0)
</f>
        <v>141464.43</v>
      </c>
      <c r="L37" s="11">
        <f>ROUND( ($I37-$J37-$X37)*allocRE , 2)
</f>
        <v>94309.62</v>
      </c>
      <c r="M37" s="11">
        <f>LET(
  cap_ratio, IFERROR(savings_cap_ratio, 0.75),
  cap_amt,   cap_ratio * $W37,
  start_sav, IFERROR(Balances!$S37, 0),
  base,      ROUND(($I37-$J37-$X37)*allocSav, 2),
  IF(start_sav &gt;= cap_amt, 0, base)
)
</f>
        <v>0</v>
      </c>
      <c r="N37" s="11">
        <f>IF($A37&lt;=capAge,
   MIN(
     ROUND( ($I37-$J37-$X37)*(1-allocETF-allocRE-allocSav), 2),
     capBase * (1 + inflation) ^ ($A37 - startAge)
   ),
   ROUND( ($I37-$J37-$X37)*(1-allocETF-allocRE-allocSav), 2)
)
</f>
        <v>377238.47</v>
      </c>
      <c r="O37" s="11">
        <f>LET(
  cap_ratio, IFERROR(savings_cap_ratio, 0.75),
  cap_amt,   cap_ratio * $W37,
  start_sav, IFERROR(Balances!$S37, 0),
  base,      ROUND(($I37-$J37-$X37)*allocSav, 2),
  IF(start_sav &gt;= cap_amt, base, 0)
)
</f>
        <v>31436.54</v>
      </c>
      <c r="P37" s="11">
        <f>IFERROR($O37 * IFERROR(surplus_to_ETF, 0.4), 0)
</f>
        <v>15718.27</v>
      </c>
      <c r="Q37" s="11">
        <f>IFERROR($O37 * IFERROR(surplus_to_RE, 0.6), 0)
</f>
        <v>15718.27</v>
      </c>
      <c r="R37" s="10">
        <f>IF($A37&lt;=capAge,
   MAX(
     0,
     ROUND(
       ($I37-$J37-$X37)*(1-allocETF-allocRE-allocSav)
       - capBase * (1 + inflation) ^ ($A37 - startAge),
     2)
   ),
   0
)
</f>
        <v>0</v>
      </c>
      <c r="S37" s="11">
        <f>IF(R37&gt;0, R37*lifeExcessToETF, 0)
</f>
        <v>0</v>
      </c>
      <c r="T37" s="11">
        <f>IF(R37&gt;0, R37*lifeExcessToLoan, 0)
</f>
        <v>0</v>
      </c>
      <c r="U37" s="11">
        <f t="shared" si="3"/>
        <v>0</v>
      </c>
      <c r="V37" s="11">
        <f t="array" ref="V37">LET(
  age,$A37,
  ti_prev,N($E36),
  gross,SUMIF('RE Amortization'!$E:$E,$A37,'RE Amortization'!$K:$K),
  fed_single,IFERROR(LOOKUP(ti_prev,N(Assumptions!$D$3:$D$9),N(Assumptions!$F$3:$F$9)),INDEX(N(Assumptions!$F$3:$F$9),1)),
  fed_married,IFERROR(LOOKUP(ti_prev,N(Assumptions!$D$13:$D$19),N(Assumptions!$F$13:$F$19)),INDEX(N(Assumptions!$F$13:$F$19),1)),
  fed_rate,IF(age&lt;MarriageAge,fed_single,fed_married),
  ROUND(gross*(1-fed_rate-gaEff),2)
)
</f>
        <v>75888.46</v>
      </c>
      <c r="W37" s="13">
        <f t="shared" si="4"/>
        <v>453126.93</v>
      </c>
      <c r="X37" s="11">
        <f t="array" ref="X37">IF(
  AB37&lt;=0,0,
  IF(
    A37&lt;loanStartAge,0,
    MIN(
      AB37 + ROUND(AB37*loanRate,2),
      IF(A37=loanStartAge,
        cfiPayPct * I37,      
        -PMT(loanRate,loanTerm,INDEX($AB:$AB,MATCH(loanStartAge,$A:$A,0)))
      )
    )
  )
)
</f>
        <v>0</v>
      </c>
      <c r="Y37" s="9"/>
      <c r="Z37" s="9"/>
      <c r="AA37" s="9"/>
      <c r="AB37" s="9"/>
    </row>
    <row r="38" ht="15.75" customHeight="1">
      <c r="A38" s="1">
        <v>54.0</v>
      </c>
      <c r="B38" s="11">
        <f>IFERROR(__xludf.DUMMYFUNCTION("IFERROR(
  INDEX( FILTER('Pilot Pay'!R:R, VALUE('Pilot Pay'!K:K)=VALUE($A38)) , 1 ),
  0
)
"),1085519.25)</f>
        <v>1085519.25</v>
      </c>
      <c r="C38" s="11">
        <f>ROUND(
  MIN($B38*emp401kPct, IF($A38&lt;catchAge, emp401kCap, emp401kCap_catch)),
2)
</f>
        <v>32500</v>
      </c>
      <c r="D38" s="11">
        <f>ROUND(
  MIN(
    MIN($B38*er401kPct, IF($A38&lt;catchAge, er401kCap_base, er401kCap_catch)),
    MAX(
      0,
      MIN($B38,
          IF($A38&gt;=specialCatchStartAge,
             IF($A38&lt;=specialCatchEndAge, total401kCap_60to63, total401kCap_50to59),
             IF($A38&gt;=catchAge, total401kCap_50to59, total401kCap_u50)
          )
      ) - $C38
    )
  ),
2)
</f>
        <v>47500</v>
      </c>
      <c r="E38" s="11">
        <f t="shared" si="7"/>
        <v>1053019.25</v>
      </c>
      <c r="F38" s="11">
        <f>IFERROR(
  IF($A38 &lt; MarriageAge,
     SUMPRODUCT( ($E38&gt;FedLower_Single) * ((IF($E38&gt;FedUpper_Single, FedUpper_Single, $E38))-FedLower_Single) * FedRate_Single ),
     SUMPRODUCT( ($E38&gt;FedLower_Married) * ((IF($E38&gt;FedUpper_Married, FedUpper_Married, $E38))-FedLower_Married) * FedRate_Married )
  ),
0)
</f>
        <v>311860.2425</v>
      </c>
      <c r="G38" s="11">
        <f>ROUND(gaEff*$E38, 2)
</f>
        <v>54651.7</v>
      </c>
      <c r="H38" s="11">
        <f>IF($B38=0,0,
  ROUND(
    ssRate*MIN($B38, ssBase) +
    medRate*$B38 +
    addlMedRate*MAX(0, $B38 - addlMedThresh),
 2))
</f>
        <v>35092.9</v>
      </c>
      <c r="I38" s="11">
        <f t="shared" si="8"/>
        <v>651414.41</v>
      </c>
      <c r="J38" s="11">
        <f>ROUND(
  MIN(rothIRA, IF($A38&lt;catchAge, rothCap_base, rothCap_catch)),
2)
</f>
        <v>8000</v>
      </c>
      <c r="K38" s="11">
        <f>ROUND(($I38-$J38-$X38)*allocETF, 2) + IFERROR($P38, 0)
</f>
        <v>144768.24</v>
      </c>
      <c r="L38" s="11">
        <f>ROUND( ($I38-$J38-$X38)*allocRE , 2)
</f>
        <v>96512.16</v>
      </c>
      <c r="M38" s="11">
        <f>LET(
  cap_ratio, IFERROR(savings_cap_ratio, 0.75),
  cap_amt,   cap_ratio * $W38,
  start_sav, IFERROR(Balances!$S38, 0),
  base,      ROUND(($I38-$J38-$X38)*allocSav, 2),
  IF(start_sav &gt;= cap_amt, 0, base)
)
</f>
        <v>0</v>
      </c>
      <c r="N38" s="11">
        <f>IF($A38&lt;=capAge,
   MIN(
     ROUND( ($I38-$J38-$X38)*(1-allocETF-allocRE-allocSav), 2),
     capBase * (1 + inflation) ^ ($A38 - startAge)
   ),
   ROUND( ($I38-$J38-$X38)*(1-allocETF-allocRE-allocSav), 2)
)
</f>
        <v>386048.65</v>
      </c>
      <c r="O38" s="11">
        <f>LET(
  cap_ratio, IFERROR(savings_cap_ratio, 0.75),
  cap_amt,   cap_ratio * $W38,
  start_sav, IFERROR(Balances!$S38, 0),
  base,      ROUND(($I38-$J38-$X38)*allocSav, 2),
  IF(start_sav &gt;= cap_amt, base, 0)
)
</f>
        <v>32170.72</v>
      </c>
      <c r="P38" s="11">
        <f>IFERROR($O38 * IFERROR(surplus_to_ETF, 0.4), 0)
</f>
        <v>16085.36</v>
      </c>
      <c r="Q38" s="11">
        <f>IFERROR($O38 * IFERROR(surplus_to_RE, 0.6), 0)
</f>
        <v>16085.36</v>
      </c>
      <c r="R38" s="10">
        <f>IF($A38&lt;=capAge,
   MAX(
     0,
     ROUND(
       ($I38-$J38-$X38)*(1-allocETF-allocRE-allocSav)
       - capBase * (1 + inflation) ^ ($A38 - startAge),
     2)
   ),
   0
)
</f>
        <v>0</v>
      </c>
      <c r="S38" s="11">
        <f>IF(R38&gt;0, R38*lifeExcessToETF, 0)
</f>
        <v>0</v>
      </c>
      <c r="T38" s="11">
        <f>IF(R38&gt;0, R38*lifeExcessToLoan, 0)
</f>
        <v>0</v>
      </c>
      <c r="U38" s="11">
        <f t="shared" si="3"/>
        <v>0</v>
      </c>
      <c r="V38" s="11">
        <f t="array" ref="V38">LET(
  age,$A38,
  ti_prev,N($E37),
  gross,SUMIF('RE Amortization'!$E:$E,$A38,'RE Amortization'!$K:$K),
  fed_single,IFERROR(LOOKUP(ti_prev,N(Assumptions!$D$3:$D$9),N(Assumptions!$F$3:$F$9)),INDEX(N(Assumptions!$F$3:$F$9),1)),
  fed_married,IFERROR(LOOKUP(ti_prev,N(Assumptions!$D$13:$D$19),N(Assumptions!$F$13:$F$19)),INDEX(N(Assumptions!$F$13:$F$19),1)),
  fed_rate,IF(age&lt;MarriageAge,fed_single,fed_married),
  ROUND(gross*(1-fed_rate-gaEff),2)
)
</f>
        <v>83912.82</v>
      </c>
      <c r="W38" s="13">
        <f t="shared" si="4"/>
        <v>469961.47</v>
      </c>
      <c r="X38" s="11">
        <f t="array" ref="X38">IF(
  AB38&lt;=0,0,
  IF(
    A38&lt;loanStartAge,0,
    MIN(
      AB38 + ROUND(AB38*loanRate,2),
      IF(A38=loanStartAge,
        cfiPayPct * I38,      
        -PMT(loanRate,loanTerm,INDEX($AB:$AB,MATCH(loanStartAge,$A:$A,0)))
      )
    )
  )
)
</f>
        <v>0</v>
      </c>
      <c r="Y38" s="9"/>
      <c r="Z38" s="9"/>
      <c r="AA38" s="9"/>
      <c r="AB38" s="9"/>
    </row>
    <row r="39" ht="15.75" customHeight="1">
      <c r="A39" s="1">
        <v>55.0</v>
      </c>
      <c r="B39" s="11">
        <f>IFERROR(__xludf.DUMMYFUNCTION("IFERROR(
  INDEX( FILTER('Pilot Pay'!R:R, VALUE('Pilot Pay'!K:K)=VALUE($A39)) , 1 ),
  0
)
"),1112657.23)</f>
        <v>1112657.23</v>
      </c>
      <c r="C39" s="11">
        <f>ROUND(
  MIN($B39*emp401kPct, IF($A39&lt;catchAge, emp401kCap, emp401kCap_catch)),
2)
</f>
        <v>32500</v>
      </c>
      <c r="D39" s="11">
        <f>ROUND(
  MIN(
    MIN($B39*er401kPct, IF($A39&lt;catchAge, er401kCap_base, er401kCap_catch)),
    MAX(
      0,
      MIN($B39,
          IF($A39&gt;=specialCatchStartAge,
             IF($A39&lt;=specialCatchEndAge, total401kCap_60to63, total401kCap_50to59),
             IF($A39&gt;=catchAge, total401kCap_50to59, total401kCap_u50)
          )
      ) - $C39
    )
  ),
2)
</f>
        <v>47500</v>
      </c>
      <c r="E39" s="11">
        <f t="shared" si="7"/>
        <v>1080157.23</v>
      </c>
      <c r="F39" s="11">
        <f>IFERROR(
  IF($A39 &lt; MarriageAge,
     SUMPRODUCT( ($E39&gt;FedLower_Single) * ((IF($E39&gt;FedUpper_Single, FedUpper_Single, $E39))-FedLower_Single) * FedRate_Single ),
     SUMPRODUCT( ($E39&gt;FedLower_Married) * ((IF($E39&gt;FedUpper_Married, FedUpper_Married, $E39))-FedLower_Married) * FedRate_Married )
  ),
0)
</f>
        <v>321901.2951</v>
      </c>
      <c r="G39" s="11">
        <f>ROUND(gaEff*$E39, 2)
</f>
        <v>56060.16</v>
      </c>
      <c r="H39" s="11">
        <f>IF($B39=0,0,
  ROUND(
    ssRate*MIN($B39, ssBase) +
    medRate*$B39 +
    addlMedRate*MAX(0, $B39 - addlMedThresh),
 2))
</f>
        <v>35730.64</v>
      </c>
      <c r="I39" s="11">
        <f t="shared" si="8"/>
        <v>666465.13</v>
      </c>
      <c r="J39" s="11">
        <f>ROUND(
  MIN(rothIRA, IF($A39&lt;catchAge, rothCap_base, rothCap_catch)),
2)
</f>
        <v>8000</v>
      </c>
      <c r="K39" s="11">
        <f>ROUND(($I39-$J39-$X39)*allocETF, 2) + IFERROR($P39, 0)
</f>
        <v>148154.66</v>
      </c>
      <c r="L39" s="11">
        <f>ROUND( ($I39-$J39-$X39)*allocRE , 2)
</f>
        <v>98769.77</v>
      </c>
      <c r="M39" s="11">
        <f>LET(
  cap_ratio, IFERROR(savings_cap_ratio, 0.75),
  cap_amt,   cap_ratio * $W39,
  start_sav, IFERROR(Balances!$S39, 0),
  base,      ROUND(($I39-$J39-$X39)*allocSav, 2),
  IF(start_sav &gt;= cap_amt, 0, base)
)
</f>
        <v>0</v>
      </c>
      <c r="N39" s="11">
        <f>IF($A39&lt;=capAge,
   MIN(
     ROUND( ($I39-$J39-$X39)*(1-allocETF-allocRE-allocSav), 2),
     capBase * (1 + inflation) ^ ($A39 - startAge)
   ),
   ROUND( ($I39-$J39-$X39)*(1-allocETF-allocRE-allocSav), 2)
)
</f>
        <v>395079.08</v>
      </c>
      <c r="O39" s="11">
        <f>LET(
  cap_ratio, IFERROR(savings_cap_ratio, 0.75),
  cap_amt,   cap_ratio * $W39,
  start_sav, IFERROR(Balances!$S39, 0),
  base,      ROUND(($I39-$J39-$X39)*allocSav, 2),
  IF(start_sav &gt;= cap_amt, base, 0)
)
</f>
        <v>32923.26</v>
      </c>
      <c r="P39" s="11">
        <f>IFERROR($O39 * IFERROR(surplus_to_ETF, 0.4), 0)
</f>
        <v>16461.63</v>
      </c>
      <c r="Q39" s="11">
        <f>IFERROR($O39 * IFERROR(surplus_to_RE, 0.6), 0)
</f>
        <v>16461.63</v>
      </c>
      <c r="R39" s="10">
        <f>IF($A39&lt;=capAge,
   MAX(
     0,
     ROUND(
       ($I39-$J39-$X39)*(1-allocETF-allocRE-allocSav)
       - capBase * (1 + inflation) ^ ($A39 - startAge),
     2)
   ),
   0
)
</f>
        <v>0</v>
      </c>
      <c r="S39" s="11">
        <f>IF(R39&gt;0, R39*lifeExcessToETF, 0)
</f>
        <v>0</v>
      </c>
      <c r="T39" s="11">
        <f>IF(R39&gt;0, R39*lifeExcessToLoan, 0)
</f>
        <v>0</v>
      </c>
      <c r="U39" s="11">
        <f t="shared" si="3"/>
        <v>0</v>
      </c>
      <c r="V39" s="11">
        <f t="array" ref="V39">LET(
  age,$A39,
  ti_prev,N($E38),
  gross,SUMIF('RE Amortization'!$E:$E,$A39,'RE Amortization'!$K:$K),
  fed_single,IFERROR(LOOKUP(ti_prev,N(Assumptions!$D$3:$D$9),N(Assumptions!$F$3:$F$9)),INDEX(N(Assumptions!$F$3:$F$9),1)),
  fed_married,IFERROR(LOOKUP(ti_prev,N(Assumptions!$D$13:$D$19),N(Assumptions!$F$13:$F$19)),INDEX(N(Assumptions!$F$13:$F$19),1)),
  fed_rate,IF(age&lt;MarriageAge,fed_single,fed_married),
  ROUND(gross*(1-fed_rate-gaEff),2)
)
</f>
        <v>83912.82</v>
      </c>
      <c r="W39" s="13">
        <f t="shared" si="4"/>
        <v>478991.9</v>
      </c>
      <c r="X39" s="11">
        <f t="array" ref="X39">IF(
  AB39&lt;=0,0,
  IF(
    A39&lt;loanStartAge,0,
    MIN(
      AB39 + ROUND(AB39*loanRate,2),
      IF(A39=loanStartAge,
        cfiPayPct * I39,      
        -PMT(loanRate,loanTerm,INDEX($AB:$AB,MATCH(loanStartAge,$A:$A,0)))
      )
    )
  )
)
</f>
        <v>0</v>
      </c>
      <c r="Y39" s="9"/>
      <c r="Z39" s="9"/>
      <c r="AA39" s="9"/>
      <c r="AB39" s="9"/>
    </row>
    <row r="40" ht="15.75" customHeight="1">
      <c r="A40" s="1">
        <v>56.0</v>
      </c>
      <c r="B40" s="11">
        <f>IFERROR(__xludf.DUMMYFUNCTION("IFERROR(
  INDEX( FILTER('Pilot Pay'!R:R, VALUE('Pilot Pay'!K:K)=VALUE($A40)) , 1 ),
  0
)
"),1140473.66)</f>
        <v>1140473.66</v>
      </c>
      <c r="C40" s="11">
        <f>ROUND(
  MIN($B40*emp401kPct, IF($A40&lt;catchAge, emp401kCap, emp401kCap_catch)),
2)
</f>
        <v>32500</v>
      </c>
      <c r="D40" s="11">
        <f>ROUND(
  MIN(
    MIN($B40*er401kPct, IF($A40&lt;catchAge, er401kCap_base, er401kCap_catch)),
    MAX(
      0,
      MIN($B40,
          IF($A40&gt;=specialCatchStartAge,
             IF($A40&lt;=specialCatchEndAge, total401kCap_60to63, total401kCap_50to59),
             IF($A40&gt;=catchAge, total401kCap_50to59, total401kCap_u50)
          )
      ) - $C40
    )
  ),
2)
</f>
        <v>47500</v>
      </c>
      <c r="E40" s="11">
        <f t="shared" si="7"/>
        <v>1107973.66</v>
      </c>
      <c r="F40" s="11">
        <f>IFERROR(
  IF($A40 &lt; MarriageAge,
     SUMPRODUCT( ($E40&gt;FedLower_Single) * ((IF($E40&gt;FedUpper_Single, FedUpper_Single, $E40))-FedLower_Single) * FedRate_Single ),
     SUMPRODUCT( ($E40&gt;FedLower_Married) * ((IF($E40&gt;FedUpper_Married, FedUpper_Married, $E40))-FedLower_Married) * FedRate_Married )
  ),
0)
</f>
        <v>332193.3742</v>
      </c>
      <c r="G40" s="11">
        <f>ROUND(gaEff*$E40, 2)
</f>
        <v>57503.83</v>
      </c>
      <c r="H40" s="11">
        <f>IF($B40=0,0,
  ROUND(
    ssRate*MIN($B40, ssBase) +
    medRate*$B40 +
    addlMedRate*MAX(0, $B40 - addlMedThresh),
 2))
</f>
        <v>36384.33</v>
      </c>
      <c r="I40" s="11">
        <f t="shared" si="8"/>
        <v>681892.13</v>
      </c>
      <c r="J40" s="11">
        <f>ROUND(
  MIN(rothIRA, IF($A40&lt;catchAge, rothCap_base, rothCap_catch)),
2)
</f>
        <v>8000</v>
      </c>
      <c r="K40" s="11">
        <f>ROUND(($I40-$J40-$X40)*allocETF, 2) + IFERROR($P40, 0)
</f>
        <v>151625.735</v>
      </c>
      <c r="L40" s="11">
        <f>ROUND( ($I40-$J40-$X40)*allocRE , 2)
</f>
        <v>101083.82</v>
      </c>
      <c r="M40" s="11">
        <f>LET(
  cap_ratio, IFERROR(savings_cap_ratio, 0.75),
  cap_amt,   cap_ratio * $W40,
  start_sav, IFERROR(Balances!$S40, 0),
  base,      ROUND(($I40-$J40-$X40)*allocSav, 2),
  IF(start_sav &gt;= cap_amt, 0, base)
)
</f>
        <v>0</v>
      </c>
      <c r="N40" s="11">
        <f>IF($A40&lt;=capAge,
   MIN(
     ROUND( ($I40-$J40-$X40)*(1-allocETF-allocRE-allocSav), 2),
     capBase * (1 + inflation) ^ ($A40 - startAge)
   ),
   ROUND( ($I40-$J40-$X40)*(1-allocETF-allocRE-allocSav), 2)
)
</f>
        <v>404335.28</v>
      </c>
      <c r="O40" s="11">
        <f>LET(
  cap_ratio, IFERROR(savings_cap_ratio, 0.75),
  cap_amt,   cap_ratio * $W40,
  start_sav, IFERROR(Balances!$S40, 0),
  base,      ROUND(($I40-$J40-$X40)*allocSav, 2),
  IF(start_sav &gt;= cap_amt, base, 0)
)
</f>
        <v>33694.61</v>
      </c>
      <c r="P40" s="11">
        <f>IFERROR($O40 * IFERROR(surplus_to_ETF, 0.4), 0)
</f>
        <v>16847.305</v>
      </c>
      <c r="Q40" s="11">
        <f>IFERROR($O40 * IFERROR(surplus_to_RE, 0.6), 0)
</f>
        <v>16847.305</v>
      </c>
      <c r="R40" s="10">
        <f>IF($A40&lt;=capAge,
   MAX(
     0,
     ROUND(
       ($I40-$J40-$X40)*(1-allocETF-allocRE-allocSav)
       - capBase * (1 + inflation) ^ ($A40 - startAge),
     2)
   ),
   0
)
</f>
        <v>0</v>
      </c>
      <c r="S40" s="11">
        <f>IF(R40&gt;0, R40*lifeExcessToETF, 0)
</f>
        <v>0</v>
      </c>
      <c r="T40" s="11">
        <f>IF(R40&gt;0, R40*lifeExcessToLoan, 0)
</f>
        <v>0</v>
      </c>
      <c r="U40" s="11">
        <f t="shared" si="3"/>
        <v>0</v>
      </c>
      <c r="V40" s="11">
        <f t="array" ref="V40">LET(
  age,$A40,
  ti_prev,N($E39),
  gross,SUMIF('RE Amortization'!$E:$E,$A40,'RE Amortization'!$K:$K),
  fed_single,IFERROR(LOOKUP(ti_prev,N(Assumptions!$D$3:$D$9),N(Assumptions!$F$3:$F$9)),INDEX(N(Assumptions!$F$3:$F$9),1)),
  fed_married,IFERROR(LOOKUP(ti_prev,N(Assumptions!$D$13:$D$19),N(Assumptions!$F$13:$F$19)),INDEX(N(Assumptions!$F$13:$F$19),1)),
  fed_rate,IF(age&lt;MarriageAge,fed_single,fed_married),
  ROUND(gross*(1-fed_rate-gaEff),2)
)
</f>
        <v>92343.42</v>
      </c>
      <c r="W40" s="13">
        <f t="shared" si="4"/>
        <v>496678.7</v>
      </c>
      <c r="X40" s="11">
        <f t="array" ref="X40">IF(
  AB40&lt;=0,0,
  IF(
    A40&lt;loanStartAge,0,
    MIN(
      AB40 + ROUND(AB40*loanRate,2),
      IF(A40=loanStartAge,
        cfiPayPct * I40,      
        -PMT(loanRate,loanTerm,INDEX($AB:$AB,MATCH(loanStartAge,$A:$A,0)))
      )
    )
  )
)
</f>
        <v>0</v>
      </c>
      <c r="Y40" s="9"/>
      <c r="Z40" s="9"/>
      <c r="AA40" s="9"/>
      <c r="AB40" s="9"/>
    </row>
    <row r="41" ht="15.75" customHeight="1">
      <c r="A41" s="1">
        <v>57.0</v>
      </c>
      <c r="B41" s="11">
        <f>IFERROR(__xludf.DUMMYFUNCTION("IFERROR(
  INDEX( FILTER('Pilot Pay'!R:R, VALUE('Pilot Pay'!K:K)=VALUE($A41)) , 1 ),
  0
)
"),1168985.5)</f>
        <v>1168985.5</v>
      </c>
      <c r="C41" s="11">
        <f>ROUND(
  MIN($B41*emp401kPct, IF($A41&lt;catchAge, emp401kCap, emp401kCap_catch)),
2)
</f>
        <v>32500</v>
      </c>
      <c r="D41" s="11">
        <f>ROUND(
  MIN(
    MIN($B41*er401kPct, IF($A41&lt;catchAge, er401kCap_base, er401kCap_catch)),
    MAX(
      0,
      MIN($B41,
          IF($A41&gt;=specialCatchStartAge,
             IF($A41&lt;=specialCatchEndAge, total401kCap_60to63, total401kCap_50to59),
             IF($A41&gt;=catchAge, total401kCap_50to59, total401kCap_u50)
          )
      ) - $C41
    )
  ),
2)
</f>
        <v>47500</v>
      </c>
      <c r="E41" s="11">
        <f t="shared" si="7"/>
        <v>1136485.5</v>
      </c>
      <c r="F41" s="11">
        <f>IFERROR(
  IF($A41 &lt; MarriageAge,
     SUMPRODUCT( ($E41&gt;FedLower_Single) * ((IF($E41&gt;FedUpper_Single, FedUpper_Single, $E41))-FedLower_Single) * FedRate_Single ),
     SUMPRODUCT( ($E41&gt;FedLower_Married) * ((IF($E41&gt;FedUpper_Married, FedUpper_Married, $E41))-FedLower_Married) * FedRate_Married )
  ),
0)
</f>
        <v>342742.755</v>
      </c>
      <c r="G41" s="11">
        <f>ROUND(gaEff*$E41, 2)
</f>
        <v>58983.6</v>
      </c>
      <c r="H41" s="11">
        <f>IF($B41=0,0,
  ROUND(
    ssRate*MIN($B41, ssBase) +
    medRate*$B41 +
    addlMedRate*MAX(0, $B41 - addlMedThresh),
 2))
</f>
        <v>37054.36</v>
      </c>
      <c r="I41" s="11">
        <f t="shared" si="8"/>
        <v>697704.79</v>
      </c>
      <c r="J41" s="11">
        <f>ROUND(
  MIN(rothIRA, IF($A41&lt;catchAge, rothCap_base, rothCap_catch)),
2)
</f>
        <v>8000</v>
      </c>
      <c r="K41" s="11">
        <f>ROUND(($I41-$J41-$X41)*allocETF, 2) + IFERROR($P41, 0)
</f>
        <v>155183.58</v>
      </c>
      <c r="L41" s="11">
        <f>ROUND( ($I41-$J41-$X41)*allocRE , 2)
</f>
        <v>103455.72</v>
      </c>
      <c r="M41" s="11">
        <f>LET(
  cap_ratio, IFERROR(savings_cap_ratio, 0.75),
  cap_amt,   cap_ratio * $W41,
  start_sav, IFERROR(Balances!$S41, 0),
  base,      ROUND(($I41-$J41-$X41)*allocSav, 2),
  IF(start_sav &gt;= cap_amt, 0, base)
)
</f>
        <v>0</v>
      </c>
      <c r="N41" s="11">
        <f>IF($A41&lt;=capAge,
   MIN(
     ROUND( ($I41-$J41-$X41)*(1-allocETF-allocRE-allocSav), 2),
     capBase * (1 + inflation) ^ ($A41 - startAge)
   ),
   ROUND( ($I41-$J41-$X41)*(1-allocETF-allocRE-allocSav), 2)
)
</f>
        <v>413822.87</v>
      </c>
      <c r="O41" s="11">
        <f>LET(
  cap_ratio, IFERROR(savings_cap_ratio, 0.75),
  cap_amt,   cap_ratio * $W41,
  start_sav, IFERROR(Balances!$S41, 0),
  base,      ROUND(($I41-$J41-$X41)*allocSav, 2),
  IF(start_sav &gt;= cap_amt, base, 0)
)
</f>
        <v>34485.24</v>
      </c>
      <c r="P41" s="11">
        <f>IFERROR($O41 * IFERROR(surplus_to_ETF, 0.4), 0)
</f>
        <v>17242.62</v>
      </c>
      <c r="Q41" s="11">
        <f>IFERROR($O41 * IFERROR(surplus_to_RE, 0.6), 0)
</f>
        <v>17242.62</v>
      </c>
      <c r="R41" s="10">
        <f>IF($A41&lt;=capAge,
   MAX(
     0,
     ROUND(
       ($I41-$J41-$X41)*(1-allocETF-allocRE-allocSav)
       - capBase * (1 + inflation) ^ ($A41 - startAge),
     2)
   ),
   0
)
</f>
        <v>0</v>
      </c>
      <c r="S41" s="11">
        <f>IF(R41&gt;0, R41*lifeExcessToETF, 0)
</f>
        <v>0</v>
      </c>
      <c r="T41" s="11">
        <f>IF(R41&gt;0, R41*lifeExcessToLoan, 0)
</f>
        <v>0</v>
      </c>
      <c r="U41" s="11">
        <f t="shared" si="3"/>
        <v>0</v>
      </c>
      <c r="V41" s="11">
        <f t="array" ref="V41">LET(
  age,$A41,
  ti_prev,N($E40),
  gross,SUMIF('RE Amortization'!$E:$E,$A41,'RE Amortization'!$K:$K),
  fed_single,IFERROR(LOOKUP(ti_prev,N(Assumptions!$D$3:$D$9),N(Assumptions!$F$3:$F$9)),INDEX(N(Assumptions!$F$3:$F$9),1)),
  fed_married,IFERROR(LOOKUP(ti_prev,N(Assumptions!$D$13:$D$19),N(Assumptions!$F$13:$F$19)),INDEX(N(Assumptions!$F$13:$F$19),1)),
  fed_rate,IF(age&lt;MarriageAge,fed_single,fed_married),
  ROUND(gross*(1-fed_rate-gaEff),2)
)
</f>
        <v>100984.78</v>
      </c>
      <c r="W41" s="13">
        <f t="shared" si="4"/>
        <v>514807.65</v>
      </c>
      <c r="X41" s="11">
        <f t="array" ref="X41">IF(
  AB41&lt;=0,0,
  IF(
    A41&lt;loanStartAge,0,
    MIN(
      AB41 + ROUND(AB41*loanRate,2),
      IF(A41=loanStartAge,
        cfiPayPct * I41,      
        -PMT(loanRate,loanTerm,INDEX($AB:$AB,MATCH(loanStartAge,$A:$A,0)))
      )
    )
  )
)
</f>
        <v>0</v>
      </c>
      <c r="Y41" s="9"/>
      <c r="Z41" s="9"/>
      <c r="AA41" s="9"/>
      <c r="AB41" s="9"/>
    </row>
    <row r="42" ht="15.75" customHeight="1">
      <c r="A42" s="1">
        <v>58.0</v>
      </c>
      <c r="B42" s="11">
        <f>IFERROR(__xludf.DUMMYFUNCTION("IFERROR(
  INDEX( FILTER('Pilot Pay'!R:R, VALUE('Pilot Pay'!K:K)=VALUE($A42)) , 1 ),
  0
)
"),1198210.14)</f>
        <v>1198210.14</v>
      </c>
      <c r="C42" s="11">
        <f>ROUND(
  MIN($B42*emp401kPct, IF($A42&lt;catchAge, emp401kCap, emp401kCap_catch)),
2)
</f>
        <v>32500</v>
      </c>
      <c r="D42" s="11">
        <f>ROUND(
  MIN(
    MIN($B42*er401kPct, IF($A42&lt;catchAge, er401kCap_base, er401kCap_catch)),
    MAX(
      0,
      MIN($B42,
          IF($A42&gt;=specialCatchStartAge,
             IF($A42&lt;=specialCatchEndAge, total401kCap_60to63, total401kCap_50to59),
             IF($A42&gt;=catchAge, total401kCap_50to59, total401kCap_u50)
          )
      ) - $C42
    )
  ),
2)
</f>
        <v>47500</v>
      </c>
      <c r="E42" s="11">
        <f t="shared" si="7"/>
        <v>1165710.14</v>
      </c>
      <c r="F42" s="11">
        <f>IFERROR(
  IF($A42 &lt; MarriageAge,
     SUMPRODUCT( ($E42&gt;FedLower_Single) * ((IF($E42&gt;FedUpper_Single, FedUpper_Single, $E42))-FedLower_Single) * FedRate_Single ),
     SUMPRODUCT( ($E42&gt;FedLower_Married) * ((IF($E42&gt;FedUpper_Married, FedUpper_Married, $E42))-FedLower_Married) * FedRate_Married )
  ),
0)
</f>
        <v>353555.8718</v>
      </c>
      <c r="G42" s="11">
        <f>ROUND(gaEff*$E42, 2)
</f>
        <v>60500.36</v>
      </c>
      <c r="H42" s="11">
        <f>IF($B42=0,0,
  ROUND(
    ssRate*MIN($B42, ssBase) +
    medRate*$B42 +
    addlMedRate*MAX(0, $B42 - addlMedThresh),
 2))
</f>
        <v>37741.14</v>
      </c>
      <c r="I42" s="11">
        <f t="shared" si="8"/>
        <v>713912.77</v>
      </c>
      <c r="J42" s="11">
        <f>ROUND(
  MIN(rothIRA, IF($A42&lt;catchAge, rothCap_base, rothCap_catch)),
2)
</f>
        <v>8000</v>
      </c>
      <c r="K42" s="11">
        <f>ROUND(($I42-$J42-$X42)*allocETF, 2) + IFERROR($P42, 0)
</f>
        <v>158830.37</v>
      </c>
      <c r="L42" s="11">
        <f>ROUND( ($I42-$J42-$X42)*allocRE , 2)
</f>
        <v>105886.92</v>
      </c>
      <c r="M42" s="11">
        <f>LET(
  cap_ratio, IFERROR(savings_cap_ratio, 0.75),
  cap_amt,   cap_ratio * $W42,
  start_sav, IFERROR(Balances!$S42, 0),
  base,      ROUND(($I42-$J42-$X42)*allocSav, 2),
  IF(start_sav &gt;= cap_amt, 0, base)
)
</f>
        <v>0</v>
      </c>
      <c r="N42" s="11">
        <f>IF($A42&lt;=capAge,
   MIN(
     ROUND( ($I42-$J42-$X42)*(1-allocETF-allocRE-allocSav), 2),
     capBase * (1 + inflation) ^ ($A42 - startAge)
   ),
   ROUND( ($I42-$J42-$X42)*(1-allocETF-allocRE-allocSav), 2)
)
</f>
        <v>423547.66</v>
      </c>
      <c r="O42" s="11">
        <f>LET(
  cap_ratio, IFERROR(savings_cap_ratio, 0.75),
  cap_amt,   cap_ratio * $W42,
  start_sav, IFERROR(Balances!$S42, 0),
  base,      ROUND(($I42-$J42-$X42)*allocSav, 2),
  IF(start_sav &gt;= cap_amt, base, 0)
)
</f>
        <v>35295.64</v>
      </c>
      <c r="P42" s="11">
        <f>IFERROR($O42 * IFERROR(surplus_to_ETF, 0.4), 0)
</f>
        <v>17647.82</v>
      </c>
      <c r="Q42" s="11">
        <f>IFERROR($O42 * IFERROR(surplus_to_RE, 0.6), 0)
</f>
        <v>17647.82</v>
      </c>
      <c r="R42" s="10">
        <f>IF($A42&lt;=capAge,
   MAX(
     0,
     ROUND(
       ($I42-$J42-$X42)*(1-allocETF-allocRE-allocSav)
       - capBase * (1 + inflation) ^ ($A42 - startAge),
     2)
   ),
   0
)
</f>
        <v>0</v>
      </c>
      <c r="S42" s="11">
        <f>IF(R42&gt;0, R42*lifeExcessToETF, 0)
</f>
        <v>0</v>
      </c>
      <c r="T42" s="11">
        <f>IF(R42&gt;0, R42*lifeExcessToLoan, 0)
</f>
        <v>0</v>
      </c>
      <c r="U42" s="11">
        <f t="shared" si="3"/>
        <v>0</v>
      </c>
      <c r="V42" s="11">
        <f t="array" ref="V42">LET(
  age,$A42,
  ti_prev,N($E41),
  gross,SUMIF('RE Amortization'!$E:$E,$A42,'RE Amortization'!$K:$K),
  fed_single,IFERROR(LOOKUP(ti_prev,N(Assumptions!$D$3:$D$9),N(Assumptions!$F$3:$F$9)),INDEX(N(Assumptions!$F$3:$F$9),1)),
  fed_married,IFERROR(LOOKUP(ti_prev,N(Assumptions!$D$13:$D$19),N(Assumptions!$F$13:$F$19)),INDEX(N(Assumptions!$F$13:$F$19),1)),
  fed_rate,IF(age&lt;MarriageAge,fed_single,fed_married),
  ROUND(gross*(1-fed_rate-gaEff),2)
)
</f>
        <v>114700.36</v>
      </c>
      <c r="W42" s="13">
        <f t="shared" si="4"/>
        <v>538248.02</v>
      </c>
      <c r="X42" s="11">
        <f t="array" ref="X42">IF(
  AB42&lt;=0,0,
  IF(
    A42&lt;loanStartAge,0,
    MIN(
      AB42 + ROUND(AB42*loanRate,2),
      IF(A42=loanStartAge,
        cfiPayPct * I42,      
        -PMT(loanRate,loanTerm,INDEX($AB:$AB,MATCH(loanStartAge,$A:$A,0)))
      )
    )
  )
)
</f>
        <v>0</v>
      </c>
      <c r="Y42" s="9"/>
      <c r="Z42" s="9"/>
      <c r="AA42" s="9"/>
      <c r="AB42" s="9"/>
    </row>
    <row r="43" ht="15.75" customHeight="1">
      <c r="A43" s="1">
        <v>59.0</v>
      </c>
      <c r="B43" s="11">
        <f>IFERROR(__xludf.DUMMYFUNCTION("IFERROR(
  INDEX( FILTER('Pilot Pay'!R:R, VALUE('Pilot Pay'!K:K)=VALUE($A43)) , 1 ),
  0
)
"),1228165.39)</f>
        <v>1228165.39</v>
      </c>
      <c r="C43" s="11">
        <f>ROUND(
  MIN($B43*emp401kPct, IF($A43&lt;catchAge, emp401kCap, emp401kCap_catch)),
2)
</f>
        <v>32500</v>
      </c>
      <c r="D43" s="11">
        <f>ROUND(
  MIN(
    MIN($B43*er401kPct, IF($A43&lt;catchAge, er401kCap_base, er401kCap_catch)),
    MAX(
      0,
      MIN($B43,
          IF($A43&gt;=specialCatchStartAge,
             IF($A43&lt;=specialCatchEndAge, total401kCap_60to63, total401kCap_50to59),
             IF($A43&gt;=catchAge, total401kCap_50to59, total401kCap_u50)
          )
      ) - $C43
    )
  ),
2)
</f>
        <v>47500</v>
      </c>
      <c r="E43" s="11">
        <f t="shared" si="7"/>
        <v>1195665.39</v>
      </c>
      <c r="F43" s="11">
        <f>IFERROR(
  IF($A43 &lt; MarriageAge,
     SUMPRODUCT( ($E43&gt;FedLower_Single) * ((IF($E43&gt;FedUpper_Single, FedUpper_Single, $E43))-FedLower_Single) * FedRate_Single ),
     SUMPRODUCT( ($E43&gt;FedLower_Married) * ((IF($E43&gt;FedUpper_Married, FedUpper_Married, $E43))-FedLower_Married) * FedRate_Married )
  ),
0)
</f>
        <v>364639.3143</v>
      </c>
      <c r="G43" s="11">
        <f>ROUND(gaEff*$E43, 2)
</f>
        <v>62055.03</v>
      </c>
      <c r="H43" s="11">
        <f>IF($B43=0,0,
  ROUND(
    ssRate*MIN($B43, ssBase) +
    medRate*$B43 +
    addlMedRate*MAX(0, $B43 - addlMedThresh),
 2))
</f>
        <v>38445.09</v>
      </c>
      <c r="I43" s="11">
        <f t="shared" si="8"/>
        <v>730525.96</v>
      </c>
      <c r="J43" s="11">
        <f>ROUND(
  MIN(rothIRA, IF($A43&lt;catchAge, rothCap_base, rothCap_catch)),
2)
</f>
        <v>8000</v>
      </c>
      <c r="K43" s="11">
        <f>ROUND(($I43-$J43-$X43)*allocETF, 2) + IFERROR($P43, 0)
</f>
        <v>162568.34</v>
      </c>
      <c r="L43" s="11">
        <f>ROUND( ($I43-$J43-$X43)*allocRE , 2)
</f>
        <v>108378.89</v>
      </c>
      <c r="M43" s="11">
        <f>LET(
  cap_ratio, IFERROR(savings_cap_ratio, 0.75),
  cap_amt,   cap_ratio * $W43,
  start_sav, IFERROR(Balances!$S43, 0),
  base,      ROUND(($I43-$J43-$X43)*allocSav, 2),
  IF(start_sav &gt;= cap_amt, 0, base)
)
</f>
        <v>0</v>
      </c>
      <c r="N43" s="11">
        <f>IF($A43&lt;=capAge,
   MIN(
     ROUND( ($I43-$J43-$X43)*(1-allocETF-allocRE-allocSav), 2),
     capBase * (1 + inflation) ^ ($A43 - startAge)
   ),
   ROUND( ($I43-$J43-$X43)*(1-allocETF-allocRE-allocSav), 2)
)
</f>
        <v>433515.58</v>
      </c>
      <c r="O43" s="11">
        <f>LET(
  cap_ratio, IFERROR(savings_cap_ratio, 0.75),
  cap_amt,   cap_ratio * $W43,
  start_sav, IFERROR(Balances!$S43, 0),
  base,      ROUND(($I43-$J43-$X43)*allocSav, 2),
  IF(start_sav &gt;= cap_amt, base, 0)
)
</f>
        <v>36126.3</v>
      </c>
      <c r="P43" s="11">
        <f>IFERROR($O43 * IFERROR(surplus_to_ETF, 0.4), 0)
</f>
        <v>18063.15</v>
      </c>
      <c r="Q43" s="11">
        <f>IFERROR($O43 * IFERROR(surplus_to_RE, 0.6), 0)
</f>
        <v>18063.15</v>
      </c>
      <c r="R43" s="10">
        <f>IF($A43&lt;=capAge,
   MAX(
     0,
     ROUND(
       ($I43-$J43-$X43)*(1-allocETF-allocRE-allocSav)
       - capBase * (1 + inflation) ^ ($A43 - startAge),
     2)
   ),
   0
)
</f>
        <v>0</v>
      </c>
      <c r="S43" s="11">
        <f>IF(R43&gt;0, R43*lifeExcessToETF, 0)
</f>
        <v>0</v>
      </c>
      <c r="T43" s="11">
        <f>IF(R43&gt;0, R43*lifeExcessToLoan, 0)
</f>
        <v>0</v>
      </c>
      <c r="U43" s="11">
        <f t="shared" si="3"/>
        <v>0</v>
      </c>
      <c r="V43" s="11">
        <f t="array" ref="V43">LET(
  age,$A43,
  ti_prev,N($E42),
  gross,SUMIF('RE Amortization'!$E:$E,$A43,'RE Amortization'!$K:$K),
  fed_single,IFERROR(LOOKUP(ti_prev,N(Assumptions!$D$3:$D$9),N(Assumptions!$F$3:$F$9)),INDEX(N(Assumptions!$F$3:$F$9),1)),
  fed_married,IFERROR(LOOKUP(ti_prev,N(Assumptions!$D$13:$D$19),N(Assumptions!$F$13:$F$19)),INDEX(N(Assumptions!$F$13:$F$19),1)),
  fed_rate,IF(age&lt;MarriageAge,fed_single,fed_married),
  ROUND(gross*(1-fed_rate-gaEff),2)
)
</f>
        <v>123779.19</v>
      </c>
      <c r="W43" s="13">
        <f t="shared" si="4"/>
        <v>557294.77</v>
      </c>
      <c r="X43" s="11">
        <f t="array" ref="X43">IF(
  AB43&lt;=0,0,
  IF(
    A43&lt;loanStartAge,0,
    MIN(
      AB43 + ROUND(AB43*loanRate,2),
      IF(A43=loanStartAge,
        cfiPayPct * I43,      
        -PMT(loanRate,loanTerm,INDEX($AB:$AB,MATCH(loanStartAge,$A:$A,0)))
      )
    )
  )
)
</f>
        <v>0</v>
      </c>
      <c r="Y43" s="9"/>
      <c r="Z43" s="9"/>
      <c r="AA43" s="9"/>
      <c r="AB43" s="9"/>
    </row>
    <row r="44" ht="15.75" customHeight="1">
      <c r="A44" s="1">
        <v>60.0</v>
      </c>
      <c r="B44" s="11">
        <f>IFERROR(__xludf.DUMMYFUNCTION("IFERROR(
  INDEX( FILTER('Pilot Pay'!R:R, VALUE('Pilot Pay'!K:K)=VALUE($A44)) , 1 ),
  0
)
"),1258869.53)</f>
        <v>1258869.53</v>
      </c>
      <c r="C44" s="11">
        <f>ROUND(
  MIN($B44*emp401kPct, IF($A44&lt;catchAge, emp401kCap, emp401kCap_catch)),
2)
</f>
        <v>32500</v>
      </c>
      <c r="D44" s="11">
        <f>ROUND(
  MIN(
    MIN($B44*er401kPct, IF($A44&lt;catchAge, er401kCap_base, er401kCap_catch)),
    MAX(
      0,
      MIN($B44,
          IF($A44&gt;=specialCatchStartAge,
             IF($A44&lt;=specialCatchEndAge, total401kCap_60to63, total401kCap_50to59),
             IF($A44&gt;=catchAge, total401kCap_50to59, total401kCap_u50)
          )
      ) - $C44
    )
  ),
2)
</f>
        <v>50000</v>
      </c>
      <c r="E44" s="11">
        <f t="shared" si="7"/>
        <v>1226369.53</v>
      </c>
      <c r="F44" s="11">
        <f>IFERROR(
  IF($A44 &lt; MarriageAge,
     SUMPRODUCT( ($E44&gt;FedLower_Single) * ((IF($E44&gt;FedUpper_Single, FedUpper_Single, $E44))-FedLower_Single) * FedRate_Single ),
     SUMPRODUCT( ($E44&gt;FedLower_Married) * ((IF($E44&gt;FedUpper_Married, FedUpper_Married, $E44))-FedLower_Married) * FedRate_Married )
  ),
0)
</f>
        <v>375999.8461</v>
      </c>
      <c r="G44" s="11">
        <f>ROUND(gaEff*$E44, 2)
</f>
        <v>63648.58</v>
      </c>
      <c r="H44" s="11">
        <f>IF($B44=0,0,
  ROUND(
    ssRate*MIN($B44, ssBase) +
    medRate*$B44 +
    addlMedRate*MAX(0, $B44 - addlMedThresh),
 2))
</f>
        <v>39166.63</v>
      </c>
      <c r="I44" s="11">
        <f t="shared" si="8"/>
        <v>747554.47</v>
      </c>
      <c r="J44" s="11">
        <f>ROUND(
  MIN(rothIRA, IF($A44&lt;catchAge, rothCap_base, rothCap_catch)),
2)
</f>
        <v>8000</v>
      </c>
      <c r="K44" s="11">
        <f>ROUND(($I44-$J44-$X44)*allocETF, 2) + IFERROR($P44, 0)
</f>
        <v>166399.75</v>
      </c>
      <c r="L44" s="11">
        <f>ROUND( ($I44-$J44-$X44)*allocRE , 2)
</f>
        <v>110933.17</v>
      </c>
      <c r="M44" s="11">
        <f>LET(
  cap_ratio, IFERROR(savings_cap_ratio, 0.75),
  cap_amt,   cap_ratio * $W44,
  start_sav, IFERROR(Balances!$S44, 0),
  base,      ROUND(($I44-$J44-$X44)*allocSav, 2),
  IF(start_sav &gt;= cap_amt, 0, base)
)
</f>
        <v>0</v>
      </c>
      <c r="N44" s="11">
        <f>IF($A44&lt;=capAge,
   MIN(
     ROUND( ($I44-$J44-$X44)*(1-allocETF-allocRE-allocSav), 2),
     capBase * (1 + inflation) ^ ($A44 - startAge)
   ),
   ROUND( ($I44-$J44-$X44)*(1-allocETF-allocRE-allocSav), 2)
)
</f>
        <v>443732.68</v>
      </c>
      <c r="O44" s="11">
        <f>LET(
  cap_ratio, IFERROR(savings_cap_ratio, 0.75),
  cap_amt,   cap_ratio * $W44,
  start_sav, IFERROR(Balances!$S44, 0),
  base,      ROUND(($I44-$J44-$X44)*allocSav, 2),
  IF(start_sav &gt;= cap_amt, base, 0)
)
</f>
        <v>36977.72</v>
      </c>
      <c r="P44" s="11">
        <f>IFERROR($O44 * IFERROR(surplus_to_ETF, 0.4), 0)
</f>
        <v>18488.86</v>
      </c>
      <c r="Q44" s="11">
        <f>IFERROR($O44 * IFERROR(surplus_to_RE, 0.6), 0)
</f>
        <v>18488.86</v>
      </c>
      <c r="R44" s="10">
        <f>IF($A44&lt;=capAge,
   MAX(
     0,
     ROUND(
       ($I44-$J44-$X44)*(1-allocETF-allocRE-allocSav)
       - capBase * (1 + inflation) ^ ($A44 - startAge),
     2)
   ),
   0
)
</f>
        <v>0</v>
      </c>
      <c r="S44" s="11">
        <f>IF(R44&gt;0, R44*lifeExcessToETF, 0)
</f>
        <v>0</v>
      </c>
      <c r="T44" s="11">
        <f>IF(R44&gt;0, R44*lifeExcessToLoan, 0)
</f>
        <v>0</v>
      </c>
      <c r="U44" s="11">
        <f t="shared" si="3"/>
        <v>0</v>
      </c>
      <c r="V44" s="11">
        <f t="array" ref="V44">LET(
  age,$A44,
  ti_prev,N($E43),
  gross,SUMIF('RE Amortization'!$E:$E,$A44,'RE Amortization'!$K:$K),
  fed_single,IFERROR(LOOKUP(ti_prev,N(Assumptions!$D$3:$D$9),N(Assumptions!$F$3:$F$9)),INDEX(N(Assumptions!$F$3:$F$9),1)),
  fed_married,IFERROR(LOOKUP(ti_prev,N(Assumptions!$D$13:$D$19),N(Assumptions!$F$13:$F$19)),INDEX(N(Assumptions!$F$13:$F$19),1)),
  fed_rate,IF(age&lt;MarriageAge,fed_single,fed_married),
  ROUND(gross*(1-fed_rate-gaEff),2)
)
</f>
        <v>138189.12</v>
      </c>
      <c r="W44" s="13">
        <f t="shared" si="4"/>
        <v>581921.8</v>
      </c>
      <c r="X44" s="11">
        <f t="array" ref="X44">IF(
  AB44&lt;=0,0,
  IF(
    A44&lt;loanStartAge,0,
    MIN(
      AB44 + ROUND(AB44*loanRate,2),
      IF(A44=loanStartAge,
        cfiPayPct * I44,      
        -PMT(loanRate,loanTerm,INDEX($AB:$AB,MATCH(loanStartAge,$A:$A,0)))
      )
    )
  )
)
</f>
        <v>0</v>
      </c>
      <c r="Y44" s="9"/>
      <c r="Z44" s="9"/>
      <c r="AA44" s="9"/>
      <c r="AB44" s="9"/>
    </row>
    <row r="45" ht="15.75" customHeight="1">
      <c r="A45" s="1">
        <v>61.0</v>
      </c>
      <c r="B45" s="11">
        <f>IFERROR(__xludf.DUMMYFUNCTION("IFERROR(
  INDEX( FILTER('Pilot Pay'!R:R, VALUE('Pilot Pay'!K:K)=VALUE($A45)) , 1 ),
  0
)
"),1290341.27)</f>
        <v>1290341.27</v>
      </c>
      <c r="C45" s="11">
        <f>ROUND(
  MIN($B45*emp401kPct, IF($A45&lt;catchAge, emp401kCap, emp401kCap_catch)),
2)
</f>
        <v>32500</v>
      </c>
      <c r="D45" s="11">
        <f>ROUND(
  MIN(
    MIN($B45*er401kPct, IF($A45&lt;catchAge, er401kCap_base, er401kCap_catch)),
    MAX(
      0,
      MIN($B45,
          IF($A45&gt;=specialCatchStartAge,
             IF($A45&lt;=specialCatchEndAge, total401kCap_60to63, total401kCap_50to59),
             IF($A45&gt;=catchAge, total401kCap_50to59, total401kCap_u50)
          )
      ) - $C45
    )
  ),
2)
</f>
        <v>50000</v>
      </c>
      <c r="E45" s="11">
        <f t="shared" si="7"/>
        <v>1257841.27</v>
      </c>
      <c r="F45" s="11">
        <f>IFERROR(
  IF($A45 &lt; MarriageAge,
     SUMPRODUCT( ($E45&gt;FedLower_Single) * ((IF($E45&gt;FedUpper_Single, FedUpper_Single, $E45))-FedLower_Single) * FedRate_Single ),
     SUMPRODUCT( ($E45&gt;FedLower_Married) * ((IF($E45&gt;FedUpper_Married, FedUpper_Married, $E45))-FedLower_Married) * FedRate_Married )
  ),
0)
</f>
        <v>387644.3899</v>
      </c>
      <c r="G45" s="11">
        <f>ROUND(gaEff*$E45, 2)
</f>
        <v>65281.96</v>
      </c>
      <c r="H45" s="11">
        <f>IF($B45=0,0,
  ROUND(
    ssRate*MIN($B45, ssBase) +
    medRate*$B45 +
    addlMedRate*MAX(0, $B45 - addlMedThresh),
 2))
</f>
        <v>39906.22</v>
      </c>
      <c r="I45" s="11">
        <f t="shared" si="8"/>
        <v>765008.7</v>
      </c>
      <c r="J45" s="11">
        <f>ROUND(
  MIN(rothIRA, IF($A45&lt;catchAge, rothCap_base, rothCap_catch)),
2)
</f>
        <v>8000</v>
      </c>
      <c r="K45" s="11">
        <f>ROUND(($I45-$J45-$X45)*allocETF, 2) + IFERROR($P45, 0)
</f>
        <v>170326.96</v>
      </c>
      <c r="L45" s="11">
        <f>ROUND( ($I45-$J45-$X45)*allocRE , 2)
</f>
        <v>113551.31</v>
      </c>
      <c r="M45" s="11">
        <f>LET(
  cap_ratio, IFERROR(savings_cap_ratio, 0.75),
  cap_amt,   cap_ratio * $W45,
  start_sav, IFERROR(Balances!$S45, 0),
  base,      ROUND(($I45-$J45-$X45)*allocSav, 2),
  IF(start_sav &gt;= cap_amt, 0, base)
)
</f>
        <v>0</v>
      </c>
      <c r="N45" s="11">
        <f>IF($A45&lt;=capAge,
   MIN(
     ROUND( ($I45-$J45-$X45)*(1-allocETF-allocRE-allocSav), 2),
     capBase * (1 + inflation) ^ ($A45 - startAge)
   ),
   ROUND( ($I45-$J45-$X45)*(1-allocETF-allocRE-allocSav), 2)
)
</f>
        <v>454205.22</v>
      </c>
      <c r="O45" s="11">
        <f>LET(
  cap_ratio, IFERROR(savings_cap_ratio, 0.75),
  cap_amt,   cap_ratio * $W45,
  start_sav, IFERROR(Balances!$S45, 0),
  base,      ROUND(($I45-$J45-$X45)*allocSav, 2),
  IF(start_sav &gt;= cap_amt, base, 0)
)
</f>
        <v>37850.44</v>
      </c>
      <c r="P45" s="11">
        <f>IFERROR($O45 * IFERROR(surplus_to_ETF, 0.4), 0)
</f>
        <v>18925.22</v>
      </c>
      <c r="Q45" s="11">
        <f>IFERROR($O45 * IFERROR(surplus_to_RE, 0.6), 0)
</f>
        <v>18925.22</v>
      </c>
      <c r="R45" s="10">
        <f>IF($A45&lt;=capAge,
   MAX(
     0,
     ROUND(
       ($I45-$J45-$X45)*(1-allocETF-allocRE-allocSav)
       - capBase * (1 + inflation) ^ ($A45 - startAge),
     2)
   ),
   0
)
</f>
        <v>0</v>
      </c>
      <c r="S45" s="11">
        <f>IF(R45&gt;0, R45*lifeExcessToETF, 0)
</f>
        <v>0</v>
      </c>
      <c r="T45" s="11">
        <f>IF(R45&gt;0, R45*lifeExcessToLoan, 0)
</f>
        <v>0</v>
      </c>
      <c r="U45" s="11">
        <f t="shared" si="3"/>
        <v>0</v>
      </c>
      <c r="V45" s="11">
        <f t="array" ref="V45">LET(
  age,$A45,
  ti_prev,N($E44),
  gross,SUMIF('RE Amortization'!$E:$E,$A45,'RE Amortization'!$K:$K),
  fed_single,IFERROR(LOOKUP(ti_prev,N(Assumptions!$D$3:$D$9),N(Assumptions!$F$3:$F$9)),INDEX(N(Assumptions!$F$3:$F$9),1)),
  fed_married,IFERROR(LOOKUP(ti_prev,N(Assumptions!$D$13:$D$19),N(Assumptions!$F$13:$F$19)),INDEX(N(Assumptions!$F$13:$F$19),1)),
  fed_rate,IF(age&lt;MarriageAge,fed_single,fed_married),
  ROUND(gross*(1-fed_rate-gaEff),2)
)
</f>
        <v>147727.56</v>
      </c>
      <c r="W45" s="13">
        <f t="shared" si="4"/>
        <v>601932.78</v>
      </c>
      <c r="X45" s="11">
        <f t="array" ref="X45">IF(
  AB45&lt;=0,0,
  IF(
    A45&lt;loanStartAge,0,
    MIN(
      AB45 + ROUND(AB45*loanRate,2),
      IF(A45=loanStartAge,
        cfiPayPct * I45,      
        -PMT(loanRate,loanTerm,INDEX($AB:$AB,MATCH(loanStartAge,$A:$A,0)))
      )
    )
  )
)
</f>
        <v>0</v>
      </c>
      <c r="Y45" s="9"/>
      <c r="Z45" s="9"/>
      <c r="AA45" s="9"/>
      <c r="AB45" s="9"/>
    </row>
    <row r="46" ht="15.75" customHeight="1">
      <c r="A46" s="1">
        <v>62.0</v>
      </c>
      <c r="B46" s="11">
        <f>IFERROR(__xludf.DUMMYFUNCTION("IFERROR(
  INDEX( FILTER('Pilot Pay'!R:R, VALUE('Pilot Pay'!K:K)=VALUE($A46)) , 1 ),
  0
)
"),1322599.8)</f>
        <v>1322599.8</v>
      </c>
      <c r="C46" s="11">
        <f>ROUND(
  MIN($B46*emp401kPct, IF($A46&lt;catchAge, emp401kCap, emp401kCap_catch)),
2)
</f>
        <v>32500</v>
      </c>
      <c r="D46" s="11">
        <f>ROUND(
  MIN(
    MIN($B46*er401kPct, IF($A46&lt;catchAge, er401kCap_base, er401kCap_catch)),
    MAX(
      0,
      MIN($B46,
          IF($A46&gt;=specialCatchStartAge,
             IF($A46&lt;=specialCatchEndAge, total401kCap_60to63, total401kCap_50to59),
             IF($A46&gt;=catchAge, total401kCap_50to59, total401kCap_u50)
          )
      ) - $C46
    )
  ),
2)
</f>
        <v>50000</v>
      </c>
      <c r="E46" s="11">
        <f t="shared" si="7"/>
        <v>1290099.8</v>
      </c>
      <c r="F46" s="11">
        <f>IFERROR(
  IF($A46 &lt; MarriageAge,
     SUMPRODUCT( ($E46&gt;FedLower_Single) * ((IF($E46&gt;FedUpper_Single, FedUpper_Single, $E46))-FedLower_Single) * FedRate_Single ),
     SUMPRODUCT( ($E46&gt;FedLower_Married) * ((IF($E46&gt;FedUpper_Married, FedUpper_Married, $E46))-FedLower_Married) * FedRate_Married )
  ),
0)
</f>
        <v>399580.046</v>
      </c>
      <c r="G46" s="11">
        <f>ROUND(gaEff*$E46, 2)
</f>
        <v>66956.18</v>
      </c>
      <c r="H46" s="11">
        <f>IF($B46=0,0,
  ROUND(
    ssRate*MIN($B46, ssBase) +
    medRate*$B46 +
    addlMedRate*MAX(0, $B46 - addlMedThresh),
 2))
</f>
        <v>40664.3</v>
      </c>
      <c r="I46" s="11">
        <f t="shared" si="8"/>
        <v>782899.27</v>
      </c>
      <c r="J46" s="11">
        <f>ROUND(
  MIN(rothIRA, IF($A46&lt;catchAge, rothCap_base, rothCap_catch)),
2)
</f>
        <v>8000</v>
      </c>
      <c r="K46" s="11">
        <f>ROUND(($I46-$J46-$X46)*allocETF, 2) + IFERROR($P46, 0)
</f>
        <v>174352.33</v>
      </c>
      <c r="L46" s="11">
        <f>ROUND( ($I46-$J46-$X46)*allocRE , 2)
</f>
        <v>116234.89</v>
      </c>
      <c r="M46" s="11">
        <f>LET(
  cap_ratio, IFERROR(savings_cap_ratio, 0.75),
  cap_amt,   cap_ratio * $W46,
  start_sav, IFERROR(Balances!$S46, 0),
  base,      ROUND(($I46-$J46-$X46)*allocSav, 2),
  IF(start_sav &gt;= cap_amt, 0, base)
)
</f>
        <v>0</v>
      </c>
      <c r="N46" s="11">
        <f>IF($A46&lt;=capAge,
   MIN(
     ROUND( ($I46-$J46-$X46)*(1-allocETF-allocRE-allocSav), 2),
     capBase * (1 + inflation) ^ ($A46 - startAge)
   ),
   ROUND( ($I46-$J46-$X46)*(1-allocETF-allocRE-allocSav), 2)
)
</f>
        <v>464939.56</v>
      </c>
      <c r="O46" s="11">
        <f>LET(
  cap_ratio, IFERROR(savings_cap_ratio, 0.75),
  cap_amt,   cap_ratio * $W46,
  start_sav, IFERROR(Balances!$S46, 0),
  base,      ROUND(($I46-$J46-$X46)*allocSav, 2),
  IF(start_sav &gt;= cap_amt, base, 0)
)
</f>
        <v>38744.96</v>
      </c>
      <c r="P46" s="11">
        <f>IFERROR($O46 * IFERROR(surplus_to_ETF, 0.4), 0)
</f>
        <v>19372.48</v>
      </c>
      <c r="Q46" s="11">
        <f>IFERROR($O46 * IFERROR(surplus_to_RE, 0.6), 0)
</f>
        <v>19372.48</v>
      </c>
      <c r="R46" s="10">
        <f>IF($A46&lt;=capAge,
   MAX(
     0,
     ROUND(
       ($I46-$J46-$X46)*(1-allocETF-allocRE-allocSav)
       - capBase * (1 + inflation) ^ ($A46 - startAge),
     2)
   ),
   0
)
</f>
        <v>0</v>
      </c>
      <c r="S46" s="11">
        <f>IF(R46&gt;0, R46*lifeExcessToETF, 0)
</f>
        <v>0</v>
      </c>
      <c r="T46" s="11">
        <f>IF(R46&gt;0, R46*lifeExcessToLoan, 0)
</f>
        <v>0</v>
      </c>
      <c r="U46" s="11">
        <f t="shared" si="3"/>
        <v>0</v>
      </c>
      <c r="V46" s="11">
        <f t="array" ref="V46">LET(
  age,$A46,
  ti_prev,N($E45),
  gross,SUMIF('RE Amortization'!$E:$E,$A46,'RE Amortization'!$K:$K),
  fed_single,IFERROR(LOOKUP(ti_prev,N(Assumptions!$D$3:$D$9),N(Assumptions!$F$3:$F$9)),INDEX(N(Assumptions!$F$3:$F$9),1)),
  fed_married,IFERROR(LOOKUP(ti_prev,N(Assumptions!$D$13:$D$19),N(Assumptions!$F$13:$F$19)),INDEX(N(Assumptions!$F$13:$F$19),1)),
  fed_rate,IF(age&lt;MarriageAge,fed_single,fed_married),
  ROUND(gross*(1-fed_rate-gaEff),2)
)
</f>
        <v>147727.56</v>
      </c>
      <c r="W46" s="13">
        <f t="shared" si="4"/>
        <v>612667.12</v>
      </c>
      <c r="X46" s="11">
        <f t="array" ref="X46">IF(
  AB46&lt;=0,0,
  IF(
    A46&lt;loanStartAge,0,
    MIN(
      AB46 + ROUND(AB46*loanRate,2),
      IF(A46=loanStartAge,
        cfiPayPct * I46,      
        -PMT(loanRate,loanTerm,INDEX($AB:$AB,MATCH(loanStartAge,$A:$A,0)))
      )
    )
  )
)
</f>
        <v>0</v>
      </c>
      <c r="Y46" s="9"/>
      <c r="Z46" s="9"/>
      <c r="AA46" s="9"/>
      <c r="AB46" s="9"/>
    </row>
    <row r="47" ht="15.75" customHeight="1">
      <c r="A47" s="1">
        <v>63.0</v>
      </c>
      <c r="B47" s="11">
        <f>IFERROR(__xludf.DUMMYFUNCTION("IFERROR(
  INDEX( FILTER('Pilot Pay'!R:R, VALUE('Pilot Pay'!K:K)=VALUE($A47)) , 1 ),
  0
)
"),1355664.79)</f>
        <v>1355664.79</v>
      </c>
      <c r="C47" s="11">
        <f>ROUND(
  MIN($B47*emp401kPct, IF($A47&lt;catchAge, emp401kCap, emp401kCap_catch)),
2)
</f>
        <v>32500</v>
      </c>
      <c r="D47" s="11">
        <f>ROUND(
  MIN(
    MIN($B47*er401kPct, IF($A47&lt;catchAge, er401kCap_base, er401kCap_catch)),
    MAX(
      0,
      MIN($B47,
          IF($A47&gt;=specialCatchStartAge,
             IF($A47&lt;=specialCatchEndAge, total401kCap_60to63, total401kCap_50to59),
             IF($A47&gt;=catchAge, total401kCap_50to59, total401kCap_u50)
          )
      ) - $C47
    )
  ),
2)
</f>
        <v>50000</v>
      </c>
      <c r="E47" s="11">
        <f t="shared" si="7"/>
        <v>1323164.79</v>
      </c>
      <c r="F47" s="11">
        <f>IFERROR(
  IF($A47 &lt; MarriageAge,
     SUMPRODUCT( ($E47&gt;FedLower_Single) * ((IF($E47&gt;FedUpper_Single, FedUpper_Single, $E47))-FedLower_Single) * FedRate_Single ),
     SUMPRODUCT( ($E47&gt;FedLower_Married) * ((IF($E47&gt;FedUpper_Married, FedUpper_Married, $E47))-FedLower_Married) * FedRate_Married )
  ),
0)
</f>
        <v>411814.0923</v>
      </c>
      <c r="G47" s="11">
        <f>ROUND(gaEff*$E47, 2)
</f>
        <v>68672.25</v>
      </c>
      <c r="H47" s="11">
        <f>IF($B47=0,0,
  ROUND(
    ssRate*MIN($B47, ssBase) +
    medRate*$B47 +
    addlMedRate*MAX(0, $B47 - addlMedThresh),
 2))
</f>
        <v>41441.32</v>
      </c>
      <c r="I47" s="11">
        <f t="shared" si="8"/>
        <v>801237.13</v>
      </c>
      <c r="J47" s="11">
        <f>ROUND(
  MIN(rothIRA, IF($A47&lt;catchAge, rothCap_base, rothCap_catch)),
2)
</f>
        <v>8000</v>
      </c>
      <c r="K47" s="11">
        <f>ROUND(($I47-$J47-$X47)*allocETF, 2) + IFERROR($P47, 0)
</f>
        <v>158647.43</v>
      </c>
      <c r="L47" s="11">
        <f>ROUND( ($I47-$J47-$X47)*allocRE , 2)
</f>
        <v>118985.57</v>
      </c>
      <c r="M47" s="11">
        <f>LET(
  cap_ratio, IFERROR(savings_cap_ratio, 0.75),
  cap_amt,   cap_ratio * $W47,
  start_sav, IFERROR(Balances!$S47, 0),
  base,      ROUND(($I47-$J47-$X47)*allocSav, 2),
  IF(start_sav &gt;= cap_amt, 0, base)
)
</f>
        <v>39661.86</v>
      </c>
      <c r="N47" s="11">
        <f>IF($A47&lt;=capAge,
   MIN(
     ROUND( ($I47-$J47-$X47)*(1-allocETF-allocRE-allocSav), 2),
     capBase * (1 + inflation) ^ ($A47 - startAge)
   ),
   ROUND( ($I47-$J47-$X47)*(1-allocETF-allocRE-allocSav), 2)
)
</f>
        <v>475942.28</v>
      </c>
      <c r="O47" s="11">
        <f>LET(
  cap_ratio, IFERROR(savings_cap_ratio, 0.75),
  cap_amt,   cap_ratio * $W47,
  start_sav, IFERROR(Balances!$S47, 0),
  base,      ROUND(($I47-$J47-$X47)*allocSav, 2),
  IF(start_sav &gt;= cap_amt, base, 0)
)
</f>
        <v>0</v>
      </c>
      <c r="P47" s="11">
        <f>IFERROR($O47 * IFERROR(surplus_to_ETF, 0.4), 0)
</f>
        <v>0</v>
      </c>
      <c r="Q47" s="11">
        <f>IFERROR($O47 * IFERROR(surplus_to_RE, 0.6), 0)
</f>
        <v>0</v>
      </c>
      <c r="R47" s="10">
        <f>IF($A47&lt;=capAge,
   MAX(
     0,
     ROUND(
       ($I47-$J47-$X47)*(1-allocETF-allocRE-allocSav)
       - capBase * (1 + inflation) ^ ($A47 - startAge),
     2)
   ),
   0
)
</f>
        <v>0</v>
      </c>
      <c r="S47" s="11">
        <f>IF(R47&gt;0, R47*lifeExcessToETF, 0)
</f>
        <v>0</v>
      </c>
      <c r="T47" s="11">
        <f>IF(R47&gt;0, R47*lifeExcessToLoan, 0)
</f>
        <v>0</v>
      </c>
      <c r="U47" s="11">
        <f t="shared" si="3"/>
        <v>0</v>
      </c>
      <c r="V47" s="11">
        <f t="array" ref="V47">LET(
  age,$A47,
  ti_prev,N($E46),
  gross,SUMIF('RE Amortization'!$E:$E,$A47,'RE Amortization'!$K:$K),
  fed_single,IFERROR(LOOKUP(ti_prev,N(Assumptions!$D$3:$D$9),N(Assumptions!$F$3:$F$9)),INDEX(N(Assumptions!$F$3:$F$9),1)),
  fed_married,IFERROR(LOOKUP(ti_prev,N(Assumptions!$D$13:$D$19),N(Assumptions!$F$13:$F$19)),INDEX(N(Assumptions!$F$13:$F$19),1)),
  fed_rate,IF(age&lt;MarriageAge,fed_single,fed_married),
  ROUND(gross*(1-fed_rate-gaEff),2)
)
</f>
        <v>173266.81</v>
      </c>
      <c r="W47" s="13">
        <f t="shared" si="4"/>
        <v>649209.09</v>
      </c>
      <c r="X47" s="11">
        <f t="array" ref="X47">IF(
  AB47&lt;=0,0,
  IF(
    A47&lt;loanStartAge,0,
    MIN(
      AB47 + ROUND(AB47*loanRate,2),
      IF(A47=loanStartAge,
        cfiPayPct * I47,      
        -PMT(loanRate,loanTerm,INDEX($AB:$AB,MATCH(loanStartAge,$A:$A,0)))
      )
    )
  )
)
</f>
        <v>0</v>
      </c>
      <c r="Y47" s="9"/>
      <c r="Z47" s="9"/>
      <c r="AA47" s="9"/>
      <c r="AB47" s="9"/>
    </row>
    <row r="48" ht="15.75" customHeight="1">
      <c r="A48" s="1">
        <v>64.0</v>
      </c>
      <c r="B48" s="11">
        <f>IFERROR(__xludf.DUMMYFUNCTION("IFERROR(
  INDEX( FILTER('Pilot Pay'!R:R, VALUE('Pilot Pay'!K:K)=VALUE($A48)) , 1 ),
  0
)
"),1389556.41)</f>
        <v>1389556.41</v>
      </c>
      <c r="C48" s="11">
        <f>ROUND(
  MIN($B48*emp401kPct, IF($A48&lt;catchAge, emp401kCap, emp401kCap_catch)),
2)
</f>
        <v>32500</v>
      </c>
      <c r="D48" s="11">
        <f>ROUND(
  MIN(
    MIN($B48*er401kPct, IF($A48&lt;catchAge, er401kCap_base, er401kCap_catch)),
    MAX(
      0,
      MIN($B48,
          IF($A48&gt;=specialCatchStartAge,
             IF($A48&lt;=specialCatchEndAge, total401kCap_60to63, total401kCap_50to59),
             IF($A48&gt;=catchAge, total401kCap_50to59, total401kCap_u50)
          )
      ) - $C48
    )
  ),
2)
</f>
        <v>47500</v>
      </c>
      <c r="E48" s="11">
        <f t="shared" si="7"/>
        <v>1357056.41</v>
      </c>
      <c r="F48" s="11">
        <f>IFERROR(
  IF($A48 &lt; MarriageAge,
     SUMPRODUCT( ($E48&gt;FedLower_Single) * ((IF($E48&gt;FedUpper_Single, FedUpper_Single, $E48))-FedLower_Single) * FedRate_Single ),
     SUMPRODUCT( ($E48&gt;FedLower_Married) * ((IF($E48&gt;FedUpper_Married, FedUpper_Married, $E48))-FedLower_Married) * FedRate_Married )
  ),
0)
</f>
        <v>424353.9917</v>
      </c>
      <c r="G48" s="11">
        <f>ROUND(gaEff*$E48, 2)
</f>
        <v>70431.23</v>
      </c>
      <c r="H48" s="11">
        <f>IF($B48=0,0,
  ROUND(
    ssRate*MIN($B48, ssBase) +
    medRate*$B48 +
    addlMedRate*MAX(0, $B48 - addlMedThresh),
 2))
</f>
        <v>42237.78</v>
      </c>
      <c r="I48" s="11">
        <f t="shared" si="8"/>
        <v>820033.41</v>
      </c>
      <c r="J48" s="11">
        <f>ROUND(
  MIN(rothIRA, IF($A48&lt;catchAge, rothCap_base, rothCap_catch)),
2)
</f>
        <v>8000</v>
      </c>
      <c r="K48" s="11">
        <f>ROUND(($I48-$J48-$X48)*allocETF, 2) + IFERROR($P48, 0)
</f>
        <v>182707.515</v>
      </c>
      <c r="L48" s="11">
        <f>ROUND( ($I48-$J48-$X48)*allocRE , 2)
</f>
        <v>121805.01</v>
      </c>
      <c r="M48" s="11">
        <f>LET(
  cap_ratio, IFERROR(savings_cap_ratio, 0.75),
  cap_amt,   cap_ratio * $W48,
  start_sav, IFERROR(Balances!$S48, 0),
  base,      ROUND(($I48-$J48-$X48)*allocSav, 2),
  IF(start_sav &gt;= cap_amt, 0, base)
)
</f>
        <v>0</v>
      </c>
      <c r="N48" s="11">
        <f>IF($A48&lt;=capAge,
   MIN(
     ROUND( ($I48-$J48-$X48)*(1-allocETF-allocRE-allocSav), 2),
     capBase * (1 + inflation) ^ ($A48 - startAge)
   ),
   ROUND( ($I48-$J48-$X48)*(1-allocETF-allocRE-allocSav), 2)
)
</f>
        <v>487220.05</v>
      </c>
      <c r="O48" s="11">
        <f>LET(
  cap_ratio, IFERROR(savings_cap_ratio, 0.75),
  cap_amt,   cap_ratio * $W48,
  start_sav, IFERROR(Balances!$S48, 0),
  base,      ROUND(($I48-$J48-$X48)*allocSav, 2),
  IF(start_sav &gt;= cap_amt, base, 0)
)
</f>
        <v>40601.67</v>
      </c>
      <c r="P48" s="11">
        <f>IFERROR($O48 * IFERROR(surplus_to_ETF, 0.4), 0)
</f>
        <v>20300.835</v>
      </c>
      <c r="Q48" s="11">
        <f>IFERROR($O48 * IFERROR(surplus_to_RE, 0.6), 0)
</f>
        <v>20300.835</v>
      </c>
      <c r="R48" s="10">
        <f>IF($A48&lt;=capAge,
   MAX(
     0,
     ROUND(
       ($I48-$J48-$X48)*(1-allocETF-allocRE-allocSav)
       - capBase * (1 + inflation) ^ ($A48 - startAge),
     2)
   ),
   0
)
</f>
        <v>0</v>
      </c>
      <c r="S48" s="11">
        <f>IF(R48&gt;0, R48*lifeExcessToETF, 0)
</f>
        <v>0</v>
      </c>
      <c r="T48" s="11">
        <f>IF(R48&gt;0, R48*lifeExcessToLoan, 0)
</f>
        <v>0</v>
      </c>
      <c r="U48" s="11">
        <f t="shared" si="3"/>
        <v>0</v>
      </c>
      <c r="V48" s="11">
        <f t="array" ref="V48">LET(
  age,$A48,
  ti_prev,N($E47),
  gross,SUMIF('RE Amortization'!$E:$E,$A48,'RE Amortization'!$K:$K),
  fed_single,IFERROR(LOOKUP(ti_prev,N(Assumptions!$D$3:$D$9),N(Assumptions!$F$3:$F$9)),INDEX(N(Assumptions!$F$3:$F$9),1)),
  fed_married,IFERROR(LOOKUP(ti_prev,N(Assumptions!$D$13:$D$19),N(Assumptions!$F$13:$F$19)),INDEX(N(Assumptions!$F$13:$F$19),1)),
  fed_rate,IF(age&lt;MarriageAge,fed_single,fed_married),
  ROUND(gross*(1-fed_rate-gaEff),2)
)
</f>
        <v>173266.81</v>
      </c>
      <c r="W48" s="13">
        <f t="shared" si="4"/>
        <v>660486.86</v>
      </c>
      <c r="X48" s="11">
        <f t="array" ref="X48">IF(
  AB48&lt;=0,0,
  IF(
    A48&lt;loanStartAge,0,
    MIN(
      AB48 + ROUND(AB48*loanRate,2),
      IF(A48=loanStartAge,
        cfiPayPct * I48,      
        -PMT(loanRate,loanTerm,INDEX($AB:$AB,MATCH(loanStartAge,$A:$A,0)))
      )
    )
  )
)
</f>
        <v>0</v>
      </c>
      <c r="Y48" s="9"/>
      <c r="Z48" s="9"/>
      <c r="AA48" s="9"/>
      <c r="AB48" s="9"/>
    </row>
    <row r="49" ht="15.75" customHeight="1">
      <c r="A49" s="1">
        <v>65.0</v>
      </c>
      <c r="B49" s="11">
        <f>IFERROR(__xludf.DUMMYFUNCTION("IFERROR(
  INDEX( FILTER('Pilot Pay'!R:R, VALUE('Pilot Pay'!K:K)=VALUE($A49)) , 1 ),
  0
)
"),1424295.32)</f>
        <v>1424295.32</v>
      </c>
      <c r="C49" s="11">
        <f>ROUND(
  MIN($B49*emp401kPct, IF($A49&lt;catchAge, emp401kCap, emp401kCap_catch)),
2)
</f>
        <v>32500</v>
      </c>
      <c r="D49" s="11">
        <f>ROUND(
  MIN(
    MIN($B49*er401kPct, IF($A49&lt;catchAge, er401kCap_base, er401kCap_catch)),
    MAX(
      0,
      MIN($B49,
          IF($A49&gt;=specialCatchStartAge,
             IF($A49&lt;=specialCatchEndAge, total401kCap_60to63, total401kCap_50to59),
             IF($A49&gt;=catchAge, total401kCap_50to59, total401kCap_u50)
          )
      ) - $C49
    )
  ),
2)
</f>
        <v>47500</v>
      </c>
      <c r="E49" s="11">
        <f t="shared" si="7"/>
        <v>1391795.32</v>
      </c>
      <c r="F49" s="11">
        <f>IFERROR(
  IF($A49 &lt; MarriageAge,
     SUMPRODUCT( ($E49&gt;FedLower_Single) * ((IF($E49&gt;FedUpper_Single, FedUpper_Single, $E49))-FedLower_Single) * FedRate_Single ),
     SUMPRODUCT( ($E49&gt;FedLower_Married) * ((IF($E49&gt;FedUpper_Married, FedUpper_Married, $E49))-FedLower_Married) * FedRate_Married )
  ),
0)
</f>
        <v>437207.3884</v>
      </c>
      <c r="G49" s="11">
        <f>ROUND(gaEff*$E49, 2)
</f>
        <v>72234.18</v>
      </c>
      <c r="H49" s="11">
        <f>IF($B49=0,0,
  ROUND(
    ssRate*MIN($B49, ssBase) +
    medRate*$B49 +
    addlMedRate*MAX(0, $B49 - addlMedThresh),
 2))
</f>
        <v>43054.14</v>
      </c>
      <c r="I49" s="11">
        <f t="shared" si="8"/>
        <v>839299.61</v>
      </c>
      <c r="J49" s="11">
        <f>ROUND(
  MIN(rothIRA, IF($A49&lt;catchAge, rothCap_base, rothCap_catch)),
2)
</f>
        <v>8000</v>
      </c>
      <c r="K49" s="11">
        <f>ROUND(($I49-$J49-$X49)*allocETF, 2) + IFERROR($P49, 0)
</f>
        <v>187042.41</v>
      </c>
      <c r="L49" s="11">
        <f>ROUND( ($I49-$J49-$X49)*allocRE , 2)
</f>
        <v>124694.94</v>
      </c>
      <c r="M49" s="11">
        <f>LET(
  cap_ratio, IFERROR(savings_cap_ratio, 0.75),
  cap_amt,   cap_ratio * $W49,
  start_sav, IFERROR(Balances!$S49, 0),
  base,      ROUND(($I49-$J49-$X49)*allocSav, 2),
  IF(start_sav &gt;= cap_amt, 0, base)
)
</f>
        <v>0</v>
      </c>
      <c r="N49" s="11">
        <f>IF($A49&lt;=capAge,
   MIN(
     ROUND( ($I49-$J49-$X49)*(1-allocETF-allocRE-allocSav), 2),
     capBase * (1 + inflation) ^ ($A49 - startAge)
   ),
   ROUND( ($I49-$J49-$X49)*(1-allocETF-allocRE-allocSav), 2)
)
</f>
        <v>498779.77</v>
      </c>
      <c r="O49" s="11">
        <f>LET(
  cap_ratio, IFERROR(savings_cap_ratio, 0.75),
  cap_amt,   cap_ratio * $W49,
  start_sav, IFERROR(Balances!$S49, 0),
  base,      ROUND(($I49-$J49-$X49)*allocSav, 2),
  IF(start_sav &gt;= cap_amt, base, 0)
)
</f>
        <v>41564.98</v>
      </c>
      <c r="P49" s="11">
        <f>IFERROR($O49 * IFERROR(surplus_to_ETF, 0.4), 0)
</f>
        <v>20782.49</v>
      </c>
      <c r="Q49" s="11">
        <f>IFERROR($O49 * IFERROR(surplus_to_RE, 0.6), 0)
</f>
        <v>20782.49</v>
      </c>
      <c r="R49" s="10">
        <f>IF($A49&lt;=capAge,
   MAX(
     0,
     ROUND(
       ($I49-$J49-$X49)*(1-allocETF-allocRE-allocSav)
       - capBase * (1 + inflation) ^ ($A49 - startAge),
     2)
   ),
   0
)
</f>
        <v>0</v>
      </c>
      <c r="S49" s="11">
        <f>IF(R49&gt;0, R49*lifeExcessToETF, 0)
</f>
        <v>0</v>
      </c>
      <c r="T49" s="11">
        <f>IF(R49&gt;0, R49*lifeExcessToLoan, 0)
</f>
        <v>0</v>
      </c>
      <c r="U49" s="11">
        <f t="shared" si="3"/>
        <v>0</v>
      </c>
      <c r="V49" s="11">
        <f t="array" ref="V49">LET(
  age,$A49,
  ti_prev,N($E48),
  gross,SUMIF('RE Amortization'!$E:$E,$A49,'RE Amortization'!$K:$K),
  fed_single,IFERROR(LOOKUP(ti_prev,N(Assumptions!$D$3:$D$9),N(Assumptions!$F$3:$F$9)),INDEX(N(Assumptions!$F$3:$F$9),1)),
  fed_married,IFERROR(LOOKUP(ti_prev,N(Assumptions!$D$13:$D$19),N(Assumptions!$F$13:$F$19)),INDEX(N(Assumptions!$F$13:$F$19),1)),
  fed_rate,IF(age&lt;MarriageAge,fed_single,fed_married),
  ROUND(gross*(1-fed_rate-gaEff),2)
)
</f>
        <v>200098.98</v>
      </c>
      <c r="W49" s="13">
        <f t="shared" si="4"/>
        <v>698878.75</v>
      </c>
      <c r="X49" s="11">
        <f t="array" ref="X49">IF(
  AB49&lt;=0,0,
  IF(
    A49&lt;loanStartAge,0,
    MIN(
      AB49 + ROUND(AB49*loanRate,2),
      IF(A49=loanStartAge,
        cfiPayPct * I49,      
        -PMT(loanRate,loanTerm,INDEX($AB:$AB,MATCH(loanStartAge,$A:$A,0)))
      )
    )
  )
)
</f>
        <v>0</v>
      </c>
      <c r="Y49" s="9"/>
      <c r="Z49" s="9"/>
      <c r="AA49" s="9"/>
      <c r="AB49" s="9"/>
    </row>
    <row r="50" ht="15.75" customHeight="1">
      <c r="X50" s="9"/>
      <c r="Y50" s="9"/>
      <c r="Z50" s="9"/>
      <c r="AA50" s="9"/>
      <c r="AB50" s="9"/>
    </row>
    <row r="51" ht="15.75" customHeight="1">
      <c r="X51" s="9"/>
      <c r="Y51" s="9"/>
      <c r="Z51" s="9"/>
      <c r="AA51" s="9"/>
      <c r="AB51" s="9"/>
    </row>
    <row r="52" ht="15.75" customHeight="1">
      <c r="X52" s="9"/>
      <c r="Y52" s="9"/>
      <c r="Z52" s="9"/>
      <c r="AA52" s="9"/>
      <c r="AB52" s="9"/>
    </row>
    <row r="53" ht="15.75" customHeight="1">
      <c r="X53" s="9"/>
      <c r="Y53" s="9"/>
      <c r="Z53" s="9"/>
      <c r="AA53" s="9"/>
      <c r="AB53" s="9"/>
    </row>
    <row r="54" ht="15.75" customHeight="1">
      <c r="X54" s="9"/>
      <c r="Y54" s="9"/>
      <c r="Z54" s="9"/>
      <c r="AA54" s="9"/>
      <c r="AB54" s="9"/>
    </row>
    <row r="55" ht="15.75" customHeight="1">
      <c r="X55" s="9"/>
      <c r="Y55" s="9"/>
      <c r="Z55" s="9"/>
      <c r="AA55" s="9"/>
      <c r="AB55" s="9"/>
    </row>
    <row r="56" ht="15.75" customHeight="1">
      <c r="X56" s="9"/>
      <c r="Y56" s="9"/>
      <c r="Z56" s="9"/>
      <c r="AA56" s="9"/>
      <c r="AB56" s="9"/>
    </row>
    <row r="57" ht="15.75" customHeight="1">
      <c r="X57" s="9"/>
      <c r="Y57" s="9"/>
      <c r="Z57" s="9"/>
      <c r="AA57" s="9"/>
      <c r="AB57" s="9"/>
    </row>
    <row r="58" ht="15.75" customHeight="1">
      <c r="X58" s="9"/>
      <c r="Y58" s="9"/>
      <c r="Z58" s="9"/>
      <c r="AA58" s="9"/>
      <c r="AB58" s="9"/>
    </row>
    <row r="59" ht="15.75" customHeight="1">
      <c r="X59" s="9"/>
      <c r="Y59" s="9"/>
      <c r="Z59" s="9"/>
      <c r="AA59" s="9"/>
      <c r="AB59" s="9"/>
    </row>
    <row r="60" ht="15.75" customHeight="1">
      <c r="X60" s="9"/>
      <c r="Y60" s="9"/>
      <c r="Z60" s="9"/>
      <c r="AA60" s="9"/>
      <c r="AB60" s="9"/>
    </row>
    <row r="61" ht="15.75" customHeight="1">
      <c r="X61" s="9"/>
      <c r="Y61" s="9"/>
      <c r="Z61" s="9"/>
      <c r="AA61" s="9"/>
      <c r="AB61" s="9"/>
    </row>
    <row r="62" ht="15.75" customHeight="1">
      <c r="X62" s="9"/>
      <c r="Y62" s="9"/>
      <c r="Z62" s="9"/>
      <c r="AA62" s="9"/>
      <c r="AB62" s="9"/>
    </row>
    <row r="63" ht="15.75" customHeight="1">
      <c r="X63" s="9"/>
      <c r="Y63" s="9"/>
      <c r="Z63" s="9"/>
      <c r="AA63" s="9"/>
      <c r="AB63" s="9"/>
    </row>
    <row r="64" ht="15.75" customHeight="1">
      <c r="X64" s="9"/>
      <c r="Y64" s="9"/>
      <c r="Z64" s="9"/>
      <c r="AA64" s="9"/>
      <c r="AB64" s="9"/>
    </row>
    <row r="65" ht="15.75" customHeight="1">
      <c r="X65" s="9"/>
      <c r="Y65" s="9"/>
      <c r="Z65" s="9"/>
      <c r="AA65" s="9"/>
      <c r="AB65" s="9"/>
    </row>
    <row r="66" ht="15.75" customHeight="1">
      <c r="X66" s="9"/>
      <c r="Y66" s="9"/>
      <c r="Z66" s="9"/>
      <c r="AA66" s="9"/>
      <c r="AB66" s="9"/>
    </row>
    <row r="67" ht="15.75" customHeight="1">
      <c r="X67" s="9"/>
      <c r="Y67" s="9"/>
      <c r="Z67" s="9"/>
      <c r="AA67" s="9"/>
      <c r="AB67" s="9"/>
    </row>
    <row r="68" ht="15.75" customHeight="1">
      <c r="X68" s="9"/>
      <c r="Y68" s="9"/>
      <c r="Z68" s="9"/>
      <c r="AA68" s="9"/>
      <c r="AB68" s="9"/>
    </row>
    <row r="69" ht="15.75" customHeight="1">
      <c r="X69" s="9"/>
      <c r="Y69" s="9"/>
      <c r="Z69" s="9"/>
      <c r="AA69" s="9"/>
      <c r="AB69" s="9"/>
    </row>
    <row r="70" ht="15.75" customHeight="1">
      <c r="X70" s="9"/>
      <c r="Y70" s="9"/>
      <c r="Z70" s="9"/>
      <c r="AA70" s="9"/>
      <c r="AB70" s="9"/>
    </row>
    <row r="71" ht="15.75" customHeight="1">
      <c r="X71" s="9"/>
      <c r="Y71" s="9"/>
      <c r="Z71" s="9"/>
      <c r="AA71" s="9"/>
      <c r="AB71" s="9"/>
    </row>
    <row r="72" ht="15.75" customHeight="1">
      <c r="X72" s="9"/>
      <c r="Y72" s="9"/>
      <c r="Z72" s="9"/>
      <c r="AA72" s="9"/>
      <c r="AB72" s="9"/>
    </row>
    <row r="73" ht="15.75" customHeight="1">
      <c r="X73" s="9"/>
      <c r="Y73" s="9"/>
      <c r="Z73" s="9"/>
      <c r="AA73" s="9"/>
      <c r="AB73" s="9"/>
    </row>
    <row r="74" ht="15.75" customHeight="1">
      <c r="X74" s="9"/>
      <c r="Y74" s="9"/>
      <c r="Z74" s="9"/>
      <c r="AA74" s="9"/>
      <c r="AB74" s="9"/>
    </row>
    <row r="75" ht="15.75" customHeight="1">
      <c r="X75" s="9"/>
      <c r="Y75" s="9"/>
      <c r="Z75" s="9"/>
      <c r="AA75" s="9"/>
      <c r="AB75" s="9"/>
    </row>
    <row r="76" ht="15.75" customHeight="1">
      <c r="X76" s="9"/>
      <c r="Y76" s="9"/>
      <c r="Z76" s="9"/>
      <c r="AA76" s="9"/>
      <c r="AB76" s="9"/>
    </row>
    <row r="77" ht="15.75" customHeight="1">
      <c r="X77" s="9"/>
      <c r="Y77" s="9"/>
      <c r="Z77" s="9"/>
      <c r="AA77" s="9"/>
      <c r="AB77" s="9"/>
    </row>
    <row r="78" ht="15.75" customHeight="1">
      <c r="X78" s="9"/>
      <c r="Y78" s="9"/>
      <c r="Z78" s="9"/>
      <c r="AA78" s="9"/>
      <c r="AB78" s="9"/>
    </row>
    <row r="79" ht="15.75" customHeight="1">
      <c r="X79" s="9"/>
      <c r="Y79" s="9"/>
      <c r="Z79" s="9"/>
      <c r="AA79" s="9"/>
      <c r="AB79" s="9"/>
    </row>
    <row r="80" ht="15.75" customHeight="1">
      <c r="X80" s="9"/>
      <c r="Y80" s="9"/>
      <c r="Z80" s="9"/>
      <c r="AA80" s="9"/>
      <c r="AB80" s="9"/>
    </row>
    <row r="81" ht="15.75" customHeight="1">
      <c r="X81" s="9"/>
      <c r="Y81" s="9"/>
      <c r="Z81" s="9"/>
      <c r="AA81" s="9"/>
      <c r="AB81" s="9"/>
    </row>
    <row r="82" ht="15.75" customHeight="1">
      <c r="X82" s="9"/>
      <c r="Y82" s="9"/>
      <c r="Z82" s="9"/>
      <c r="AA82" s="9"/>
      <c r="AB82" s="9"/>
    </row>
    <row r="83" ht="15.75" customHeight="1">
      <c r="X83" s="9"/>
      <c r="Y83" s="9"/>
      <c r="Z83" s="9"/>
      <c r="AA83" s="9"/>
      <c r="AB83" s="9"/>
    </row>
    <row r="84" ht="15.75" customHeight="1">
      <c r="X84" s="9"/>
      <c r="Y84" s="9"/>
      <c r="Z84" s="9"/>
      <c r="AA84" s="9"/>
      <c r="AB84" s="9"/>
    </row>
    <row r="85" ht="15.75" customHeight="1">
      <c r="X85" s="9"/>
      <c r="Y85" s="9"/>
      <c r="Z85" s="9"/>
      <c r="AA85" s="9"/>
      <c r="AB85" s="9"/>
    </row>
    <row r="86" ht="15.75" customHeight="1">
      <c r="X86" s="9"/>
      <c r="Y86" s="9"/>
      <c r="Z86" s="9"/>
      <c r="AA86" s="9"/>
      <c r="AB86" s="9"/>
    </row>
    <row r="87" ht="15.75" customHeight="1">
      <c r="X87" s="9"/>
      <c r="Y87" s="9"/>
      <c r="Z87" s="9"/>
      <c r="AA87" s="9"/>
      <c r="AB87" s="9"/>
    </row>
    <row r="88" ht="15.75" customHeight="1">
      <c r="X88" s="9"/>
      <c r="Y88" s="9"/>
      <c r="Z88" s="9"/>
      <c r="AA88" s="9"/>
      <c r="AB88" s="9"/>
    </row>
    <row r="89" ht="15.75" customHeight="1">
      <c r="X89" s="9"/>
      <c r="Y89" s="9"/>
      <c r="Z89" s="9"/>
      <c r="AA89" s="9"/>
      <c r="AB89" s="9"/>
    </row>
    <row r="90" ht="15.75" customHeight="1">
      <c r="X90" s="9"/>
      <c r="Y90" s="9"/>
      <c r="Z90" s="9"/>
      <c r="AA90" s="9"/>
      <c r="AB90" s="9"/>
    </row>
    <row r="91" ht="15.75" customHeight="1">
      <c r="X91" s="9"/>
      <c r="Y91" s="9"/>
      <c r="Z91" s="9"/>
      <c r="AA91" s="9"/>
      <c r="AB91" s="9"/>
    </row>
    <row r="92" ht="15.75" customHeight="1">
      <c r="X92" s="9"/>
      <c r="Y92" s="9"/>
      <c r="Z92" s="9"/>
      <c r="AA92" s="9"/>
      <c r="AB92" s="9"/>
    </row>
    <row r="93" ht="15.75" customHeight="1">
      <c r="X93" s="9"/>
      <c r="Y93" s="9"/>
      <c r="Z93" s="9"/>
      <c r="AA93" s="9"/>
      <c r="AB93" s="9"/>
    </row>
    <row r="94" ht="15.75" customHeight="1">
      <c r="X94" s="9"/>
      <c r="Y94" s="9"/>
      <c r="Z94" s="9"/>
      <c r="AA94" s="9"/>
      <c r="AB94" s="9"/>
    </row>
    <row r="95" ht="15.75" customHeight="1">
      <c r="X95" s="9"/>
      <c r="Y95" s="9"/>
      <c r="Z95" s="9"/>
      <c r="AA95" s="9"/>
      <c r="AB95" s="9"/>
    </row>
    <row r="96" ht="15.75" customHeight="1">
      <c r="X96" s="9"/>
      <c r="Y96" s="9"/>
      <c r="Z96" s="9"/>
      <c r="AA96" s="9"/>
      <c r="AB96" s="9"/>
    </row>
    <row r="97" ht="15.75" customHeight="1">
      <c r="X97" s="9"/>
      <c r="Y97" s="9"/>
      <c r="Z97" s="9"/>
      <c r="AA97" s="9"/>
      <c r="AB97" s="9"/>
    </row>
    <row r="98" ht="15.75" customHeight="1">
      <c r="X98" s="9"/>
      <c r="Y98" s="9"/>
      <c r="Z98" s="9"/>
      <c r="AA98" s="9"/>
      <c r="AB98" s="9"/>
    </row>
    <row r="99" ht="15.75" customHeight="1">
      <c r="X99" s="9"/>
      <c r="Y99" s="9"/>
      <c r="Z99" s="9"/>
      <c r="AA99" s="9"/>
      <c r="AB99" s="9"/>
    </row>
    <row r="100" ht="15.75" customHeight="1">
      <c r="X100" s="9"/>
      <c r="Y100" s="9"/>
      <c r="Z100" s="9"/>
      <c r="AA100" s="9"/>
      <c r="AB100" s="9"/>
    </row>
    <row r="101" ht="15.75" customHeight="1">
      <c r="X101" s="9"/>
      <c r="Y101" s="9"/>
      <c r="Z101" s="9"/>
      <c r="AA101" s="9"/>
      <c r="AB101" s="9"/>
    </row>
    <row r="102" ht="15.75" customHeight="1">
      <c r="X102" s="9"/>
      <c r="Y102" s="9"/>
      <c r="Z102" s="9"/>
      <c r="AA102" s="9"/>
      <c r="AB102" s="9"/>
    </row>
    <row r="103" ht="15.75" customHeight="1">
      <c r="X103" s="9"/>
      <c r="Y103" s="9"/>
      <c r="Z103" s="9"/>
      <c r="AA103" s="9"/>
      <c r="AB103" s="9"/>
    </row>
    <row r="104" ht="15.75" customHeight="1">
      <c r="X104" s="9"/>
      <c r="Y104" s="9"/>
      <c r="Z104" s="9"/>
      <c r="AA104" s="9"/>
      <c r="AB104" s="9"/>
    </row>
    <row r="105" ht="15.75" customHeight="1">
      <c r="X105" s="9"/>
      <c r="Y105" s="9"/>
      <c r="Z105" s="9"/>
      <c r="AA105" s="9"/>
      <c r="AB105" s="9"/>
    </row>
    <row r="106" ht="15.75" customHeight="1">
      <c r="X106" s="9"/>
      <c r="Y106" s="9"/>
      <c r="Z106" s="9"/>
      <c r="AA106" s="9"/>
      <c r="AB106" s="9"/>
    </row>
    <row r="107" ht="15.75" customHeight="1">
      <c r="X107" s="9"/>
      <c r="Y107" s="9"/>
      <c r="Z107" s="9"/>
      <c r="AA107" s="9"/>
      <c r="AB107" s="9"/>
    </row>
    <row r="108" ht="15.75" customHeight="1">
      <c r="X108" s="9"/>
      <c r="Y108" s="9"/>
      <c r="Z108" s="9"/>
      <c r="AA108" s="9"/>
      <c r="AB108" s="9"/>
    </row>
    <row r="109" ht="15.75" customHeight="1">
      <c r="X109" s="9"/>
      <c r="Y109" s="9"/>
      <c r="Z109" s="9"/>
      <c r="AA109" s="9"/>
      <c r="AB109" s="9"/>
    </row>
    <row r="110" ht="15.75" customHeight="1">
      <c r="X110" s="9"/>
      <c r="Y110" s="9"/>
      <c r="Z110" s="9"/>
      <c r="AA110" s="9"/>
      <c r="AB110" s="9"/>
    </row>
    <row r="111" ht="15.75" customHeight="1">
      <c r="X111" s="9"/>
      <c r="Y111" s="9"/>
      <c r="Z111" s="9"/>
      <c r="AA111" s="9"/>
      <c r="AB111" s="9"/>
    </row>
    <row r="112" ht="15.75" customHeight="1">
      <c r="X112" s="9"/>
      <c r="Y112" s="9"/>
      <c r="Z112" s="9"/>
      <c r="AA112" s="9"/>
      <c r="AB112" s="9"/>
    </row>
    <row r="113" ht="15.75" customHeight="1">
      <c r="X113" s="9"/>
      <c r="Y113" s="9"/>
      <c r="Z113" s="9"/>
      <c r="AA113" s="9"/>
      <c r="AB113" s="9"/>
    </row>
    <row r="114" ht="15.75" customHeight="1">
      <c r="X114" s="9"/>
      <c r="Y114" s="9"/>
      <c r="Z114" s="9"/>
      <c r="AA114" s="9"/>
      <c r="AB114" s="9"/>
    </row>
    <row r="115" ht="15.75" customHeight="1">
      <c r="X115" s="9"/>
      <c r="Y115" s="9"/>
      <c r="Z115" s="9"/>
      <c r="AA115" s="9"/>
      <c r="AB115" s="9"/>
    </row>
    <row r="116" ht="15.75" customHeight="1">
      <c r="X116" s="9"/>
      <c r="Y116" s="9"/>
      <c r="Z116" s="9"/>
      <c r="AA116" s="9"/>
      <c r="AB116" s="9"/>
    </row>
    <row r="117" ht="15.75" customHeight="1">
      <c r="X117" s="9"/>
      <c r="Y117" s="9"/>
      <c r="Z117" s="9"/>
      <c r="AA117" s="9"/>
      <c r="AB117" s="9"/>
    </row>
    <row r="118" ht="15.75" customHeight="1">
      <c r="X118" s="9"/>
      <c r="Y118" s="9"/>
      <c r="Z118" s="9"/>
      <c r="AA118" s="9"/>
      <c r="AB118" s="9"/>
    </row>
    <row r="119" ht="15.75" customHeight="1">
      <c r="X119" s="9"/>
      <c r="Y119" s="9"/>
      <c r="Z119" s="9"/>
      <c r="AA119" s="9"/>
      <c r="AB119" s="9"/>
    </row>
    <row r="120" ht="15.75" customHeight="1">
      <c r="X120" s="9"/>
      <c r="Y120" s="9"/>
      <c r="Z120" s="9"/>
      <c r="AA120" s="9"/>
      <c r="AB120" s="9"/>
    </row>
    <row r="121" ht="15.75" customHeight="1">
      <c r="X121" s="9"/>
      <c r="Y121" s="9"/>
      <c r="Z121" s="9"/>
      <c r="AA121" s="9"/>
      <c r="AB121" s="9"/>
    </row>
    <row r="122" ht="15.75" customHeight="1">
      <c r="X122" s="9"/>
      <c r="Y122" s="9"/>
      <c r="Z122" s="9"/>
      <c r="AA122" s="9"/>
      <c r="AB122" s="9"/>
    </row>
    <row r="123" ht="15.75" customHeight="1">
      <c r="X123" s="9"/>
      <c r="Y123" s="9"/>
      <c r="Z123" s="9"/>
      <c r="AA123" s="9"/>
      <c r="AB123" s="9"/>
    </row>
    <row r="124" ht="15.75" customHeight="1">
      <c r="X124" s="9"/>
      <c r="Y124" s="9"/>
      <c r="Z124" s="9"/>
      <c r="AA124" s="9"/>
      <c r="AB124" s="9"/>
    </row>
    <row r="125" ht="15.75" customHeight="1">
      <c r="X125" s="9"/>
      <c r="Y125" s="9"/>
      <c r="Z125" s="9"/>
      <c r="AA125" s="9"/>
      <c r="AB125" s="9"/>
    </row>
    <row r="126" ht="15.75" customHeight="1">
      <c r="X126" s="9"/>
      <c r="Y126" s="9"/>
      <c r="Z126" s="9"/>
      <c r="AA126" s="9"/>
      <c r="AB126" s="9"/>
    </row>
    <row r="127" ht="15.75" customHeight="1">
      <c r="X127" s="9"/>
      <c r="Y127" s="9"/>
      <c r="Z127" s="9"/>
      <c r="AA127" s="9"/>
      <c r="AB127" s="9"/>
    </row>
    <row r="128" ht="15.75" customHeight="1">
      <c r="X128" s="9"/>
      <c r="Y128" s="9"/>
      <c r="Z128" s="9"/>
      <c r="AA128" s="9"/>
      <c r="AB128" s="9"/>
    </row>
    <row r="129" ht="15.75" customHeight="1">
      <c r="X129" s="9"/>
      <c r="Y129" s="9"/>
      <c r="Z129" s="9"/>
      <c r="AA129" s="9"/>
      <c r="AB129" s="9"/>
    </row>
    <row r="130" ht="15.75" customHeight="1">
      <c r="X130" s="9"/>
      <c r="Y130" s="9"/>
      <c r="Z130" s="9"/>
      <c r="AA130" s="9"/>
      <c r="AB130" s="9"/>
    </row>
    <row r="131" ht="15.75" customHeight="1">
      <c r="X131" s="9"/>
      <c r="Y131" s="9"/>
      <c r="Z131" s="9"/>
      <c r="AA131" s="9"/>
      <c r="AB131" s="9"/>
    </row>
    <row r="132" ht="15.75" customHeight="1">
      <c r="X132" s="9"/>
      <c r="Y132" s="9"/>
      <c r="Z132" s="9"/>
      <c r="AA132" s="9"/>
      <c r="AB132" s="9"/>
    </row>
    <row r="133" ht="15.75" customHeight="1">
      <c r="X133" s="9"/>
      <c r="Y133" s="9"/>
      <c r="Z133" s="9"/>
      <c r="AA133" s="9"/>
      <c r="AB133" s="9"/>
    </row>
    <row r="134" ht="15.75" customHeight="1">
      <c r="X134" s="9"/>
      <c r="Y134" s="9"/>
      <c r="Z134" s="9"/>
      <c r="AA134" s="9"/>
      <c r="AB134" s="9"/>
    </row>
    <row r="135" ht="15.75" customHeight="1">
      <c r="X135" s="9"/>
      <c r="Y135" s="9"/>
      <c r="Z135" s="9"/>
      <c r="AA135" s="9"/>
      <c r="AB135" s="9"/>
    </row>
    <row r="136" ht="15.75" customHeight="1">
      <c r="X136" s="9"/>
      <c r="Y136" s="9"/>
      <c r="Z136" s="9"/>
      <c r="AA136" s="9"/>
      <c r="AB136" s="9"/>
    </row>
    <row r="137" ht="15.75" customHeight="1">
      <c r="X137" s="9"/>
      <c r="Y137" s="9"/>
      <c r="Z137" s="9"/>
      <c r="AA137" s="9"/>
      <c r="AB137" s="9"/>
    </row>
    <row r="138" ht="15.75" customHeight="1">
      <c r="X138" s="9"/>
      <c r="Y138" s="9"/>
      <c r="Z138" s="9"/>
      <c r="AA138" s="9"/>
      <c r="AB138" s="9"/>
    </row>
    <row r="139" ht="15.75" customHeight="1">
      <c r="X139" s="9"/>
      <c r="Y139" s="9"/>
      <c r="Z139" s="9"/>
      <c r="AA139" s="9"/>
      <c r="AB139" s="9"/>
    </row>
    <row r="140" ht="15.75" customHeight="1">
      <c r="X140" s="9"/>
      <c r="Y140" s="9"/>
      <c r="Z140" s="9"/>
      <c r="AA140" s="9"/>
      <c r="AB140" s="9"/>
    </row>
    <row r="141" ht="15.75" customHeight="1">
      <c r="X141" s="9"/>
      <c r="Y141" s="9"/>
      <c r="Z141" s="9"/>
      <c r="AA141" s="9"/>
      <c r="AB141" s="9"/>
    </row>
    <row r="142" ht="15.75" customHeight="1">
      <c r="X142" s="9"/>
      <c r="Y142" s="9"/>
      <c r="Z142" s="9"/>
      <c r="AA142" s="9"/>
      <c r="AB142" s="9"/>
    </row>
    <row r="143" ht="15.75" customHeight="1">
      <c r="X143" s="9"/>
      <c r="Y143" s="9"/>
      <c r="Z143" s="9"/>
      <c r="AA143" s="9"/>
      <c r="AB143" s="9"/>
    </row>
    <row r="144" ht="15.75" customHeight="1">
      <c r="X144" s="9"/>
      <c r="Y144" s="9"/>
      <c r="Z144" s="9"/>
      <c r="AA144" s="9"/>
      <c r="AB144" s="9"/>
    </row>
    <row r="145" ht="15.75" customHeight="1">
      <c r="X145" s="9"/>
      <c r="Y145" s="9"/>
      <c r="Z145" s="9"/>
      <c r="AA145" s="9"/>
      <c r="AB145" s="9"/>
    </row>
    <row r="146" ht="15.75" customHeight="1">
      <c r="X146" s="9"/>
      <c r="Y146" s="9"/>
      <c r="Z146" s="9"/>
      <c r="AA146" s="9"/>
      <c r="AB146" s="9"/>
    </row>
    <row r="147" ht="15.75" customHeight="1">
      <c r="X147" s="9"/>
      <c r="Y147" s="9"/>
      <c r="Z147" s="9"/>
      <c r="AA147" s="9"/>
      <c r="AB147" s="9"/>
    </row>
    <row r="148" ht="15.75" customHeight="1">
      <c r="X148" s="9"/>
      <c r="Y148" s="9"/>
      <c r="Z148" s="9"/>
      <c r="AA148" s="9"/>
      <c r="AB148" s="9"/>
    </row>
    <row r="149" ht="15.75" customHeight="1">
      <c r="X149" s="9"/>
      <c r="Y149" s="9"/>
      <c r="Z149" s="9"/>
      <c r="AA149" s="9"/>
      <c r="AB149" s="9"/>
    </row>
    <row r="150" ht="15.75" customHeight="1">
      <c r="X150" s="9"/>
      <c r="Y150" s="9"/>
      <c r="Z150" s="9"/>
      <c r="AA150" s="9"/>
      <c r="AB150" s="9"/>
    </row>
    <row r="151" ht="15.75" customHeight="1">
      <c r="X151" s="9"/>
      <c r="Y151" s="9"/>
      <c r="Z151" s="9"/>
      <c r="AA151" s="9"/>
      <c r="AB151" s="9"/>
    </row>
    <row r="152" ht="15.75" customHeight="1">
      <c r="X152" s="9"/>
      <c r="Y152" s="9"/>
      <c r="Z152" s="9"/>
      <c r="AA152" s="9"/>
      <c r="AB152" s="9"/>
    </row>
    <row r="153" ht="15.75" customHeight="1">
      <c r="X153" s="9"/>
      <c r="Y153" s="9"/>
      <c r="Z153" s="9"/>
      <c r="AA153" s="9"/>
      <c r="AB153" s="9"/>
    </row>
    <row r="154" ht="15.75" customHeight="1">
      <c r="X154" s="9"/>
      <c r="Y154" s="9"/>
      <c r="Z154" s="9"/>
      <c r="AA154" s="9"/>
      <c r="AB154" s="9"/>
    </row>
    <row r="155" ht="15.75" customHeight="1">
      <c r="X155" s="9"/>
      <c r="Y155" s="9"/>
      <c r="Z155" s="9"/>
      <c r="AA155" s="9"/>
      <c r="AB155" s="9"/>
    </row>
    <row r="156" ht="15.75" customHeight="1">
      <c r="X156" s="9"/>
      <c r="Y156" s="9"/>
      <c r="Z156" s="9"/>
      <c r="AA156" s="9"/>
      <c r="AB156" s="9"/>
    </row>
    <row r="157" ht="15.75" customHeight="1">
      <c r="X157" s="9"/>
      <c r="Y157" s="9"/>
      <c r="Z157" s="9"/>
      <c r="AA157" s="9"/>
      <c r="AB157" s="9"/>
    </row>
    <row r="158" ht="15.75" customHeight="1">
      <c r="X158" s="9"/>
      <c r="Y158" s="9"/>
      <c r="Z158" s="9"/>
      <c r="AA158" s="9"/>
      <c r="AB158" s="9"/>
    </row>
    <row r="159" ht="15.75" customHeight="1">
      <c r="X159" s="9"/>
      <c r="Y159" s="9"/>
      <c r="Z159" s="9"/>
      <c r="AA159" s="9"/>
      <c r="AB159" s="9"/>
    </row>
    <row r="160" ht="15.75" customHeight="1">
      <c r="X160" s="9"/>
      <c r="Y160" s="9"/>
      <c r="Z160" s="9"/>
      <c r="AA160" s="9"/>
      <c r="AB160" s="9"/>
    </row>
    <row r="161" ht="15.75" customHeight="1">
      <c r="X161" s="9"/>
      <c r="Y161" s="9"/>
      <c r="Z161" s="9"/>
      <c r="AA161" s="9"/>
      <c r="AB161" s="9"/>
    </row>
    <row r="162" ht="15.75" customHeight="1">
      <c r="X162" s="9"/>
      <c r="Y162" s="9"/>
      <c r="Z162" s="9"/>
      <c r="AA162" s="9"/>
      <c r="AB162" s="9"/>
    </row>
    <row r="163" ht="15.75" customHeight="1">
      <c r="X163" s="9"/>
      <c r="Y163" s="9"/>
      <c r="Z163" s="9"/>
      <c r="AA163" s="9"/>
      <c r="AB163" s="9"/>
    </row>
    <row r="164" ht="15.75" customHeight="1">
      <c r="X164" s="9"/>
      <c r="Y164" s="9"/>
      <c r="Z164" s="9"/>
      <c r="AA164" s="9"/>
      <c r="AB164" s="9"/>
    </row>
    <row r="165" ht="15.75" customHeight="1">
      <c r="X165" s="9"/>
      <c r="Y165" s="9"/>
      <c r="Z165" s="9"/>
      <c r="AA165" s="9"/>
      <c r="AB165" s="9"/>
    </row>
    <row r="166" ht="15.75" customHeight="1">
      <c r="X166" s="9"/>
      <c r="Y166" s="9"/>
      <c r="Z166" s="9"/>
      <c r="AA166" s="9"/>
      <c r="AB166" s="9"/>
    </row>
    <row r="167" ht="15.75" customHeight="1">
      <c r="X167" s="9"/>
      <c r="Y167" s="9"/>
      <c r="Z167" s="9"/>
      <c r="AA167" s="9"/>
      <c r="AB167" s="9"/>
    </row>
    <row r="168" ht="15.75" customHeight="1">
      <c r="X168" s="9"/>
      <c r="Y168" s="9"/>
      <c r="Z168" s="9"/>
      <c r="AA168" s="9"/>
      <c r="AB168" s="9"/>
    </row>
    <row r="169" ht="15.75" customHeight="1">
      <c r="X169" s="9"/>
      <c r="Y169" s="9"/>
      <c r="Z169" s="9"/>
      <c r="AA169" s="9"/>
      <c r="AB169" s="9"/>
    </row>
    <row r="170" ht="15.75" customHeight="1">
      <c r="X170" s="9"/>
      <c r="Y170" s="9"/>
      <c r="Z170" s="9"/>
      <c r="AA170" s="9"/>
      <c r="AB170" s="9"/>
    </row>
    <row r="171" ht="15.75" customHeight="1">
      <c r="X171" s="9"/>
      <c r="Y171" s="9"/>
      <c r="Z171" s="9"/>
      <c r="AA171" s="9"/>
      <c r="AB171" s="9"/>
    </row>
    <row r="172" ht="15.75" customHeight="1">
      <c r="X172" s="9"/>
      <c r="Y172" s="9"/>
      <c r="Z172" s="9"/>
      <c r="AA172" s="9"/>
      <c r="AB172" s="9"/>
    </row>
    <row r="173" ht="15.75" customHeight="1">
      <c r="X173" s="9"/>
      <c r="Y173" s="9"/>
      <c r="Z173" s="9"/>
      <c r="AA173" s="9"/>
      <c r="AB173" s="9"/>
    </row>
    <row r="174" ht="15.75" customHeight="1">
      <c r="X174" s="9"/>
      <c r="Y174" s="9"/>
      <c r="Z174" s="9"/>
      <c r="AA174" s="9"/>
      <c r="AB174" s="9"/>
    </row>
    <row r="175" ht="15.75" customHeight="1">
      <c r="X175" s="9"/>
      <c r="Y175" s="9"/>
      <c r="Z175" s="9"/>
      <c r="AA175" s="9"/>
      <c r="AB175" s="9"/>
    </row>
    <row r="176" ht="15.75" customHeight="1">
      <c r="X176" s="9"/>
      <c r="Y176" s="9"/>
      <c r="Z176" s="9"/>
      <c r="AA176" s="9"/>
      <c r="AB176" s="9"/>
    </row>
    <row r="177" ht="15.75" customHeight="1">
      <c r="X177" s="9"/>
      <c r="Y177" s="9"/>
      <c r="Z177" s="9"/>
      <c r="AA177" s="9"/>
      <c r="AB177" s="9"/>
    </row>
    <row r="178" ht="15.75" customHeight="1">
      <c r="X178" s="9"/>
      <c r="Y178" s="9"/>
      <c r="Z178" s="9"/>
      <c r="AA178" s="9"/>
      <c r="AB178" s="9"/>
    </row>
    <row r="179" ht="15.75" customHeight="1">
      <c r="X179" s="9"/>
      <c r="Y179" s="9"/>
      <c r="Z179" s="9"/>
      <c r="AA179" s="9"/>
      <c r="AB179" s="9"/>
    </row>
    <row r="180" ht="15.75" customHeight="1">
      <c r="X180" s="9"/>
      <c r="Y180" s="9"/>
      <c r="Z180" s="9"/>
      <c r="AA180" s="9"/>
      <c r="AB180" s="9"/>
    </row>
    <row r="181" ht="15.75" customHeight="1">
      <c r="X181" s="9"/>
      <c r="Y181" s="9"/>
      <c r="Z181" s="9"/>
      <c r="AA181" s="9"/>
      <c r="AB181" s="9"/>
    </row>
    <row r="182" ht="15.75" customHeight="1">
      <c r="X182" s="9"/>
      <c r="Y182" s="9"/>
      <c r="Z182" s="9"/>
      <c r="AA182" s="9"/>
      <c r="AB182" s="9"/>
    </row>
    <row r="183" ht="15.75" customHeight="1">
      <c r="X183" s="9"/>
      <c r="Y183" s="9"/>
      <c r="Z183" s="9"/>
      <c r="AA183" s="9"/>
      <c r="AB183" s="9"/>
    </row>
    <row r="184" ht="15.75" customHeight="1">
      <c r="X184" s="9"/>
      <c r="Y184" s="9"/>
      <c r="Z184" s="9"/>
      <c r="AA184" s="9"/>
      <c r="AB184" s="9"/>
    </row>
    <row r="185" ht="15.75" customHeight="1">
      <c r="X185" s="9"/>
      <c r="Y185" s="9"/>
      <c r="Z185" s="9"/>
      <c r="AA185" s="9"/>
      <c r="AB185" s="9"/>
    </row>
    <row r="186" ht="15.75" customHeight="1">
      <c r="X186" s="9"/>
      <c r="Y186" s="9"/>
      <c r="Z186" s="9"/>
      <c r="AA186" s="9"/>
      <c r="AB186" s="9"/>
    </row>
    <row r="187" ht="15.75" customHeight="1">
      <c r="X187" s="9"/>
      <c r="Y187" s="9"/>
      <c r="Z187" s="9"/>
      <c r="AA187" s="9"/>
      <c r="AB187" s="9"/>
    </row>
    <row r="188" ht="15.75" customHeight="1">
      <c r="X188" s="9"/>
      <c r="Y188" s="9"/>
      <c r="Z188" s="9"/>
      <c r="AA188" s="9"/>
      <c r="AB188" s="9"/>
    </row>
    <row r="189" ht="15.75" customHeight="1">
      <c r="X189" s="9"/>
      <c r="Y189" s="9"/>
      <c r="Z189" s="9"/>
      <c r="AA189" s="9"/>
      <c r="AB189" s="9"/>
    </row>
    <row r="190" ht="15.75" customHeight="1">
      <c r="X190" s="9"/>
      <c r="Y190" s="9"/>
      <c r="Z190" s="9"/>
      <c r="AA190" s="9"/>
      <c r="AB190" s="9"/>
    </row>
    <row r="191" ht="15.75" customHeight="1">
      <c r="X191" s="9"/>
      <c r="Y191" s="9"/>
      <c r="Z191" s="9"/>
      <c r="AA191" s="9"/>
      <c r="AB191" s="9"/>
    </row>
    <row r="192" ht="15.75" customHeight="1">
      <c r="X192" s="9"/>
      <c r="Y192" s="9"/>
      <c r="Z192" s="9"/>
      <c r="AA192" s="9"/>
      <c r="AB192" s="9"/>
    </row>
    <row r="193" ht="15.75" customHeight="1">
      <c r="X193" s="9"/>
      <c r="Y193" s="9"/>
      <c r="Z193" s="9"/>
      <c r="AA193" s="9"/>
      <c r="AB193" s="9"/>
    </row>
    <row r="194" ht="15.75" customHeight="1">
      <c r="X194" s="9"/>
      <c r="Y194" s="9"/>
      <c r="Z194" s="9"/>
      <c r="AA194" s="9"/>
      <c r="AB194" s="9"/>
    </row>
    <row r="195" ht="15.75" customHeight="1">
      <c r="X195" s="9"/>
      <c r="Y195" s="9"/>
      <c r="Z195" s="9"/>
      <c r="AA195" s="9"/>
      <c r="AB195" s="9"/>
    </row>
    <row r="196" ht="15.75" customHeight="1">
      <c r="X196" s="9"/>
      <c r="Y196" s="9"/>
      <c r="Z196" s="9"/>
      <c r="AA196" s="9"/>
      <c r="AB196" s="9"/>
    </row>
    <row r="197" ht="15.75" customHeight="1">
      <c r="X197" s="9"/>
      <c r="Y197" s="9"/>
      <c r="Z197" s="9"/>
      <c r="AA197" s="9"/>
      <c r="AB197" s="9"/>
    </row>
    <row r="198" ht="15.75" customHeight="1">
      <c r="X198" s="9"/>
      <c r="Y198" s="9"/>
      <c r="Z198" s="9"/>
      <c r="AA198" s="9"/>
      <c r="AB198" s="9"/>
    </row>
    <row r="199" ht="15.75" customHeight="1">
      <c r="X199" s="9"/>
      <c r="Y199" s="9"/>
      <c r="Z199" s="9"/>
      <c r="AA199" s="9"/>
      <c r="AB199" s="9"/>
    </row>
    <row r="200" ht="15.75" customHeight="1">
      <c r="X200" s="9"/>
      <c r="Y200" s="9"/>
      <c r="Z200" s="9"/>
      <c r="AA200" s="9"/>
      <c r="AB200" s="9"/>
    </row>
    <row r="201" ht="15.75" customHeight="1">
      <c r="X201" s="9"/>
      <c r="Y201" s="9"/>
      <c r="Z201" s="9"/>
      <c r="AA201" s="9"/>
      <c r="AB201" s="9"/>
    </row>
    <row r="202" ht="15.75" customHeight="1">
      <c r="X202" s="9"/>
      <c r="Y202" s="9"/>
      <c r="Z202" s="9"/>
      <c r="AA202" s="9"/>
      <c r="AB202" s="9"/>
    </row>
    <row r="203" ht="15.75" customHeight="1">
      <c r="X203" s="9"/>
      <c r="Y203" s="9"/>
      <c r="Z203" s="9"/>
      <c r="AA203" s="9"/>
      <c r="AB203" s="9"/>
    </row>
    <row r="204" ht="15.75" customHeight="1">
      <c r="X204" s="9"/>
      <c r="Y204" s="9"/>
      <c r="Z204" s="9"/>
      <c r="AA204" s="9"/>
      <c r="AB204" s="9"/>
    </row>
    <row r="205" ht="15.75" customHeight="1">
      <c r="X205" s="9"/>
      <c r="Y205" s="9"/>
      <c r="Z205" s="9"/>
      <c r="AA205" s="9"/>
      <c r="AB205" s="9"/>
    </row>
    <row r="206" ht="15.75" customHeight="1">
      <c r="X206" s="9"/>
      <c r="Y206" s="9"/>
      <c r="Z206" s="9"/>
      <c r="AA206" s="9"/>
      <c r="AB206" s="9"/>
    </row>
    <row r="207" ht="15.75" customHeight="1">
      <c r="X207" s="9"/>
      <c r="Y207" s="9"/>
      <c r="Z207" s="9"/>
      <c r="AA207" s="9"/>
      <c r="AB207" s="9"/>
    </row>
    <row r="208" ht="15.75" customHeight="1">
      <c r="X208" s="9"/>
      <c r="Y208" s="9"/>
      <c r="Z208" s="9"/>
      <c r="AA208" s="9"/>
      <c r="AB208" s="9"/>
    </row>
    <row r="209" ht="15.75" customHeight="1">
      <c r="X209" s="9"/>
      <c r="Y209" s="9"/>
      <c r="Z209" s="9"/>
      <c r="AA209" s="9"/>
      <c r="AB209" s="9"/>
    </row>
    <row r="210" ht="15.75" customHeight="1">
      <c r="X210" s="9"/>
      <c r="Y210" s="9"/>
      <c r="Z210" s="9"/>
      <c r="AA210" s="9"/>
      <c r="AB210" s="9"/>
    </row>
    <row r="211" ht="15.75" customHeight="1">
      <c r="X211" s="9"/>
      <c r="Y211" s="9"/>
      <c r="Z211" s="9"/>
      <c r="AA211" s="9"/>
      <c r="AB211" s="9"/>
    </row>
    <row r="212" ht="15.75" customHeight="1">
      <c r="X212" s="9"/>
      <c r="Y212" s="9"/>
      <c r="Z212" s="9"/>
      <c r="AA212" s="9"/>
      <c r="AB212" s="9"/>
    </row>
    <row r="213" ht="15.75" customHeight="1">
      <c r="X213" s="9"/>
      <c r="Y213" s="9"/>
      <c r="Z213" s="9"/>
      <c r="AA213" s="9"/>
      <c r="AB213" s="9"/>
    </row>
    <row r="214" ht="15.75" customHeight="1">
      <c r="X214" s="9"/>
      <c r="Y214" s="9"/>
      <c r="Z214" s="9"/>
      <c r="AA214" s="9"/>
      <c r="AB214" s="9"/>
    </row>
    <row r="215" ht="15.75" customHeight="1">
      <c r="X215" s="9"/>
      <c r="Y215" s="9"/>
      <c r="Z215" s="9"/>
      <c r="AA215" s="9"/>
      <c r="AB215" s="9"/>
    </row>
    <row r="216" ht="15.75" customHeight="1">
      <c r="X216" s="9"/>
      <c r="Y216" s="9"/>
      <c r="Z216" s="9"/>
      <c r="AA216" s="9"/>
      <c r="AB216" s="9"/>
    </row>
    <row r="217" ht="15.75" customHeight="1">
      <c r="X217" s="9"/>
      <c r="Y217" s="9"/>
      <c r="Z217" s="9"/>
      <c r="AA217" s="9"/>
      <c r="AB217" s="9"/>
    </row>
    <row r="218" ht="15.75" customHeight="1">
      <c r="X218" s="9"/>
      <c r="Y218" s="9"/>
      <c r="Z218" s="9"/>
      <c r="AA218" s="9"/>
      <c r="AB218" s="9"/>
    </row>
    <row r="219" ht="15.75" customHeight="1">
      <c r="X219" s="9"/>
      <c r="Y219" s="9"/>
      <c r="Z219" s="9"/>
      <c r="AA219" s="9"/>
      <c r="AB219" s="9"/>
    </row>
    <row r="220" ht="15.75" customHeight="1">
      <c r="X220" s="9"/>
      <c r="Y220" s="9"/>
      <c r="Z220" s="9"/>
      <c r="AA220" s="9"/>
      <c r="AB220" s="9"/>
    </row>
    <row r="221" ht="15.75" customHeight="1">
      <c r="X221" s="9"/>
      <c r="Y221" s="9"/>
      <c r="Z221" s="9"/>
      <c r="AA221" s="9"/>
      <c r="AB221" s="9"/>
    </row>
    <row r="222" ht="15.75" customHeight="1">
      <c r="X222" s="9"/>
      <c r="Y222" s="9"/>
      <c r="Z222" s="9"/>
      <c r="AA222" s="9"/>
      <c r="AB222" s="9"/>
    </row>
    <row r="223" ht="15.75" customHeight="1">
      <c r="X223" s="9"/>
      <c r="Y223" s="9"/>
      <c r="Z223" s="9"/>
      <c r="AA223" s="9"/>
      <c r="AB223" s="9"/>
    </row>
    <row r="224" ht="15.75" customHeight="1">
      <c r="X224" s="9"/>
      <c r="Y224" s="9"/>
      <c r="Z224" s="9"/>
      <c r="AA224" s="9"/>
      <c r="AB224" s="9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0"/>
    <col customWidth="1" min="2" max="2" width="12.63"/>
    <col customWidth="1" min="3" max="3" width="10.5"/>
    <col customWidth="1" min="4" max="4" width="19.88"/>
    <col customWidth="1" min="5" max="5" width="12.63"/>
    <col customWidth="1" min="6" max="6" width="11.63"/>
    <col customWidth="1" min="7" max="7" width="10.38"/>
    <col customWidth="1" min="8" max="8" width="19.75"/>
    <col customWidth="1" min="9" max="10" width="11.63"/>
    <col customWidth="1" min="11" max="11" width="10.0"/>
    <col customWidth="1" min="12" max="12" width="19.38"/>
    <col customWidth="1" min="13" max="13" width="11.63"/>
    <col customWidth="1" min="14" max="14" width="11.5"/>
    <col customWidth="1" min="15" max="15" width="9.38"/>
    <col customWidth="1" min="16" max="16" width="18.5"/>
    <col customWidth="1" min="17" max="17" width="15.0"/>
    <col customWidth="1" min="18" max="18" width="23.25"/>
    <col customWidth="1" min="19" max="19" width="10.88"/>
    <col customWidth="1" min="20" max="21" width="12.75"/>
    <col customWidth="1" min="22" max="22" width="10.38"/>
    <col customWidth="1" min="23" max="23" width="23.75"/>
    <col customWidth="1" min="24" max="24" width="21.38"/>
    <col customWidth="1" min="25" max="25" width="28.25"/>
    <col customWidth="1" min="27" max="27" width="25.13"/>
    <col customWidth="1" min="28" max="28" width="13.88"/>
    <col customWidth="1" min="29" max="29" width="22.38"/>
  </cols>
  <sheetData>
    <row r="1" ht="15.75" customHeight="1">
      <c r="A1" s="9" t="s">
        <v>79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4" t="s">
        <v>117</v>
      </c>
      <c r="M1" s="1" t="s">
        <v>118</v>
      </c>
      <c r="N1" s="1" t="s">
        <v>119</v>
      </c>
      <c r="O1" s="1" t="s">
        <v>120</v>
      </c>
      <c r="P1" s="4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4" t="s">
        <v>128</v>
      </c>
      <c r="X1" s="8" t="s">
        <v>129</v>
      </c>
      <c r="Y1" s="8" t="s">
        <v>130</v>
      </c>
      <c r="AA1" s="1"/>
      <c r="AB1" s="1"/>
      <c r="AC1" s="1"/>
      <c r="AD1" s="1"/>
      <c r="AE1" s="1"/>
      <c r="AF1" s="1"/>
      <c r="AG1" s="1"/>
      <c r="AH1" s="1"/>
    </row>
    <row r="2" ht="15.75" customHeight="1">
      <c r="A2" s="1">
        <v>18.0</v>
      </c>
      <c r="B2" s="11">
        <f t="shared" ref="B2:B49" si="1">IF(A2=18, 0, INDEX($E:$E, ROW()-1))
</f>
        <v>0</v>
      </c>
      <c r="C2" s="11">
        <f t="array" ref="C2">IFERROR(INDEX('Cash Flow (Annual)'!C:C,MATCH(A2,'Cash Flow (Annual)'!A:A,0)) + INDEX('Cash Flow (Annual)'!D:D,MATCH(A2,'Cash Flow (Annual)'!A:A,0)),0)</f>
        <v>0</v>
      </c>
      <c r="D2" s="11">
        <f>ROUND(B2*retGrow,2)</f>
        <v>0</v>
      </c>
      <c r="E2" s="11">
        <f t="shared" ref="E2:E49" si="2">ROUND(B2+C2+D2,2)</f>
        <v>0</v>
      </c>
      <c r="F2" s="11">
        <f t="shared" ref="F2:F49" si="3">IF(A2=18,0,I1)</f>
        <v>0</v>
      </c>
      <c r="G2" s="11">
        <f t="array" ref="G2">IFERROR(INDEX('Cash Flow (Annual)'!J:J,MATCH(A2,'Cash Flow (Annual)'!A:A,0)),0)</f>
        <v>0</v>
      </c>
      <c r="H2" s="11">
        <f>ROUND(F2*retGrow,2)</f>
        <v>0</v>
      </c>
      <c r="I2" s="11">
        <f t="shared" ref="I2:I49" si="4">ROUND(F2+G2+H2,2)</f>
        <v>0</v>
      </c>
      <c r="J2" s="11">
        <f t="shared" ref="J2:J49" si="5">IF(A2=18,0,M1)</f>
        <v>0</v>
      </c>
      <c r="K2" s="11">
        <f t="array" ref="K2">IFERROR(INDEX('Cash Flow (Annual)'!K:K, MATCH($A2,'Cash Flow (Annual)'!A:A,0)),0)
 + 0.5*IFERROR(INDEX('Cash Flow (Annual)'!O:O, MATCH($A2,'Cash Flow (Annual)'!A:A,0)),0)</f>
        <v>0</v>
      </c>
      <c r="L2" s="11">
        <f>ROUND( J2*etfGrow, 2 )</f>
        <v>0</v>
      </c>
      <c r="M2" s="11">
        <f t="shared" ref="M2:M49" si="6">ROUND(J2+K2+L2,2)</f>
        <v>0</v>
      </c>
      <c r="N2" s="11">
        <f t="shared" ref="N2:N49" si="7">IF($A2=18,0,$R1)</f>
        <v>0</v>
      </c>
      <c r="O2" s="11">
        <f t="array" ref="O2">IFERROR(INDEX('Cash Flow (Annual)'!L:L,MATCH($A2,'Cash Flow (Annual)'!A:A,0)),0)</f>
        <v>0</v>
      </c>
      <c r="P2" s="11">
        <f>ROUND(N2*reCashYield,2)</f>
        <v>0</v>
      </c>
      <c r="Q2" s="11">
        <f t="shared" ref="Q2:Q49" si="8">ROUND(N2+O2+P2,2)</f>
        <v>0</v>
      </c>
      <c r="R2" s="11">
        <f>Q2 - IFERROR( SUMIF('RE Purchases'!$K:$K, A2, 'RE Purchases'!$L:$L), 0 )
</f>
        <v>0</v>
      </c>
      <c r="S2" s="11">
        <f t="shared" ref="S2:S49" si="9">IF($A2=18,0, INDEX($A:$AAF, ROW()-1, MATCH("End Savings",$1:$1,0)))
</f>
        <v>0</v>
      </c>
      <c r="T2" s="11">
        <f t="array" ref="T2">IFERROR(INDEX('Cash Flow (Annual)'!M:M,MATCH(A2,'Cash Flow (Annual)'!A:A,0)),0)</f>
        <v>0</v>
      </c>
      <c r="U2" s="11">
        <f>ROUND(S2*savGrow,2)</f>
        <v>0</v>
      </c>
      <c r="V2" s="11">
        <f t="shared" ref="V2:V49" si="10">ROUND(S2+T2+U2,2)</f>
        <v>0</v>
      </c>
      <c r="W2" s="11">
        <f t="shared" ref="W2:W49" si="11">E2 + I2 + M2 + R2 + V2</f>
        <v>0</v>
      </c>
      <c r="X2" s="13">
        <f>E2 + I2 + M2 + R2 + V2
+ SUMPRODUCT(
  ('RE Amortization'!$E$2:$E$1401=$A2) *
  ( VALUE('RE Amortization'!$L$2:$L$1401) - VALUE('RE Amortization'!$J$2:$J$1401) )
)
</f>
        <v>0</v>
      </c>
      <c r="Y2" s="13">
        <f>IF(X2="","", X2 / (1 + Assumptions!$B$7) ^ (A2 - 16))
</f>
        <v>0</v>
      </c>
      <c r="Z2" s="1"/>
      <c r="AA2" s="1"/>
      <c r="AB2" s="1"/>
      <c r="AC2" s="1"/>
    </row>
    <row r="3" ht="15.75" customHeight="1">
      <c r="A3" s="1">
        <v>19.0</v>
      </c>
      <c r="B3" s="11">
        <f t="shared" si="1"/>
        <v>0</v>
      </c>
      <c r="C3" s="11">
        <f t="array" ref="C3">IFERROR(INDEX('Cash Flow (Annual)'!C:C,MATCH(A3,'Cash Flow (Annual)'!A:A,0)) + INDEX('Cash Flow (Annual)'!D:D,MATCH(A3,'Cash Flow (Annual)'!A:A,0)),0)</f>
        <v>0</v>
      </c>
      <c r="D3" s="11">
        <f>ROUND(B3*retGrow,2)</f>
        <v>0</v>
      </c>
      <c r="E3" s="11">
        <f t="shared" si="2"/>
        <v>0</v>
      </c>
      <c r="F3" s="11">
        <f t="shared" si="3"/>
        <v>0</v>
      </c>
      <c r="G3" s="11">
        <f t="array" ref="G3">IFERROR(INDEX('Cash Flow (Annual)'!J:J,MATCH(A3,'Cash Flow (Annual)'!A:A,0)),0)</f>
        <v>0</v>
      </c>
      <c r="H3" s="11">
        <f>ROUND(F3*retGrow,2)</f>
        <v>0</v>
      </c>
      <c r="I3" s="11">
        <f t="shared" si="4"/>
        <v>0</v>
      </c>
      <c r="J3" s="11">
        <f t="shared" si="5"/>
        <v>0</v>
      </c>
      <c r="K3" s="11">
        <f t="array" ref="K3">IFERROR(INDEX('Cash Flow (Annual)'!K:K, MATCH($A3,'Cash Flow (Annual)'!A:A,0)),0)
 + 0.5*IFERROR(INDEX('Cash Flow (Annual)'!O:O, MATCH($A3,'Cash Flow (Annual)'!A:A,0)),0)</f>
        <v>0</v>
      </c>
      <c r="L3" s="11">
        <f>ROUND( J3*etfGrow, 2 )</f>
        <v>0</v>
      </c>
      <c r="M3" s="11">
        <f t="shared" si="6"/>
        <v>0</v>
      </c>
      <c r="N3" s="11">
        <f t="shared" si="7"/>
        <v>0</v>
      </c>
      <c r="O3" s="11">
        <f t="array" ref="O3">IFERROR(INDEX('Cash Flow (Annual)'!L:L,MATCH($A3,'Cash Flow (Annual)'!A:A,0)),0)</f>
        <v>0</v>
      </c>
      <c r="P3" s="11">
        <f>ROUND(N3*reCashYield,2)</f>
        <v>0</v>
      </c>
      <c r="Q3" s="11">
        <f t="shared" si="8"/>
        <v>0</v>
      </c>
      <c r="R3" s="11">
        <f>Q3 - IFERROR( SUMIF('RE Purchases'!$K:$K, A3, 'RE Purchases'!$L:$L), 0 )
</f>
        <v>0</v>
      </c>
      <c r="S3" s="11">
        <f t="shared" si="9"/>
        <v>0</v>
      </c>
      <c r="T3" s="11">
        <f t="array" ref="T3">IFERROR(INDEX('Cash Flow (Annual)'!M:M,MATCH(A3,'Cash Flow (Annual)'!A:A,0)),0)</f>
        <v>0</v>
      </c>
      <c r="U3" s="11">
        <f>ROUND(S3*savGrow,2)</f>
        <v>0</v>
      </c>
      <c r="V3" s="11">
        <f t="shared" si="10"/>
        <v>0</v>
      </c>
      <c r="W3" s="11">
        <f t="shared" si="11"/>
        <v>0</v>
      </c>
      <c r="X3" s="13">
        <f>E3 + I3 + M3 + R3 + V3
+ SUMPRODUCT(
  ('RE Amortization'!$E$2:$E$1401=$A3) *
  ( VALUE('RE Amortization'!$L$2:$L$1401) - VALUE('RE Amortization'!$J$2:$J$1401) )
)
</f>
        <v>0</v>
      </c>
      <c r="Y3" s="13">
        <f>IF(X3="","", X3 / (1 + Assumptions!$B$7) ^ (A3 - 16))
</f>
        <v>0</v>
      </c>
      <c r="Z3" s="1"/>
      <c r="AA3" s="1"/>
      <c r="AB3" s="1"/>
      <c r="AC3" s="1"/>
    </row>
    <row r="4" ht="15.75" customHeight="1">
      <c r="A4" s="1">
        <v>20.0</v>
      </c>
      <c r="B4" s="11">
        <f t="shared" si="1"/>
        <v>0</v>
      </c>
      <c r="C4" s="11">
        <f t="array" ref="C4">IFERROR(INDEX('Cash Flow (Annual)'!C:C,MATCH(A4,'Cash Flow (Annual)'!A:A,0)) + INDEX('Cash Flow (Annual)'!D:D,MATCH(A4,'Cash Flow (Annual)'!A:A,0)),0)</f>
        <v>0</v>
      </c>
      <c r="D4" s="11">
        <f>ROUND(B4*retGrow,2)</f>
        <v>0</v>
      </c>
      <c r="E4" s="11">
        <f t="shared" si="2"/>
        <v>0</v>
      </c>
      <c r="F4" s="11">
        <f t="shared" si="3"/>
        <v>0</v>
      </c>
      <c r="G4" s="11">
        <f t="array" ref="G4">IFERROR(INDEX('Cash Flow (Annual)'!J:J,MATCH(A4,'Cash Flow (Annual)'!A:A,0)),0)</f>
        <v>0</v>
      </c>
      <c r="H4" s="11">
        <f>ROUND(F4*retGrow,2)</f>
        <v>0</v>
      </c>
      <c r="I4" s="11">
        <f t="shared" si="4"/>
        <v>0</v>
      </c>
      <c r="J4" s="11">
        <f t="shared" si="5"/>
        <v>0</v>
      </c>
      <c r="K4" s="11">
        <f t="array" ref="K4">IFERROR(INDEX('Cash Flow (Annual)'!K:K, MATCH($A4,'Cash Flow (Annual)'!A:A,0)),0)
 + 0.5*IFERROR(INDEX('Cash Flow (Annual)'!O:O, MATCH($A4,'Cash Flow (Annual)'!A:A,0)),0)</f>
        <v>0</v>
      </c>
      <c r="L4" s="11">
        <f>ROUND( J4*etfGrow, 2 )</f>
        <v>0</v>
      </c>
      <c r="M4" s="11">
        <f t="shared" si="6"/>
        <v>0</v>
      </c>
      <c r="N4" s="11">
        <f t="shared" si="7"/>
        <v>0</v>
      </c>
      <c r="O4" s="11">
        <f t="array" ref="O4">IFERROR(INDEX('Cash Flow (Annual)'!L:L,MATCH($A4,'Cash Flow (Annual)'!A:A,0)),0)</f>
        <v>0</v>
      </c>
      <c r="P4" s="11">
        <f>ROUND(N4*reCashYield,2)</f>
        <v>0</v>
      </c>
      <c r="Q4" s="11">
        <f t="shared" si="8"/>
        <v>0</v>
      </c>
      <c r="R4" s="11">
        <f>Q4 - IFERROR( SUMIF('RE Purchases'!$K:$K, A4, 'RE Purchases'!$L:$L), 0 )
</f>
        <v>0</v>
      </c>
      <c r="S4" s="11">
        <f t="shared" si="9"/>
        <v>0</v>
      </c>
      <c r="T4" s="11">
        <f t="array" ref="T4">IFERROR(INDEX('Cash Flow (Annual)'!M:M,MATCH(A4,'Cash Flow (Annual)'!A:A,0)),0)</f>
        <v>0</v>
      </c>
      <c r="U4" s="11">
        <f>ROUND(S4*savGrow,2)</f>
        <v>0</v>
      </c>
      <c r="V4" s="11">
        <f t="shared" si="10"/>
        <v>0</v>
      </c>
      <c r="W4" s="11">
        <f t="shared" si="11"/>
        <v>0</v>
      </c>
      <c r="X4" s="13">
        <f>E4 + I4 + M4 + R4 + V4
+ SUMPRODUCT(
  ('RE Amortization'!$E$2:$E$1401=$A4) *
  ( VALUE('RE Amortization'!$L$2:$L$1401) - VALUE('RE Amortization'!$J$2:$J$1401) )
)
</f>
        <v>0</v>
      </c>
      <c r="Y4" s="13">
        <f>IF(X4="","", X4 / (1 + Assumptions!$B$7) ^ (A4 - 16))
</f>
        <v>0</v>
      </c>
      <c r="Z4" s="1"/>
      <c r="AA4" s="1"/>
      <c r="AB4" s="1"/>
      <c r="AC4" s="1"/>
    </row>
    <row r="5" ht="15.75" customHeight="1">
      <c r="A5" s="1">
        <v>21.0</v>
      </c>
      <c r="B5" s="11">
        <f t="shared" si="1"/>
        <v>0</v>
      </c>
      <c r="C5" s="11">
        <f t="array" ref="C5">IFERROR(INDEX('Cash Flow (Annual)'!C:C,MATCH(A5,'Cash Flow (Annual)'!A:A,0)) + INDEX('Cash Flow (Annual)'!D:D,MATCH(A5,'Cash Flow (Annual)'!A:A,0)),0)</f>
        <v>34914.75</v>
      </c>
      <c r="D5" s="11">
        <f>ROUND(B5*retGrow,2)</f>
        <v>0</v>
      </c>
      <c r="E5" s="11">
        <f t="shared" si="2"/>
        <v>34914.75</v>
      </c>
      <c r="F5" s="11">
        <f t="shared" si="3"/>
        <v>0</v>
      </c>
      <c r="G5" s="11">
        <f t="array" ref="G5">IFERROR(INDEX('Cash Flow (Annual)'!J:J,MATCH(A5,'Cash Flow (Annual)'!A:A,0)),0)</f>
        <v>7000</v>
      </c>
      <c r="H5" s="11">
        <f>ROUND(F5*retGrow,2)</f>
        <v>0</v>
      </c>
      <c r="I5" s="11">
        <f t="shared" si="4"/>
        <v>7000</v>
      </c>
      <c r="J5" s="11">
        <f t="shared" si="5"/>
        <v>0</v>
      </c>
      <c r="K5" s="11">
        <f t="array" ref="K5">IFERROR(INDEX('Cash Flow (Annual)'!$K:$K, MATCH($A5, 'Cash Flow (Annual)'!$A:$A, 0)), 0)
+ IFERROR(INDEX('Cash Flow (Annual)'!$P:$P, MATCH($A5, 'Cash Flow (Annual)'!$A:$A, 0)), 0)</f>
        <v>11781.66</v>
      </c>
      <c r="L5" s="11">
        <f>ROUND( J5*etfGrow, 2 )</f>
        <v>0</v>
      </c>
      <c r="M5" s="11">
        <f t="shared" si="6"/>
        <v>11781.66</v>
      </c>
      <c r="N5" s="11">
        <f t="shared" si="7"/>
        <v>0</v>
      </c>
      <c r="O5" s="11">
        <f t="array" ref="O5">IFERROR(INDEX('Cash Flow (Annual)'!$L:$L, MATCH($A5, 'Cash Flow (Annual)'!$A:$A, 0)), 0)
+ IFERROR(INDEX('Cash Flow (Annual)'!$Q:$Q, MATCH($A5, 'Cash Flow (Annual)'!$A:$A, 0)), 0)</f>
        <v>8836.24</v>
      </c>
      <c r="P5" s="11">
        <f>ROUND(N5*reCashYield,2)</f>
        <v>0</v>
      </c>
      <c r="Q5" s="11">
        <f t="shared" si="8"/>
        <v>8836.24</v>
      </c>
      <c r="R5" s="11">
        <f>Q5 - IFERROR( SUMIF('RE Purchases'!$K:$K, A5, 'RE Purchases'!$L:$L), 0 )
</f>
        <v>8836.24</v>
      </c>
      <c r="S5" s="11">
        <f t="shared" si="9"/>
        <v>0</v>
      </c>
      <c r="T5" s="11">
        <f t="array" ref="T5">IFERROR(INDEX('Cash Flow (Annual)'!M:M,MATCH(A5,'Cash Flow (Annual)'!A:A,0)),0)</f>
        <v>2945.41</v>
      </c>
      <c r="U5" s="11">
        <f>ROUND(S5*savGrow,2)</f>
        <v>0</v>
      </c>
      <c r="V5" s="11">
        <f t="shared" si="10"/>
        <v>2945.41</v>
      </c>
      <c r="W5" s="11">
        <f t="shared" si="11"/>
        <v>65478.06</v>
      </c>
      <c r="X5" s="13">
        <f>E5 + I5 + M5 + R5 + V5
+ SUMPRODUCT(
  ('RE Amortization'!$E$2:$E$1401=$A5) *
  ( VALUE('RE Amortization'!$L$2:$L$1401) - VALUE('RE Amortization'!$J$2:$J$1401) )
)
</f>
        <v>65478.06</v>
      </c>
      <c r="Y5" s="13">
        <f>IF(X5="","", X5 / (1 + Assumptions!$B$7) ^ (A5 - 16))
</f>
        <v>57873.06408</v>
      </c>
      <c r="Z5" s="1"/>
      <c r="AA5" s="1"/>
      <c r="AB5" s="1"/>
      <c r="AC5" s="1"/>
    </row>
    <row r="6" ht="15.75" customHeight="1">
      <c r="A6" s="1">
        <v>22.0</v>
      </c>
      <c r="B6" s="11">
        <f t="shared" si="1"/>
        <v>34914.75</v>
      </c>
      <c r="C6" s="11">
        <f t="array" ref="C6">IFERROR(INDEX('Cash Flow (Annual)'!C:C,MATCH(A6,'Cash Flow (Annual)'!A:A,0)) + INDEX('Cash Flow (Annual)'!D:D,MATCH(A6,'Cash Flow (Annual)'!A:A,0)),0)</f>
        <v>35787.62</v>
      </c>
      <c r="D6" s="11">
        <f>ROUND(B6*retGrow,2)</f>
        <v>2444.03</v>
      </c>
      <c r="E6" s="11">
        <f t="shared" si="2"/>
        <v>73146.4</v>
      </c>
      <c r="F6" s="11">
        <f t="shared" si="3"/>
        <v>7000</v>
      </c>
      <c r="G6" s="11">
        <f t="array" ref="G6">IFERROR(INDEX('Cash Flow (Annual)'!J:J,MATCH(A6,'Cash Flow (Annual)'!A:A,0)),0)</f>
        <v>7000</v>
      </c>
      <c r="H6" s="11">
        <f>ROUND(F6*retGrow,2)</f>
        <v>490</v>
      </c>
      <c r="I6" s="11">
        <f t="shared" si="4"/>
        <v>14490</v>
      </c>
      <c r="J6" s="11">
        <f t="shared" si="5"/>
        <v>11781.66</v>
      </c>
      <c r="K6" s="11">
        <f t="array" ref="K6">IFERROR(INDEX('Cash Flow (Annual)'!$K:$K, MATCH($A6, 'Cash Flow (Annual)'!$A:$A, 0)), 0)
+ IFERROR(INDEX('Cash Flow (Annual)'!$P:$P, MATCH($A6, 'Cash Flow (Annual)'!$A:$A, 0)), 0)</f>
        <v>12131.3</v>
      </c>
      <c r="L6" s="11">
        <f>ROUND( J6*etfGrow, 2 )</f>
        <v>824.72</v>
      </c>
      <c r="M6" s="11">
        <f t="shared" si="6"/>
        <v>24737.68</v>
      </c>
      <c r="N6" s="11">
        <f t="shared" si="7"/>
        <v>8836.24</v>
      </c>
      <c r="O6" s="11">
        <f t="array" ref="O6">IFERROR(INDEX('Cash Flow (Annual)'!$L:$L, MATCH($A6, 'Cash Flow (Annual)'!$A:$A, 0)), 0)
+ IFERROR(INDEX('Cash Flow (Annual)'!$Q:$Q, MATCH($A6, 'Cash Flow (Annual)'!$A:$A, 0)), 0)</f>
        <v>9098.47</v>
      </c>
      <c r="P6" s="11">
        <f>ROUND(N6*reCashYield,2)</f>
        <v>265.09</v>
      </c>
      <c r="Q6" s="11">
        <f t="shared" si="8"/>
        <v>18199.8</v>
      </c>
      <c r="R6" s="11">
        <f>Q6 - IFERROR( SUMIF('RE Purchases'!$K:$K, A6, 'RE Purchases'!$L:$L), 0 )
</f>
        <v>18199.8</v>
      </c>
      <c r="S6" s="11">
        <f t="shared" si="9"/>
        <v>2945.41</v>
      </c>
      <c r="T6" s="11">
        <f t="array" ref="T6">IFERROR(INDEX('Cash Flow (Annual)'!M:M,MATCH(A6,'Cash Flow (Annual)'!A:A,0)),0)</f>
        <v>3032.82</v>
      </c>
      <c r="U6" s="11">
        <f>ROUND(S6*savGrow,2)</f>
        <v>88.36</v>
      </c>
      <c r="V6" s="11">
        <f t="shared" si="10"/>
        <v>6066.59</v>
      </c>
      <c r="W6" s="11">
        <f t="shared" si="11"/>
        <v>136640.47</v>
      </c>
      <c r="X6" s="13">
        <f>E6 + I6 + M6 + R6 + V6
+ SUMPRODUCT(
  ('RE Amortization'!$E$2:$E$1401=$A6) *
  ( VALUE('RE Amortization'!$L$2:$L$1401) - VALUE('RE Amortization'!$J$2:$J$1401) )
)
</f>
        <v>136640.47</v>
      </c>
      <c r="Y6" s="13">
        <f>IF(X6="","", X6 / (1 + Assumptions!$B$7) ^ (A6 - 16))
</f>
        <v>117824.649</v>
      </c>
      <c r="Z6" s="1"/>
      <c r="AA6" s="1"/>
      <c r="AB6" s="1"/>
      <c r="AC6" s="1"/>
    </row>
    <row r="7" ht="15.75" customHeight="1">
      <c r="A7" s="1">
        <v>23.0</v>
      </c>
      <c r="B7" s="11">
        <f t="shared" si="1"/>
        <v>73146.4</v>
      </c>
      <c r="C7" s="11">
        <f t="array" ref="C7">IFERROR(INDEX('Cash Flow (Annual)'!C:C,MATCH(A7,'Cash Flow (Annual)'!A:A,0)) + INDEX('Cash Flow (Annual)'!D:D,MATCH(A7,'Cash Flow (Annual)'!A:A,0)),0)</f>
        <v>36682.32</v>
      </c>
      <c r="D7" s="11">
        <f>ROUND(B7*retGrow,2)</f>
        <v>5120.25</v>
      </c>
      <c r="E7" s="11">
        <f t="shared" si="2"/>
        <v>114948.97</v>
      </c>
      <c r="F7" s="11">
        <f t="shared" si="3"/>
        <v>14490</v>
      </c>
      <c r="G7" s="11">
        <f t="array" ref="G7">IFERROR(INDEX('Cash Flow (Annual)'!J:J,MATCH(A7,'Cash Flow (Annual)'!A:A,0)),0)</f>
        <v>7000</v>
      </c>
      <c r="H7" s="11">
        <f>ROUND(F7*retGrow,2)</f>
        <v>1014.3</v>
      </c>
      <c r="I7" s="11">
        <f t="shared" si="4"/>
        <v>22504.3</v>
      </c>
      <c r="J7" s="11">
        <f t="shared" si="5"/>
        <v>24737.68</v>
      </c>
      <c r="K7" s="11">
        <f t="array" ref="K7">IFERROR(INDEX('Cash Flow (Annual)'!$K:$K, MATCH($A7, 'Cash Flow (Annual)'!$A:$A, 0)), 0)
+ IFERROR(INDEX('Cash Flow (Annual)'!$P:$P, MATCH($A7, 'Cash Flow (Annual)'!$A:$A, 0)), 0)</f>
        <v>13309.04</v>
      </c>
      <c r="L7" s="11">
        <f>ROUND( J7*etfGrow, 2 )</f>
        <v>1731.64</v>
      </c>
      <c r="M7" s="11">
        <f t="shared" si="6"/>
        <v>39778.36</v>
      </c>
      <c r="N7" s="11">
        <f t="shared" si="7"/>
        <v>18199.8</v>
      </c>
      <c r="O7" s="11">
        <f t="array" ref="O7">IFERROR(INDEX('Cash Flow (Annual)'!$L:$L, MATCH($A7, 'Cash Flow (Annual)'!$A:$A, 0)), 0)
+ IFERROR(INDEX('Cash Flow (Annual)'!$Q:$Q, MATCH($A7, 'Cash Flow (Annual)'!$A:$A, 0)), 0)</f>
        <v>9981.78</v>
      </c>
      <c r="P7" s="11">
        <f>ROUND(N7*reCashYield,2)</f>
        <v>545.99</v>
      </c>
      <c r="Q7" s="11">
        <f t="shared" si="8"/>
        <v>28727.57</v>
      </c>
      <c r="R7" s="11">
        <f>Q7 - IFERROR( SUMIF('RE Purchases'!$K:$K, A7, 'RE Purchases'!$L:$L), 0 )
</f>
        <v>28727.57</v>
      </c>
      <c r="S7" s="11">
        <f t="shared" si="9"/>
        <v>6066.59</v>
      </c>
      <c r="T7" s="11">
        <f t="array" ref="T7">IFERROR(INDEX('Cash Flow (Annual)'!M:M,MATCH(A7,'Cash Flow (Annual)'!A:A,0)),0)</f>
        <v>3327.26</v>
      </c>
      <c r="U7" s="11">
        <f>ROUND(S7*savGrow,2)</f>
        <v>182</v>
      </c>
      <c r="V7" s="11">
        <f t="shared" si="10"/>
        <v>9575.85</v>
      </c>
      <c r="W7" s="11">
        <f t="shared" si="11"/>
        <v>215535.05</v>
      </c>
      <c r="X7" s="13">
        <f>E7 + I7 + M7 + R7 + V7
+ SUMPRODUCT(
  ('RE Amortization'!$E$2:$E$1401=$A7) *
  ( VALUE('RE Amortization'!$L$2:$L$1401) - VALUE('RE Amortization'!$J$2:$J$1401) )
)
</f>
        <v>215535.05</v>
      </c>
      <c r="Y7" s="13">
        <f>IF(X7="","", X7 / (1 + Assumptions!$B$7) ^ (A7 - 16))
</f>
        <v>181322.1445</v>
      </c>
      <c r="Z7" s="1"/>
      <c r="AA7" s="1"/>
      <c r="AB7" s="1"/>
      <c r="AC7" s="1"/>
    </row>
    <row r="8" ht="15.75" customHeight="1">
      <c r="A8" s="1">
        <v>24.0</v>
      </c>
      <c r="B8" s="11">
        <f t="shared" si="1"/>
        <v>114948.97</v>
      </c>
      <c r="C8" s="11">
        <f t="array" ref="C8">IFERROR(INDEX('Cash Flow (Annual)'!C:C,MATCH(A8,'Cash Flow (Annual)'!A:A,0)) + INDEX('Cash Flow (Annual)'!D:D,MATCH(A8,'Cash Flow (Annual)'!A:A,0)),0)</f>
        <v>59496.39</v>
      </c>
      <c r="D8" s="11">
        <f>ROUND(B8*retGrow,2)</f>
        <v>8046.43</v>
      </c>
      <c r="E8" s="11">
        <f t="shared" si="2"/>
        <v>182491.79</v>
      </c>
      <c r="F8" s="11">
        <f t="shared" si="3"/>
        <v>22504.3</v>
      </c>
      <c r="G8" s="11">
        <f t="array" ref="G8">IFERROR(INDEX('Cash Flow (Annual)'!J:J,MATCH(A8,'Cash Flow (Annual)'!A:A,0)),0)</f>
        <v>7000</v>
      </c>
      <c r="H8" s="11">
        <f>ROUND(F8*retGrow,2)</f>
        <v>1575.3</v>
      </c>
      <c r="I8" s="11">
        <f t="shared" si="4"/>
        <v>31079.6</v>
      </c>
      <c r="J8" s="11">
        <f t="shared" si="5"/>
        <v>39778.36</v>
      </c>
      <c r="K8" s="11">
        <f t="array" ref="K8">IFERROR(INDEX('Cash Flow (Annual)'!$K:$K, MATCH($A8, 'Cash Flow (Annual)'!$A:$A, 0)), 0)
+ IFERROR(INDEX('Cash Flow (Annual)'!$P:$P, MATCH($A8, 'Cash Flow (Annual)'!$A:$A, 0)), 0)</f>
        <v>24248.37</v>
      </c>
      <c r="L8" s="11">
        <f>ROUND( J8*etfGrow, 2 )</f>
        <v>2784.49</v>
      </c>
      <c r="M8" s="11">
        <f t="shared" si="6"/>
        <v>66811.22</v>
      </c>
      <c r="N8" s="11">
        <f t="shared" si="7"/>
        <v>28727.57</v>
      </c>
      <c r="O8" s="11">
        <f t="array" ref="O8">IFERROR(INDEX('Cash Flow (Annual)'!$L:$L, MATCH($A8, 'Cash Flow (Annual)'!$A:$A, 0)), 0)
+ IFERROR(INDEX('Cash Flow (Annual)'!$Q:$Q, MATCH($A8, 'Cash Flow (Annual)'!$A:$A, 0)), 0)</f>
        <v>18186.27</v>
      </c>
      <c r="P8" s="11">
        <f>ROUND(N8*reCashYield,2)</f>
        <v>861.83</v>
      </c>
      <c r="Q8" s="11">
        <f t="shared" si="8"/>
        <v>47775.67</v>
      </c>
      <c r="R8" s="11">
        <f>Q8 - IFERROR( SUMIF('RE Purchases'!$K:$K, A8, 'RE Purchases'!$L:$L), 0 )
</f>
        <v>47775.67</v>
      </c>
      <c r="S8" s="11">
        <f t="shared" si="9"/>
        <v>9575.85</v>
      </c>
      <c r="T8" s="11">
        <f t="array" ref="T8">IFERROR(INDEX('Cash Flow (Annual)'!M:M,MATCH(A8,'Cash Flow (Annual)'!A:A,0)),0)</f>
        <v>6062.09</v>
      </c>
      <c r="U8" s="11">
        <f>ROUND(S8*savGrow,2)</f>
        <v>287.28</v>
      </c>
      <c r="V8" s="11">
        <f t="shared" si="10"/>
        <v>15925.22</v>
      </c>
      <c r="W8" s="11">
        <f t="shared" si="11"/>
        <v>344083.5</v>
      </c>
      <c r="X8" s="13">
        <f>E8 + I8 + M8 + R8 + V8
+ SUMPRODUCT(
  ('RE Amortization'!$E$2:$E$1401=$A8) *
  ( VALUE('RE Amortization'!$L$2:$L$1401) - VALUE('RE Amortization'!$J$2:$J$1401) )
)
</f>
        <v>344083.5</v>
      </c>
      <c r="Y8" s="13">
        <f>IF(X8="","", X8 / (1 + Assumptions!$B$7) ^ (A8 - 16))
</f>
        <v>282405.3527</v>
      </c>
      <c r="Z8" s="1"/>
      <c r="AA8" s="1"/>
      <c r="AB8" s="1"/>
      <c r="AC8" s="1"/>
    </row>
    <row r="9" ht="15.75" customHeight="1">
      <c r="A9" s="1">
        <v>25.0</v>
      </c>
      <c r="B9" s="11">
        <f t="shared" si="1"/>
        <v>182491.79</v>
      </c>
      <c r="C9" s="11">
        <f t="array" ref="C9">IFERROR(INDEX('Cash Flow (Annual)'!C:C,MATCH(A9,'Cash Flow (Annual)'!A:A,0)) + INDEX('Cash Flow (Annual)'!D:D,MATCH(A9,'Cash Flow (Annual)'!A:A,0)),0)</f>
        <v>68000</v>
      </c>
      <c r="D9" s="11">
        <f>ROUND(B9*retGrow,2)</f>
        <v>12774.43</v>
      </c>
      <c r="E9" s="11">
        <f t="shared" si="2"/>
        <v>263266.22</v>
      </c>
      <c r="F9" s="11">
        <f t="shared" si="3"/>
        <v>31079.6</v>
      </c>
      <c r="G9" s="11">
        <f t="array" ref="G9">IFERROR(INDEX('Cash Flow (Annual)'!J:J,MATCH(A9,'Cash Flow (Annual)'!A:A,0)),0)</f>
        <v>7000</v>
      </c>
      <c r="H9" s="11">
        <f>ROUND(F9*retGrow,2)</f>
        <v>2175.57</v>
      </c>
      <c r="I9" s="11">
        <f t="shared" si="4"/>
        <v>40255.17</v>
      </c>
      <c r="J9" s="11">
        <f t="shared" si="5"/>
        <v>66811.22</v>
      </c>
      <c r="K9" s="11">
        <f t="array" ref="K9">IFERROR(INDEX('Cash Flow (Annual)'!$K:$K, MATCH($A9, 'Cash Flow (Annual)'!$A:$A, 0)), 0)
+ IFERROR(INDEX('Cash Flow (Annual)'!$P:$P, MATCH($A9, 'Cash Flow (Annual)'!$A:$A, 0)), 0)</f>
        <v>28262.86</v>
      </c>
      <c r="L9" s="11">
        <f>ROUND( J9*etfGrow, 2 )</f>
        <v>4676.79</v>
      </c>
      <c r="M9" s="11">
        <f t="shared" si="6"/>
        <v>99750.87</v>
      </c>
      <c r="N9" s="11">
        <f t="shared" si="7"/>
        <v>47775.67</v>
      </c>
      <c r="O9" s="11">
        <f t="array" ref="O9">IFERROR(INDEX('Cash Flow (Annual)'!$L:$L, MATCH($A9, 'Cash Flow (Annual)'!$A:$A, 0)), 0)
+ IFERROR(INDEX('Cash Flow (Annual)'!$Q:$Q, MATCH($A9, 'Cash Flow (Annual)'!$A:$A, 0)), 0)</f>
        <v>21197.15</v>
      </c>
      <c r="P9" s="11">
        <f>ROUND(N9*reCashYield,2)</f>
        <v>1433.27</v>
      </c>
      <c r="Q9" s="11">
        <f t="shared" si="8"/>
        <v>70406.09</v>
      </c>
      <c r="R9" s="11">
        <f>Q9 - IFERROR( SUMIF('RE Purchases'!$K:$K, A9, 'RE Purchases'!$L:$L), 0 )
</f>
        <v>70406.09</v>
      </c>
      <c r="S9" s="11">
        <f t="shared" si="9"/>
        <v>15925.22</v>
      </c>
      <c r="T9" s="11">
        <f t="array" ref="T9">IFERROR(INDEX('Cash Flow (Annual)'!M:M,MATCH(A9,'Cash Flow (Annual)'!A:A,0)),0)</f>
        <v>7065.72</v>
      </c>
      <c r="U9" s="11">
        <f>ROUND(S9*savGrow,2)</f>
        <v>477.76</v>
      </c>
      <c r="V9" s="11">
        <f t="shared" si="10"/>
        <v>23468.7</v>
      </c>
      <c r="W9" s="11">
        <f t="shared" si="11"/>
        <v>497147.05</v>
      </c>
      <c r="X9" s="13">
        <f>E9 + I9 + M9 + R9 + V9
+ SUMPRODUCT(
  ('RE Amortization'!$E$2:$E$1401=$A9) *
  ( VALUE('RE Amortization'!$L$2:$L$1401) - VALUE('RE Amortization'!$J$2:$J$1401) )
)
</f>
        <v>497147.05</v>
      </c>
      <c r="Y9" s="13">
        <f>IF(X9="","", X9 / (1 + Assumptions!$B$7) ^ (A9 - 16))
</f>
        <v>398079.7429</v>
      </c>
      <c r="Z9" s="1"/>
      <c r="AA9" s="1"/>
      <c r="AB9" s="1"/>
      <c r="AC9" s="1"/>
    </row>
    <row r="10" ht="15.75" customHeight="1">
      <c r="A10" s="1">
        <v>26.0</v>
      </c>
      <c r="B10" s="11">
        <f t="shared" si="1"/>
        <v>263266.22</v>
      </c>
      <c r="C10" s="11">
        <f t="array" ref="C10">IFERROR(INDEX('Cash Flow (Annual)'!C:C,MATCH(A10,'Cash Flow (Annual)'!A:A,0)) + INDEX('Cash Flow (Annual)'!D:D,MATCH(A10,'Cash Flow (Annual)'!A:A,0)),0)</f>
        <v>68000</v>
      </c>
      <c r="D10" s="11">
        <f>ROUND(B10*retGrow,2)</f>
        <v>18428.64</v>
      </c>
      <c r="E10" s="11">
        <f t="shared" si="2"/>
        <v>349694.86</v>
      </c>
      <c r="F10" s="11">
        <f t="shared" si="3"/>
        <v>40255.17</v>
      </c>
      <c r="G10" s="11">
        <f t="array" ref="G10">IFERROR(INDEX('Cash Flow (Annual)'!J:J,MATCH(A10,'Cash Flow (Annual)'!A:A,0)),0)</f>
        <v>7000</v>
      </c>
      <c r="H10" s="11">
        <f>ROUND(F10*retGrow,2)</f>
        <v>2817.86</v>
      </c>
      <c r="I10" s="11">
        <f t="shared" si="4"/>
        <v>50073.03</v>
      </c>
      <c r="J10" s="11">
        <f t="shared" si="5"/>
        <v>99750.87</v>
      </c>
      <c r="K10" s="11">
        <f t="array" ref="K10">IFERROR(INDEX('Cash Flow (Annual)'!$K:$K, MATCH($A10, 'Cash Flow (Annual)'!$A:$A, 0)), 0)
+ IFERROR(INDEX('Cash Flow (Annual)'!$P:$P, MATCH($A10, 'Cash Flow (Annual)'!$A:$A, 0)), 0)</f>
        <v>46367.58</v>
      </c>
      <c r="L10" s="11">
        <f>ROUND( J10*etfGrow, 2 )</f>
        <v>6982.56</v>
      </c>
      <c r="M10" s="11">
        <f t="shared" si="6"/>
        <v>153101.01</v>
      </c>
      <c r="N10" s="11">
        <f t="shared" si="7"/>
        <v>70406.09</v>
      </c>
      <c r="O10" s="11">
        <f t="array" ref="O10">IFERROR(INDEX('Cash Flow (Annual)'!$L:$L, MATCH($A10, 'Cash Flow (Annual)'!$A:$A, 0)), 0)
+ IFERROR(INDEX('Cash Flow (Annual)'!$Q:$Q, MATCH($A10, 'Cash Flow (Annual)'!$A:$A, 0)), 0)</f>
        <v>34775.69</v>
      </c>
      <c r="P10" s="11">
        <f>ROUND(N10*reCashYield,2)</f>
        <v>2112.18</v>
      </c>
      <c r="Q10" s="11">
        <f t="shared" si="8"/>
        <v>107293.96</v>
      </c>
      <c r="R10" s="11">
        <f>Q10 - IFERROR( SUMIF('RE Purchases'!$K:$K, A10, 'RE Purchases'!$L:$L), 0 )
</f>
        <v>107293.96</v>
      </c>
      <c r="S10" s="11">
        <f t="shared" si="9"/>
        <v>23468.7</v>
      </c>
      <c r="T10" s="11">
        <f t="array" ref="T10">IFERROR(INDEX('Cash Flow (Annual)'!M:M,MATCH(A10,'Cash Flow (Annual)'!A:A,0)),0)</f>
        <v>11591.9</v>
      </c>
      <c r="U10" s="11">
        <f>ROUND(S10*savGrow,2)</f>
        <v>704.06</v>
      </c>
      <c r="V10" s="11">
        <f t="shared" si="10"/>
        <v>35764.66</v>
      </c>
      <c r="W10" s="11">
        <f t="shared" si="11"/>
        <v>695927.52</v>
      </c>
      <c r="X10" s="13">
        <f>E10 + I10 + M10 + R10 + V10
+ SUMPRODUCT(
  ('RE Amortization'!$E$2:$E$1401=$A10) *
  ( VALUE('RE Amortization'!$L$2:$L$1401) - VALUE('RE Amortization'!$J$2:$J$1401) )
)
</f>
        <v>695927.52</v>
      </c>
      <c r="Y10" s="13">
        <f>IF(X10="","", X10 / (1 + Assumptions!$B$7) ^ (A10 - 16))
</f>
        <v>543657.4663</v>
      </c>
      <c r="Z10" s="1"/>
      <c r="AA10" s="1"/>
      <c r="AB10" s="1"/>
      <c r="AC10" s="1"/>
    </row>
    <row r="11" ht="15.75" customHeight="1">
      <c r="A11" s="1">
        <v>27.0</v>
      </c>
      <c r="B11" s="11">
        <f t="shared" si="1"/>
        <v>349694.86</v>
      </c>
      <c r="C11" s="11">
        <f t="array" ref="C11">IFERROR(INDEX('Cash Flow (Annual)'!C:C,MATCH(A11,'Cash Flow (Annual)'!A:A,0)) + INDEX('Cash Flow (Annual)'!D:D,MATCH(A11,'Cash Flow (Annual)'!A:A,0)),0)</f>
        <v>68000</v>
      </c>
      <c r="D11" s="11">
        <f>ROUND(B11*retGrow,2)</f>
        <v>24478.64</v>
      </c>
      <c r="E11" s="11">
        <f t="shared" si="2"/>
        <v>442173.5</v>
      </c>
      <c r="F11" s="11">
        <f t="shared" si="3"/>
        <v>50073.03</v>
      </c>
      <c r="G11" s="11">
        <f t="array" ref="G11">IFERROR(INDEX('Cash Flow (Annual)'!J:J,MATCH(A11,'Cash Flow (Annual)'!A:A,0)),0)</f>
        <v>7000</v>
      </c>
      <c r="H11" s="11">
        <f>ROUND(F11*retGrow,2)</f>
        <v>3505.11</v>
      </c>
      <c r="I11" s="11">
        <f t="shared" si="4"/>
        <v>60578.14</v>
      </c>
      <c r="J11" s="11">
        <f t="shared" si="5"/>
        <v>153101.01</v>
      </c>
      <c r="K11" s="11">
        <f t="array" ref="K11">IFERROR(INDEX('Cash Flow (Annual)'!$K:$K, MATCH($A11, 'Cash Flow (Annual)'!$A:$A, 0)), 0)
+ IFERROR(INDEX('Cash Flow (Annual)'!$P:$P, MATCH($A11, 'Cash Flow (Annual)'!$A:$A, 0)), 0)</f>
        <v>48468.14</v>
      </c>
      <c r="L11" s="11">
        <f>ROUND( J11*etfGrow, 2 )</f>
        <v>10717.07</v>
      </c>
      <c r="M11" s="11">
        <f t="shared" si="6"/>
        <v>212286.22</v>
      </c>
      <c r="N11" s="11">
        <f t="shared" si="7"/>
        <v>107293.96</v>
      </c>
      <c r="O11" s="11">
        <f t="array" ref="O11">IFERROR(INDEX('Cash Flow (Annual)'!$L:$L, MATCH($A11, 'Cash Flow (Annual)'!$A:$A, 0)), 0)
+ IFERROR(INDEX('Cash Flow (Annual)'!$Q:$Q, MATCH($A11, 'Cash Flow (Annual)'!$A:$A, 0)), 0)</f>
        <v>36351.1</v>
      </c>
      <c r="P11" s="11">
        <f>ROUND(N11*reCashYield,2)</f>
        <v>3218.82</v>
      </c>
      <c r="Q11" s="11">
        <f t="shared" si="8"/>
        <v>146863.88</v>
      </c>
      <c r="R11" s="11">
        <f>Q11 - IFERROR( SUMIF('RE Purchases'!$K:$K, A11, 'RE Purchases'!$L:$L), 0 )
</f>
        <v>146863.88</v>
      </c>
      <c r="S11" s="11">
        <f t="shared" si="9"/>
        <v>35764.66</v>
      </c>
      <c r="T11" s="11">
        <f t="array" ref="T11">IFERROR(INDEX('Cash Flow (Annual)'!M:M,MATCH(A11,'Cash Flow (Annual)'!A:A,0)),0)</f>
        <v>12117.03</v>
      </c>
      <c r="U11" s="11">
        <f>ROUND(S11*savGrow,2)</f>
        <v>1072.94</v>
      </c>
      <c r="V11" s="11">
        <f t="shared" si="10"/>
        <v>48954.63</v>
      </c>
      <c r="W11" s="11">
        <f t="shared" si="11"/>
        <v>910856.37</v>
      </c>
      <c r="X11" s="13">
        <f>E11 + I11 + M11 + R11 + V11
+ SUMPRODUCT(
  ('RE Amortization'!$E$2:$E$1401=$A11) *
  ( VALUE('RE Amortization'!$L$2:$L$1401) - VALUE('RE Amortization'!$J$2:$J$1401) )
)
</f>
        <v>910856.37</v>
      </c>
      <c r="Y11" s="13">
        <f>IF(X11="","", X11 / (1 + Assumptions!$B$7) ^ (A11 - 16))
</f>
        <v>694204.4297</v>
      </c>
      <c r="Z11" s="1"/>
      <c r="AA11" s="1"/>
      <c r="AB11" s="1"/>
      <c r="AC11" s="1"/>
    </row>
    <row r="12" ht="15.75" customHeight="1">
      <c r="A12" s="1">
        <v>28.0</v>
      </c>
      <c r="B12" s="11">
        <f t="shared" si="1"/>
        <v>442173.5</v>
      </c>
      <c r="C12" s="11">
        <f t="array" ref="C12">IFERROR(INDEX('Cash Flow (Annual)'!C:C,MATCH(A12,'Cash Flow (Annual)'!A:A,0)) + INDEX('Cash Flow (Annual)'!D:D,MATCH(A12,'Cash Flow (Annual)'!A:A,0)),0)</f>
        <v>68000</v>
      </c>
      <c r="D12" s="11">
        <f>ROUND(B12*retGrow,2)</f>
        <v>30952.15</v>
      </c>
      <c r="E12" s="11">
        <f t="shared" si="2"/>
        <v>541125.65</v>
      </c>
      <c r="F12" s="11">
        <f t="shared" si="3"/>
        <v>60578.14</v>
      </c>
      <c r="G12" s="11">
        <f t="array" ref="G12">IFERROR(INDEX('Cash Flow (Annual)'!J:J,MATCH(A12,'Cash Flow (Annual)'!A:A,0)),0)</f>
        <v>7000</v>
      </c>
      <c r="H12" s="11">
        <f>ROUND(F12*retGrow,2)</f>
        <v>4240.47</v>
      </c>
      <c r="I12" s="11">
        <f t="shared" si="4"/>
        <v>71818.61</v>
      </c>
      <c r="J12" s="11">
        <f t="shared" si="5"/>
        <v>212286.22</v>
      </c>
      <c r="K12" s="11">
        <f t="array" ref="K12">IFERROR(INDEX('Cash Flow (Annual)'!$K:$K, MATCH($A12, 'Cash Flow (Annual)'!$A:$A, 0)), 0)
+ IFERROR(INDEX('Cash Flow (Annual)'!$P:$P, MATCH($A12, 'Cash Flow (Annual)'!$A:$A, 0)), 0)</f>
        <v>50557.88</v>
      </c>
      <c r="L12" s="11">
        <f>ROUND( J12*etfGrow, 2 )</f>
        <v>14860.04</v>
      </c>
      <c r="M12" s="11">
        <f t="shared" si="6"/>
        <v>277704.14</v>
      </c>
      <c r="N12" s="11">
        <f t="shared" si="7"/>
        <v>146863.88</v>
      </c>
      <c r="O12" s="11">
        <f t="array" ref="O12">IFERROR(INDEX('Cash Flow (Annual)'!$L:$L, MATCH($A12, 'Cash Flow (Annual)'!$A:$A, 0)), 0)
+ IFERROR(INDEX('Cash Flow (Annual)'!$Q:$Q, MATCH($A12, 'Cash Flow (Annual)'!$A:$A, 0)), 0)</f>
        <v>37918.41</v>
      </c>
      <c r="P12" s="11">
        <f>ROUND(N12*reCashYield,2)</f>
        <v>4405.92</v>
      </c>
      <c r="Q12" s="11">
        <f t="shared" si="8"/>
        <v>189188.21</v>
      </c>
      <c r="R12" s="11">
        <f>Q12 - IFERROR( SUMIF('RE Purchases'!$K:$K, A12, 'RE Purchases'!$L:$L), 0 )
</f>
        <v>76599.29516</v>
      </c>
      <c r="S12" s="11">
        <f t="shared" si="9"/>
        <v>48954.63</v>
      </c>
      <c r="T12" s="11">
        <f t="array" ref="T12">IFERROR(INDEX('Cash Flow (Annual)'!M:M,MATCH(A12,'Cash Flow (Annual)'!A:A,0)),0)</f>
        <v>12639.47</v>
      </c>
      <c r="U12" s="11">
        <f>ROUND(S12*savGrow,2)</f>
        <v>1468.64</v>
      </c>
      <c r="V12" s="11">
        <f t="shared" si="10"/>
        <v>63062.74</v>
      </c>
      <c r="W12" s="11">
        <f t="shared" si="11"/>
        <v>1030310.435</v>
      </c>
      <c r="X12" s="13">
        <f>E12 + I12 + M12 + R12 + V12
+ SUMPRODUCT(
  ('RE Amortization'!$E$2:$E$1401=$A12) *
  ( VALUE('RE Amortization'!$L$2:$L$1401) - VALUE('RE Amortization'!$J$2:$J$1401) )
)
</f>
        <v>1115872.362</v>
      </c>
      <c r="Y12" s="13">
        <f>IF(X12="","", X12 / (1 + Assumptions!$B$7) ^ (A12 - 16))
</f>
        <v>829713.462</v>
      </c>
      <c r="Z12" s="1"/>
      <c r="AA12" s="1"/>
      <c r="AB12" s="1"/>
      <c r="AC12" s="1"/>
    </row>
    <row r="13" ht="15.75" customHeight="1">
      <c r="A13" s="1">
        <v>29.0</v>
      </c>
      <c r="B13" s="11">
        <f t="shared" si="1"/>
        <v>541125.65</v>
      </c>
      <c r="C13" s="11">
        <f t="array" ref="C13">IFERROR(INDEX('Cash Flow (Annual)'!C:C,MATCH(A13,'Cash Flow (Annual)'!A:A,0)) + INDEX('Cash Flow (Annual)'!D:D,MATCH(A13,'Cash Flow (Annual)'!A:A,0)),0)</f>
        <v>68000</v>
      </c>
      <c r="D13" s="11">
        <f>ROUND(B13*retGrow,2)</f>
        <v>37878.8</v>
      </c>
      <c r="E13" s="11">
        <f t="shared" si="2"/>
        <v>647004.45</v>
      </c>
      <c r="F13" s="11">
        <f t="shared" si="3"/>
        <v>71818.61</v>
      </c>
      <c r="G13" s="11">
        <f t="array" ref="G13">IFERROR(INDEX('Cash Flow (Annual)'!J:J,MATCH(A13,'Cash Flow (Annual)'!A:A,0)),0)</f>
        <v>7000</v>
      </c>
      <c r="H13" s="11">
        <f>ROUND(F13*retGrow,2)</f>
        <v>5027.3</v>
      </c>
      <c r="I13" s="11">
        <f t="shared" si="4"/>
        <v>83845.91</v>
      </c>
      <c r="J13" s="11">
        <f t="shared" si="5"/>
        <v>277704.14</v>
      </c>
      <c r="K13" s="11">
        <f t="array" ref="K13">IFERROR(INDEX('Cash Flow (Annual)'!$K:$K, MATCH($A13, 'Cash Flow (Annual)'!$A:$A, 0)), 0)
+ IFERROR(INDEX('Cash Flow (Annual)'!$P:$P, MATCH($A13, 'Cash Flow (Annual)'!$A:$A, 0)), 0)</f>
        <v>61738.23</v>
      </c>
      <c r="L13" s="11">
        <f>ROUND( J13*etfGrow, 2 )</f>
        <v>19439.29</v>
      </c>
      <c r="M13" s="11">
        <f t="shared" si="6"/>
        <v>358881.66</v>
      </c>
      <c r="N13" s="11">
        <f t="shared" si="7"/>
        <v>76599.29516</v>
      </c>
      <c r="O13" s="11">
        <f t="array" ref="O13">IFERROR(INDEX('Cash Flow (Annual)'!$L:$L, MATCH($A13, 'Cash Flow (Annual)'!$A:$A, 0)), 0)
+ IFERROR(INDEX('Cash Flow (Annual)'!$Q:$Q, MATCH($A13, 'Cash Flow (Annual)'!$A:$A, 0)), 0)</f>
        <v>46303.67</v>
      </c>
      <c r="P13" s="11">
        <f>ROUND(N13*reCashYield,2)</f>
        <v>2297.98</v>
      </c>
      <c r="Q13" s="11">
        <f t="shared" si="8"/>
        <v>125200.95</v>
      </c>
      <c r="R13" s="11">
        <f>Q13 - IFERROR( SUMIF('RE Purchases'!$K:$K, A13, 'RE Purchases'!$L:$L), 0 )
</f>
        <v>125200.95</v>
      </c>
      <c r="S13" s="11">
        <f t="shared" si="9"/>
        <v>63062.74</v>
      </c>
      <c r="T13" s="11">
        <f t="array" ref="T13">IFERROR(INDEX('Cash Flow (Annual)'!M:M,MATCH(A13,'Cash Flow (Annual)'!A:A,0)),0)</f>
        <v>15434.56</v>
      </c>
      <c r="U13" s="11">
        <f>ROUND(S13*savGrow,2)</f>
        <v>1891.88</v>
      </c>
      <c r="V13" s="11">
        <f t="shared" si="10"/>
        <v>80389.18</v>
      </c>
      <c r="W13" s="11">
        <f t="shared" si="11"/>
        <v>1295322.15</v>
      </c>
      <c r="X13" s="13">
        <f>E13 + I13 + M13 + R13 + V13
+ SUMPRODUCT(
  ('RE Amortization'!$E$2:$E$1401=$A13) *
  ( VALUE('RE Amortization'!$L$2:$L$1401) - VALUE('RE Amortization'!$J$2:$J$1401) )
)
</f>
        <v>1397091.702</v>
      </c>
      <c r="Y13" s="13">
        <f>IF(X13="","", X13 / (1 + Assumptions!$B$7) ^ (A13 - 16))
</f>
        <v>1013478.787</v>
      </c>
      <c r="Z13" s="1"/>
      <c r="AA13" s="1"/>
      <c r="AB13" s="1"/>
      <c r="AC13" s="1"/>
    </row>
    <row r="14" ht="15.75" customHeight="1">
      <c r="A14" s="1">
        <v>30.0</v>
      </c>
      <c r="B14" s="11">
        <f t="shared" si="1"/>
        <v>647004.45</v>
      </c>
      <c r="C14" s="11">
        <f t="array" ref="C14">IFERROR(INDEX('Cash Flow (Annual)'!C:C,MATCH(A14,'Cash Flow (Annual)'!A:A,0)) + INDEX('Cash Flow (Annual)'!D:D,MATCH(A14,'Cash Flow (Annual)'!A:A,0)),0)</f>
        <v>68000</v>
      </c>
      <c r="D14" s="11">
        <f>ROUND(B14*retGrow,2)</f>
        <v>45290.31</v>
      </c>
      <c r="E14" s="11">
        <f t="shared" si="2"/>
        <v>760294.76</v>
      </c>
      <c r="F14" s="11">
        <f t="shared" si="3"/>
        <v>83845.91</v>
      </c>
      <c r="G14" s="11">
        <f t="array" ref="G14">IFERROR(INDEX('Cash Flow (Annual)'!J:J,MATCH(A14,'Cash Flow (Annual)'!A:A,0)),0)</f>
        <v>7000</v>
      </c>
      <c r="H14" s="11">
        <f>ROUND(F14*retGrow,2)</f>
        <v>5869.21</v>
      </c>
      <c r="I14" s="11">
        <f t="shared" si="4"/>
        <v>96715.12</v>
      </c>
      <c r="J14" s="11">
        <f t="shared" si="5"/>
        <v>358881.66</v>
      </c>
      <c r="K14" s="11">
        <f t="array" ref="K14">IFERROR(INDEX('Cash Flow (Annual)'!$K:$K, MATCH($A14, 'Cash Flow (Annual)'!$A:$A, 0)), 0)
+ IFERROR(INDEX('Cash Flow (Annual)'!$P:$P, MATCH($A14, 'Cash Flow (Annual)'!$A:$A, 0)), 0)</f>
        <v>70025.09</v>
      </c>
      <c r="L14" s="11">
        <f>ROUND( J14*etfGrow, 2 )</f>
        <v>25121.72</v>
      </c>
      <c r="M14" s="11">
        <f t="shared" si="6"/>
        <v>454028.47</v>
      </c>
      <c r="N14" s="11">
        <f t="shared" si="7"/>
        <v>125200.95</v>
      </c>
      <c r="O14" s="11">
        <f t="array" ref="O14">IFERROR(INDEX('Cash Flow (Annual)'!$L:$L, MATCH($A14, 'Cash Flow (Annual)'!$A:$A, 0)), 0)
+ IFERROR(INDEX('Cash Flow (Annual)'!$Q:$Q, MATCH($A14, 'Cash Flow (Annual)'!$A:$A, 0)), 0)</f>
        <v>52518.82</v>
      </c>
      <c r="P14" s="11">
        <f>ROUND(N14*reCashYield,2)</f>
        <v>3756.03</v>
      </c>
      <c r="Q14" s="11">
        <f t="shared" si="8"/>
        <v>181475.8</v>
      </c>
      <c r="R14" s="11">
        <f>Q14 - IFERROR( SUMIF('RE Purchases'!$K:$K, A14, 'RE Purchases'!$L:$L), 0 )
</f>
        <v>63187.07134</v>
      </c>
      <c r="S14" s="11">
        <f t="shared" si="9"/>
        <v>80389.18</v>
      </c>
      <c r="T14" s="11">
        <f t="array" ref="T14">IFERROR(INDEX('Cash Flow (Annual)'!M:M,MATCH(A14,'Cash Flow (Annual)'!A:A,0)),0)</f>
        <v>17506.27</v>
      </c>
      <c r="U14" s="11">
        <f>ROUND(S14*savGrow,2)</f>
        <v>2411.68</v>
      </c>
      <c r="V14" s="11">
        <f t="shared" si="10"/>
        <v>100307.13</v>
      </c>
      <c r="W14" s="11">
        <f t="shared" si="11"/>
        <v>1474532.551</v>
      </c>
      <c r="X14" s="13">
        <f>E14 + I14 + M14 + R14 + V14
+ SUMPRODUCT(
  ('RE Amortization'!$E$2:$E$1401=$A14) *
  ( VALUE('RE Amortization'!$L$2:$L$1401) - VALUE('RE Amortization'!$J$2:$J$1401) )
)
</f>
        <v>1683131.414</v>
      </c>
      <c r="Y14" s="13">
        <f>IF(X14="","", X14 / (1 + Assumptions!$B$7) ^ (A14 - 16))
</f>
        <v>1191197.875</v>
      </c>
      <c r="Z14" s="1"/>
      <c r="AA14" s="1"/>
      <c r="AB14" s="1"/>
      <c r="AC14" s="1"/>
    </row>
    <row r="15" ht="15.75" customHeight="1">
      <c r="A15" s="1">
        <v>31.0</v>
      </c>
      <c r="B15" s="11">
        <f t="shared" si="1"/>
        <v>760294.76</v>
      </c>
      <c r="C15" s="11">
        <f t="array" ref="C15">IFERROR(INDEX('Cash Flow (Annual)'!C:C,MATCH(A15,'Cash Flow (Annual)'!A:A,0)) + INDEX('Cash Flow (Annual)'!D:D,MATCH(A15,'Cash Flow (Annual)'!A:A,0)),0)</f>
        <v>68000</v>
      </c>
      <c r="D15" s="11">
        <f>ROUND(B15*retGrow,2)</f>
        <v>53220.63</v>
      </c>
      <c r="E15" s="11">
        <f t="shared" si="2"/>
        <v>881515.39</v>
      </c>
      <c r="F15" s="11">
        <f t="shared" si="3"/>
        <v>96715.12</v>
      </c>
      <c r="G15" s="11">
        <f t="array" ref="G15">IFERROR(INDEX('Cash Flow (Annual)'!J:J,MATCH(A15,'Cash Flow (Annual)'!A:A,0)),0)</f>
        <v>7000</v>
      </c>
      <c r="H15" s="11">
        <f>ROUND(F15*retGrow,2)</f>
        <v>6770.06</v>
      </c>
      <c r="I15" s="11">
        <f t="shared" si="4"/>
        <v>110485.18</v>
      </c>
      <c r="J15" s="11">
        <f t="shared" si="5"/>
        <v>454028.47</v>
      </c>
      <c r="K15" s="11">
        <f t="array" ref="K15">IFERROR(INDEX('Cash Flow (Annual)'!$K:$K, MATCH($A15, 'Cash Flow (Annual)'!$A:$A, 0)), 0)
+ IFERROR(INDEX('Cash Flow (Annual)'!$P:$P, MATCH($A15, 'Cash Flow (Annual)'!$A:$A, 0)), 0)</f>
        <v>72204.55</v>
      </c>
      <c r="L15" s="11">
        <f>ROUND( J15*etfGrow, 2 )</f>
        <v>31781.99</v>
      </c>
      <c r="M15" s="11">
        <f t="shared" si="6"/>
        <v>558015.01</v>
      </c>
      <c r="N15" s="11">
        <f t="shared" si="7"/>
        <v>63187.07134</v>
      </c>
      <c r="O15" s="11">
        <f t="array" ref="O15">IFERROR(INDEX('Cash Flow (Annual)'!$L:$L, MATCH($A15, 'Cash Flow (Annual)'!$A:$A, 0)), 0)
+ IFERROR(INDEX('Cash Flow (Annual)'!$Q:$Q, MATCH($A15, 'Cash Flow (Annual)'!$A:$A, 0)), 0)</f>
        <v>54153.41</v>
      </c>
      <c r="P15" s="11">
        <f>ROUND(N15*reCashYield,2)</f>
        <v>1895.61</v>
      </c>
      <c r="Q15" s="11">
        <f t="shared" si="8"/>
        <v>119236.09</v>
      </c>
      <c r="R15" s="11">
        <f>Q15 - IFERROR( SUMIF('RE Purchases'!$K:$K, A15, 'RE Purchases'!$L:$L), 0 )
</f>
        <v>119236.09</v>
      </c>
      <c r="S15" s="11">
        <f t="shared" si="9"/>
        <v>100307.13</v>
      </c>
      <c r="T15" s="11">
        <f t="array" ref="T15">IFERROR(INDEX('Cash Flow (Annual)'!M:M,MATCH(A15,'Cash Flow (Annual)'!A:A,0)),0)</f>
        <v>18051.14</v>
      </c>
      <c r="U15" s="11">
        <f>ROUND(S15*savGrow,2)</f>
        <v>3009.21</v>
      </c>
      <c r="V15" s="11">
        <f t="shared" si="10"/>
        <v>121367.48</v>
      </c>
      <c r="W15" s="11">
        <f t="shared" si="11"/>
        <v>1790619.15</v>
      </c>
      <c r="X15" s="13">
        <f>E15 + I15 + M15 + R15 + V15
+ SUMPRODUCT(
  ('RE Amortization'!$E$2:$E$1401=$A15) *
  ( VALUE('RE Amortization'!$L$2:$L$1401) - VALUE('RE Amortization'!$J$2:$J$1401) )
)
</f>
        <v>2033944.642</v>
      </c>
      <c r="Y15" s="13">
        <f>IF(X15="","", X15 / (1 + Assumptions!$B$7) ^ (A15 - 16))
</f>
        <v>1404368.719</v>
      </c>
      <c r="Z15" s="1"/>
      <c r="AA15" s="1"/>
      <c r="AB15" s="1"/>
      <c r="AC15" s="1"/>
    </row>
    <row r="16" ht="15.75" customHeight="1">
      <c r="A16" s="1">
        <v>32.0</v>
      </c>
      <c r="B16" s="11">
        <f t="shared" si="1"/>
        <v>881515.39</v>
      </c>
      <c r="C16" s="11">
        <f t="array" ref="C16">IFERROR(INDEX('Cash Flow (Annual)'!C:C,MATCH(A16,'Cash Flow (Annual)'!A:A,0)) + INDEX('Cash Flow (Annual)'!D:D,MATCH(A16,'Cash Flow (Annual)'!A:A,0)),0)</f>
        <v>68000</v>
      </c>
      <c r="D16" s="11">
        <f>ROUND(B16*retGrow,2)</f>
        <v>61706.08</v>
      </c>
      <c r="E16" s="11">
        <f t="shared" si="2"/>
        <v>1011221.47</v>
      </c>
      <c r="F16" s="11">
        <f t="shared" si="3"/>
        <v>110485.18</v>
      </c>
      <c r="G16" s="11">
        <f t="array" ref="G16">IFERROR(INDEX('Cash Flow (Annual)'!J:J,MATCH(A16,'Cash Flow (Annual)'!A:A,0)),0)</f>
        <v>7000</v>
      </c>
      <c r="H16" s="11">
        <f>ROUND(F16*retGrow,2)</f>
        <v>7733.96</v>
      </c>
      <c r="I16" s="11">
        <f t="shared" si="4"/>
        <v>125219.14</v>
      </c>
      <c r="J16" s="11">
        <f t="shared" si="5"/>
        <v>558015.01</v>
      </c>
      <c r="K16" s="11">
        <f t="array" ref="K16">IFERROR(INDEX('Cash Flow (Annual)'!$K:$K, MATCH($A16, 'Cash Flow (Annual)'!$A:$A, 0)), 0)
+ IFERROR(INDEX('Cash Flow (Annual)'!$P:$P, MATCH($A16, 'Cash Flow (Annual)'!$A:$A, 0)), 0)</f>
        <v>72715.5</v>
      </c>
      <c r="L16" s="11">
        <f>ROUND( J16*etfGrow, 2 )</f>
        <v>39061.05</v>
      </c>
      <c r="M16" s="11">
        <f t="shared" si="6"/>
        <v>669791.56</v>
      </c>
      <c r="N16" s="11">
        <f t="shared" si="7"/>
        <v>119236.09</v>
      </c>
      <c r="O16" s="11">
        <f t="array" ref="O16">IFERROR(INDEX('Cash Flow (Annual)'!$L:$L, MATCH($A16, 'Cash Flow (Annual)'!$A:$A, 0)), 0)
+ IFERROR(INDEX('Cash Flow (Annual)'!$Q:$Q, MATCH($A16, 'Cash Flow (Annual)'!$A:$A, 0)), 0)</f>
        <v>54536.62</v>
      </c>
      <c r="P16" s="11">
        <f>ROUND(N16*reCashYield,2)</f>
        <v>3577.08</v>
      </c>
      <c r="Q16" s="11">
        <f t="shared" si="8"/>
        <v>177349.79</v>
      </c>
      <c r="R16" s="11">
        <f>Q16 - IFERROR( SUMIF('RE Purchases'!$K:$K, A16, 'RE Purchases'!$L:$L), 0 )
</f>
        <v>177349.79</v>
      </c>
      <c r="S16" s="11">
        <f t="shared" si="9"/>
        <v>121367.48</v>
      </c>
      <c r="T16" s="11">
        <f t="array" ref="T16">IFERROR(INDEX('Cash Flow (Annual)'!M:M,MATCH(A16,'Cash Flow (Annual)'!A:A,0)),0)</f>
        <v>18178.87</v>
      </c>
      <c r="U16" s="11">
        <f>ROUND(S16*savGrow,2)</f>
        <v>3641.02</v>
      </c>
      <c r="V16" s="11">
        <f t="shared" si="10"/>
        <v>143187.37</v>
      </c>
      <c r="W16" s="11">
        <f t="shared" si="11"/>
        <v>2126769.33</v>
      </c>
      <c r="X16" s="13">
        <f>E16 + I16 + M16 + R16 + V16
+ SUMPRODUCT(
  ('RE Amortization'!$E$2:$E$1401=$A16) *
  ( VALUE('RE Amortization'!$L$2:$L$1401) - VALUE('RE Amortization'!$J$2:$J$1401) )
)
</f>
        <v>2406385.388</v>
      </c>
      <c r="Y16" s="13">
        <f>IF(X16="","", X16 / (1 + Assumptions!$B$7) ^ (A16 - 16))
</f>
        <v>1621001.197</v>
      </c>
      <c r="Z16" s="1"/>
      <c r="AA16" s="1"/>
      <c r="AB16" s="1"/>
      <c r="AC16" s="1"/>
    </row>
    <row r="17" ht="15.75" customHeight="1">
      <c r="A17" s="1">
        <v>33.0</v>
      </c>
      <c r="B17" s="11">
        <f t="shared" si="1"/>
        <v>1011221.47</v>
      </c>
      <c r="C17" s="11">
        <f t="array" ref="C17">IFERROR(INDEX('Cash Flow (Annual)'!C:C,MATCH(A17,'Cash Flow (Annual)'!A:A,0)) + INDEX('Cash Flow (Annual)'!D:D,MATCH(A17,'Cash Flow (Annual)'!A:A,0)),0)</f>
        <v>68000</v>
      </c>
      <c r="D17" s="11">
        <f>ROUND(B17*retGrow,2)</f>
        <v>70785.5</v>
      </c>
      <c r="E17" s="11">
        <f t="shared" si="2"/>
        <v>1150006.97</v>
      </c>
      <c r="F17" s="11">
        <f t="shared" si="3"/>
        <v>125219.14</v>
      </c>
      <c r="G17" s="11">
        <f t="array" ref="G17">IFERROR(INDEX('Cash Flow (Annual)'!J:J,MATCH(A17,'Cash Flow (Annual)'!A:A,0)),0)</f>
        <v>7000</v>
      </c>
      <c r="H17" s="11">
        <f>ROUND(F17*retGrow,2)</f>
        <v>8765.34</v>
      </c>
      <c r="I17" s="11">
        <f t="shared" si="4"/>
        <v>140984.48</v>
      </c>
      <c r="J17" s="11">
        <f t="shared" si="5"/>
        <v>669791.56</v>
      </c>
      <c r="K17" s="11">
        <f t="array" ref="K17">IFERROR(INDEX('Cash Flow (Annual)'!$K:$K, MATCH($A17, 'Cash Flow (Annual)'!$A:$A, 0)), 0)
+ IFERROR(INDEX('Cash Flow (Annual)'!$P:$P, MATCH($A17, 'Cash Flow (Annual)'!$A:$A, 0)), 0)</f>
        <v>74930.4</v>
      </c>
      <c r="L17" s="11">
        <f>ROUND( J17*etfGrow, 2 )</f>
        <v>46885.41</v>
      </c>
      <c r="M17" s="11">
        <f t="shared" si="6"/>
        <v>791607.37</v>
      </c>
      <c r="N17" s="11">
        <f t="shared" si="7"/>
        <v>177349.79</v>
      </c>
      <c r="O17" s="11">
        <f t="array" ref="O17">IFERROR(INDEX('Cash Flow (Annual)'!$L:$L, MATCH($A17, 'Cash Flow (Annual)'!$A:$A, 0)), 0)
+ IFERROR(INDEX('Cash Flow (Annual)'!$Q:$Q, MATCH($A17, 'Cash Flow (Annual)'!$A:$A, 0)), 0)</f>
        <v>56197.8</v>
      </c>
      <c r="P17" s="11">
        <f>ROUND(N17*reCashYield,2)</f>
        <v>5320.49</v>
      </c>
      <c r="Q17" s="11">
        <f t="shared" si="8"/>
        <v>238868.08</v>
      </c>
      <c r="R17" s="11">
        <f>Q17 - IFERROR( SUMIF('RE Purchases'!$K:$K, A17, 'RE Purchases'!$L:$L), 0 )
</f>
        <v>111484.0571</v>
      </c>
      <c r="S17" s="11">
        <f t="shared" si="9"/>
        <v>143187.37</v>
      </c>
      <c r="T17" s="11">
        <f t="array" ref="T17">IFERROR(INDEX('Cash Flow (Annual)'!M:M,MATCH(A17,'Cash Flow (Annual)'!A:A,0)),0)</f>
        <v>18732.6</v>
      </c>
      <c r="U17" s="11">
        <f>ROUND(S17*savGrow,2)</f>
        <v>4295.62</v>
      </c>
      <c r="V17" s="11">
        <f t="shared" si="10"/>
        <v>166215.59</v>
      </c>
      <c r="W17" s="11">
        <f t="shared" si="11"/>
        <v>2360298.467</v>
      </c>
      <c r="X17" s="13">
        <f>E17 + I17 + M17 + R17 + V17
+ SUMPRODUCT(
  ('RE Amortization'!$E$2:$E$1401=$A17) *
  ( VALUE('RE Amortization'!$L$2:$L$1401) - VALUE('RE Amortization'!$J$2:$J$1401) )
)
</f>
        <v>2774648.778</v>
      </c>
      <c r="Y17" s="13">
        <f>IF(X17="","", X17 / (1 + Assumptions!$B$7) ^ (A17 - 16))
</f>
        <v>1823485.462</v>
      </c>
      <c r="Z17" s="1"/>
      <c r="AA17" s="1"/>
      <c r="AB17" s="1"/>
      <c r="AC17" s="1"/>
    </row>
    <row r="18" ht="15.75" customHeight="1">
      <c r="A18" s="1">
        <v>34.0</v>
      </c>
      <c r="B18" s="11">
        <f t="shared" si="1"/>
        <v>1150006.97</v>
      </c>
      <c r="C18" s="11">
        <f t="array" ref="C18">IFERROR(INDEX('Cash Flow (Annual)'!C:C,MATCH(A18,'Cash Flow (Annual)'!A:A,0)) + INDEX('Cash Flow (Annual)'!D:D,MATCH(A18,'Cash Flow (Annual)'!A:A,0)),0)</f>
        <v>68000</v>
      </c>
      <c r="D18" s="11">
        <f>ROUND(B18*retGrow,2)</f>
        <v>80500.49</v>
      </c>
      <c r="E18" s="11">
        <f t="shared" si="2"/>
        <v>1298507.46</v>
      </c>
      <c r="F18" s="11">
        <f t="shared" si="3"/>
        <v>140984.48</v>
      </c>
      <c r="G18" s="11">
        <f t="array" ref="G18">IFERROR(INDEX('Cash Flow (Annual)'!J:J,MATCH(A18,'Cash Flow (Annual)'!A:A,0)),0)</f>
        <v>7000</v>
      </c>
      <c r="H18" s="11">
        <f>ROUND(F18*retGrow,2)</f>
        <v>9868.91</v>
      </c>
      <c r="I18" s="11">
        <f t="shared" si="4"/>
        <v>157853.39</v>
      </c>
      <c r="J18" s="11">
        <f t="shared" si="5"/>
        <v>791607.37</v>
      </c>
      <c r="K18" s="11">
        <f t="array" ref="K18">IFERROR(INDEX('Cash Flow (Annual)'!$K:$K, MATCH($A18, 'Cash Flow (Annual)'!$A:$A, 0)), 0)
+ IFERROR(INDEX('Cash Flow (Annual)'!$P:$P, MATCH($A18, 'Cash Flow (Annual)'!$A:$A, 0)), 0)</f>
        <v>77225.5</v>
      </c>
      <c r="L18" s="11">
        <f>ROUND( J18*etfGrow, 2 )</f>
        <v>55412.52</v>
      </c>
      <c r="M18" s="11">
        <f t="shared" si="6"/>
        <v>924245.39</v>
      </c>
      <c r="N18" s="11">
        <f t="shared" si="7"/>
        <v>111484.0571</v>
      </c>
      <c r="O18" s="11">
        <f t="array" ref="O18">IFERROR(INDEX('Cash Flow (Annual)'!$L:$L, MATCH($A18, 'Cash Flow (Annual)'!$A:$A, 0)), 0)
+ IFERROR(INDEX('Cash Flow (Annual)'!$Q:$Q, MATCH($A18, 'Cash Flow (Annual)'!$A:$A, 0)), 0)</f>
        <v>57919.13</v>
      </c>
      <c r="P18" s="11">
        <f>ROUND(N18*reCashYield,2)</f>
        <v>3344.52</v>
      </c>
      <c r="Q18" s="11">
        <f t="shared" si="8"/>
        <v>172747.71</v>
      </c>
      <c r="R18" s="11">
        <f>Q18 - IFERROR( SUMIF('RE Purchases'!$K:$K, A18, 'RE Purchases'!$L:$L), 0 )
</f>
        <v>172747.71</v>
      </c>
      <c r="S18" s="11">
        <f t="shared" si="9"/>
        <v>166215.59</v>
      </c>
      <c r="T18" s="11">
        <f t="array" ref="T18">IFERROR(INDEX('Cash Flow (Annual)'!M:M,MATCH(A18,'Cash Flow (Annual)'!A:A,0)),0)</f>
        <v>19306.38</v>
      </c>
      <c r="U18" s="11">
        <f>ROUND(S18*savGrow,2)</f>
        <v>4986.47</v>
      </c>
      <c r="V18" s="11">
        <f t="shared" si="10"/>
        <v>190508.44</v>
      </c>
      <c r="W18" s="11">
        <f t="shared" si="11"/>
        <v>2743862.39</v>
      </c>
      <c r="X18" s="13">
        <f>E18 + I18 + M18 + R18 + V18
+ SUMPRODUCT(
  ('RE Amortization'!$E$2:$E$1401=$A18) *
  ( VALUE('RE Amortization'!$L$2:$L$1401) - VALUE('RE Amortization'!$J$2:$J$1401) )
)
</f>
        <v>3216195.141</v>
      </c>
      <c r="Y18" s="13">
        <f>IF(X18="","", X18 / (1 + Assumptions!$B$7) ^ (A18 - 16))
</f>
        <v>2062114.682</v>
      </c>
      <c r="Z18" s="1"/>
      <c r="AA18" s="1"/>
      <c r="AB18" s="1"/>
      <c r="AC18" s="1"/>
    </row>
    <row r="19" ht="15.75" customHeight="1">
      <c r="A19" s="1">
        <v>35.0</v>
      </c>
      <c r="B19" s="11">
        <f t="shared" si="1"/>
        <v>1298507.46</v>
      </c>
      <c r="C19" s="11">
        <f t="array" ref="C19">IFERROR(INDEX('Cash Flow (Annual)'!C:C,MATCH(A19,'Cash Flow (Annual)'!A:A,0)) + INDEX('Cash Flow (Annual)'!D:D,MATCH(A19,'Cash Flow (Annual)'!A:A,0)),0)</f>
        <v>68000</v>
      </c>
      <c r="D19" s="11">
        <f>ROUND(B19*retGrow,2)</f>
        <v>90895.52</v>
      </c>
      <c r="E19" s="11">
        <f t="shared" si="2"/>
        <v>1457402.98</v>
      </c>
      <c r="F19" s="11">
        <f t="shared" si="3"/>
        <v>157853.39</v>
      </c>
      <c r="G19" s="11">
        <f t="array" ref="G19">IFERROR(INDEX('Cash Flow (Annual)'!J:J,MATCH(A19,'Cash Flow (Annual)'!A:A,0)),0)</f>
        <v>7000</v>
      </c>
      <c r="H19" s="11">
        <f>ROUND(F19*retGrow,2)</f>
        <v>11049.74</v>
      </c>
      <c r="I19" s="11">
        <f t="shared" si="4"/>
        <v>175903.13</v>
      </c>
      <c r="J19" s="11">
        <f t="shared" si="5"/>
        <v>924245.39</v>
      </c>
      <c r="K19" s="11">
        <f t="array" ref="K19">IFERROR(INDEX('Cash Flow (Annual)'!$K:$K, MATCH($A19, 'Cash Flow (Annual)'!$A:$A, 0)), 0)
+ IFERROR(INDEX('Cash Flow (Annual)'!$P:$P, MATCH($A19, 'Cash Flow (Annual)'!$A:$A, 0)), 0)</f>
        <v>79587.59</v>
      </c>
      <c r="L19" s="11">
        <f>ROUND( J19*etfGrow, 2 )</f>
        <v>64697.18</v>
      </c>
      <c r="M19" s="11">
        <f t="shared" si="6"/>
        <v>1068530.16</v>
      </c>
      <c r="N19" s="11">
        <f t="shared" si="7"/>
        <v>172747.71</v>
      </c>
      <c r="O19" s="11">
        <f t="array" ref="O19">IFERROR(INDEX('Cash Flow (Annual)'!$L:$L, MATCH($A19, 'Cash Flow (Annual)'!$A:$A, 0)), 0)
+ IFERROR(INDEX('Cash Flow (Annual)'!$Q:$Q, MATCH($A19, 'Cash Flow (Annual)'!$A:$A, 0)), 0)</f>
        <v>59690.69</v>
      </c>
      <c r="P19" s="11">
        <f>ROUND(N19*reCashYield,2)</f>
        <v>5182.43</v>
      </c>
      <c r="Q19" s="11">
        <f t="shared" si="8"/>
        <v>237620.83</v>
      </c>
      <c r="R19" s="11">
        <f>Q19 - IFERROR( SUMIF('RE Purchases'!$K:$K, A19, 'RE Purchases'!$L:$L), 0 )
</f>
        <v>103787.9909</v>
      </c>
      <c r="S19" s="11">
        <f t="shared" si="9"/>
        <v>190508.44</v>
      </c>
      <c r="T19" s="11">
        <f t="array" ref="T19">IFERROR(INDEX('Cash Flow (Annual)'!M:M,MATCH(A19,'Cash Flow (Annual)'!A:A,0)),0)</f>
        <v>19896.9</v>
      </c>
      <c r="U19" s="11">
        <f>ROUND(S19*savGrow,2)</f>
        <v>5715.25</v>
      </c>
      <c r="V19" s="11">
        <f t="shared" si="10"/>
        <v>216120.59</v>
      </c>
      <c r="W19" s="11">
        <f t="shared" si="11"/>
        <v>3021744.851</v>
      </c>
      <c r="X19" s="13">
        <f>E19 + I19 + M19 + R19 + V19
+ SUMPRODUCT(
  ('RE Amortization'!$E$2:$E$1401=$A19) *
  ( VALUE('RE Amortization'!$L$2:$L$1401) - VALUE('RE Amortization'!$J$2:$J$1401) )
)
</f>
        <v>3656388.412</v>
      </c>
      <c r="Y19" s="13">
        <f>IF(X19="","", X19 / (1 + Assumptions!$B$7) ^ (A19 - 16))
</f>
        <v>2287172.294</v>
      </c>
      <c r="Z19" s="1"/>
      <c r="AA19" s="1"/>
      <c r="AB19" s="1"/>
      <c r="AC19" s="1"/>
    </row>
    <row r="20" ht="15.75" customHeight="1">
      <c r="A20" s="1">
        <v>36.0</v>
      </c>
      <c r="B20" s="11">
        <f t="shared" si="1"/>
        <v>1457402.98</v>
      </c>
      <c r="C20" s="11">
        <f t="array" ref="C20">IFERROR(INDEX('Cash Flow (Annual)'!C:C,MATCH(A20,'Cash Flow (Annual)'!A:A,0)) + INDEX('Cash Flow (Annual)'!D:D,MATCH(A20,'Cash Flow (Annual)'!A:A,0)),0)</f>
        <v>68000</v>
      </c>
      <c r="D20" s="11">
        <f>ROUND(B20*retGrow,2)</f>
        <v>102018.21</v>
      </c>
      <c r="E20" s="11">
        <f t="shared" si="2"/>
        <v>1627421.19</v>
      </c>
      <c r="F20" s="11">
        <f t="shared" si="3"/>
        <v>175903.13</v>
      </c>
      <c r="G20" s="11">
        <f t="array" ref="G20">IFERROR(INDEX('Cash Flow (Annual)'!J:J,MATCH(A20,'Cash Flow (Annual)'!A:A,0)),0)</f>
        <v>7000</v>
      </c>
      <c r="H20" s="11">
        <f>ROUND(F20*retGrow,2)</f>
        <v>12313.22</v>
      </c>
      <c r="I20" s="11">
        <f t="shared" si="4"/>
        <v>195216.35</v>
      </c>
      <c r="J20" s="11">
        <f t="shared" si="5"/>
        <v>1068530.16</v>
      </c>
      <c r="K20" s="11">
        <f t="array" ref="K20">IFERROR(INDEX('Cash Flow (Annual)'!$K:$K, MATCH($A20, 'Cash Flow (Annual)'!$A:$A, 0)), 0)
+ IFERROR(INDEX('Cash Flow (Annual)'!$P:$P, MATCH($A20, 'Cash Flow (Annual)'!$A:$A, 0)), 0)</f>
        <v>102529.26</v>
      </c>
      <c r="L20" s="11">
        <f>ROUND( J20*etfGrow, 2 )</f>
        <v>74797.11</v>
      </c>
      <c r="M20" s="11">
        <f t="shared" si="6"/>
        <v>1245856.53</v>
      </c>
      <c r="N20" s="11">
        <f t="shared" si="7"/>
        <v>103787.9909</v>
      </c>
      <c r="O20" s="11">
        <f t="array" ref="O20">IFERROR(INDEX('Cash Flow (Annual)'!$L:$L, MATCH($A20, 'Cash Flow (Annual)'!$A:$A, 0)), 0)
+ IFERROR(INDEX('Cash Flow (Annual)'!$Q:$Q, MATCH($A20, 'Cash Flow (Annual)'!$A:$A, 0)), 0)</f>
        <v>71770.485</v>
      </c>
      <c r="P20" s="11">
        <f>ROUND(N20*reCashYield,2)</f>
        <v>3113.64</v>
      </c>
      <c r="Q20" s="11">
        <f t="shared" si="8"/>
        <v>178672.12</v>
      </c>
      <c r="R20" s="11">
        <f>Q20 - IFERROR( SUMIF('RE Purchases'!$K:$K, A20, 'RE Purchases'!$L:$L), 0 )
</f>
        <v>178672.12</v>
      </c>
      <c r="S20" s="11">
        <f t="shared" si="9"/>
        <v>216120.59</v>
      </c>
      <c r="T20" s="11">
        <f t="array" ref="T20">IFERROR(INDEX('Cash Flow (Annual)'!M:M,MATCH(A20,'Cash Flow (Annual)'!A:A,0)),0)</f>
        <v>0</v>
      </c>
      <c r="U20" s="11">
        <f>ROUND(S20*savGrow,2)</f>
        <v>6483.62</v>
      </c>
      <c r="V20" s="11">
        <f t="shared" si="10"/>
        <v>222604.21</v>
      </c>
      <c r="W20" s="11">
        <f t="shared" si="11"/>
        <v>3469770.4</v>
      </c>
      <c r="X20" s="13">
        <f>E20 + I20 + M20 + R20 + V20
+ SUMPRODUCT(
  ('RE Amortization'!$E$2:$E$1401=$A20) *
  ( VALUE('RE Amortization'!$L$2:$L$1401) - VALUE('RE Amortization'!$J$2:$J$1401) )
)
</f>
        <v>4187031.545</v>
      </c>
      <c r="Y20" s="13">
        <f>IF(X20="","", X20 / (1 + Assumptions!$B$7) ^ (A20 - 16))
</f>
        <v>2555223.689</v>
      </c>
      <c r="Z20" s="1"/>
      <c r="AA20" s="1"/>
      <c r="AB20" s="1"/>
      <c r="AC20" s="1"/>
    </row>
    <row r="21" ht="15.75" customHeight="1">
      <c r="A21" s="1">
        <v>37.0</v>
      </c>
      <c r="B21" s="11">
        <f t="shared" si="1"/>
        <v>1627421.19</v>
      </c>
      <c r="C21" s="11">
        <f t="array" ref="C21">IFERROR(INDEX('Cash Flow (Annual)'!C:C,MATCH(A21,'Cash Flow (Annual)'!A:A,0)) + INDEX('Cash Flow (Annual)'!D:D,MATCH(A21,'Cash Flow (Annual)'!A:A,0)),0)</f>
        <v>68000</v>
      </c>
      <c r="D21" s="11">
        <f>ROUND(B21*retGrow,2)</f>
        <v>113919.48</v>
      </c>
      <c r="E21" s="11">
        <f t="shared" si="2"/>
        <v>1809340.67</v>
      </c>
      <c r="F21" s="11">
        <f t="shared" si="3"/>
        <v>195216.35</v>
      </c>
      <c r="G21" s="11">
        <f t="array" ref="G21">IFERROR(INDEX('Cash Flow (Annual)'!J:J,MATCH(A21,'Cash Flow (Annual)'!A:A,0)),0)</f>
        <v>7000</v>
      </c>
      <c r="H21" s="11">
        <f>ROUND(F21*retGrow,2)</f>
        <v>13665.14</v>
      </c>
      <c r="I21" s="11">
        <f t="shared" si="4"/>
        <v>215881.49</v>
      </c>
      <c r="J21" s="11">
        <f t="shared" si="5"/>
        <v>1245856.53</v>
      </c>
      <c r="K21" s="11">
        <f t="array" ref="K21">IFERROR(INDEX('Cash Flow (Annual)'!$K:$K, MATCH($A21, 'Cash Flow (Annual)'!$A:$A, 0)), 0)
+ IFERROR(INDEX('Cash Flow (Annual)'!$P:$P, MATCH($A21, 'Cash Flow (Annual)'!$A:$A, 0)), 0)</f>
        <v>105660.49</v>
      </c>
      <c r="L21" s="11">
        <f>ROUND( J21*etfGrow, 2 )</f>
        <v>87209.96</v>
      </c>
      <c r="M21" s="11">
        <f t="shared" si="6"/>
        <v>1438726.98</v>
      </c>
      <c r="N21" s="11">
        <f t="shared" si="7"/>
        <v>178672.12</v>
      </c>
      <c r="O21" s="11">
        <f t="array" ref="O21">IFERROR(INDEX('Cash Flow (Annual)'!$L:$L, MATCH($A21, 'Cash Flow (Annual)'!$A:$A, 0)), 0)
+ IFERROR(INDEX('Cash Flow (Annual)'!$Q:$Q, MATCH($A21, 'Cash Flow (Annual)'!$A:$A, 0)), 0)</f>
        <v>73962.34</v>
      </c>
      <c r="P21" s="11">
        <f>ROUND(N21*reCashYield,2)</f>
        <v>5360.16</v>
      </c>
      <c r="Q21" s="11">
        <f t="shared" si="8"/>
        <v>257994.62</v>
      </c>
      <c r="R21" s="11">
        <f>Q21 - IFERROR( SUMIF('RE Purchases'!$K:$K, A21, 'RE Purchases'!$L:$L), 0 )
</f>
        <v>117386.4934</v>
      </c>
      <c r="S21" s="11">
        <f t="shared" si="9"/>
        <v>222604.21</v>
      </c>
      <c r="T21" s="11">
        <f t="array" ref="T21">IFERROR(INDEX('Cash Flow (Annual)'!M:M,MATCH(A21,'Cash Flow (Annual)'!A:A,0)),0)</f>
        <v>0</v>
      </c>
      <c r="U21" s="11">
        <f>ROUND(S21*savGrow,2)</f>
        <v>6678.13</v>
      </c>
      <c r="V21" s="11">
        <f t="shared" si="10"/>
        <v>229282.34</v>
      </c>
      <c r="W21" s="11">
        <f t="shared" si="11"/>
        <v>3810617.973</v>
      </c>
      <c r="X21" s="13">
        <f>E21 + I21 + M21 + R21 + V21
+ SUMPRODUCT(
  ('RE Amortization'!$E$2:$E$1401=$A21) *
  ( VALUE('RE Amortization'!$L$2:$L$1401) - VALUE('RE Amortization'!$J$2:$J$1401) )
)
</f>
        <v>4721096.221</v>
      </c>
      <c r="Y21" s="13">
        <f>IF(X21="","", X21 / (1 + Assumptions!$B$7) ^ (A21 - 16))
</f>
        <v>2810875.944</v>
      </c>
      <c r="Z21" s="1"/>
      <c r="AA21" s="1"/>
      <c r="AB21" s="1"/>
      <c r="AC21" s="1"/>
    </row>
    <row r="22" ht="15.75" customHeight="1">
      <c r="A22" s="1">
        <v>38.0</v>
      </c>
      <c r="B22" s="11">
        <f t="shared" si="1"/>
        <v>1809340.67</v>
      </c>
      <c r="C22" s="11">
        <f t="array" ref="C22">IFERROR(INDEX('Cash Flow (Annual)'!C:C,MATCH(A22,'Cash Flow (Annual)'!A:A,0)) + INDEX('Cash Flow (Annual)'!D:D,MATCH(A22,'Cash Flow (Annual)'!A:A,0)),0)</f>
        <v>68000</v>
      </c>
      <c r="D22" s="11">
        <f>ROUND(B22*retGrow,2)</f>
        <v>126653.85</v>
      </c>
      <c r="E22" s="11">
        <f t="shared" si="2"/>
        <v>2003994.52</v>
      </c>
      <c r="F22" s="11">
        <f t="shared" si="3"/>
        <v>215881.49</v>
      </c>
      <c r="G22" s="11">
        <f t="array" ref="G22">IFERROR(INDEX('Cash Flow (Annual)'!J:J,MATCH(A22,'Cash Flow (Annual)'!A:A,0)),0)</f>
        <v>7000</v>
      </c>
      <c r="H22" s="11">
        <f>ROUND(F22*retGrow,2)</f>
        <v>15111.7</v>
      </c>
      <c r="I22" s="11">
        <f t="shared" si="4"/>
        <v>237993.19</v>
      </c>
      <c r="J22" s="11">
        <f t="shared" si="5"/>
        <v>1438726.98</v>
      </c>
      <c r="K22" s="11">
        <f t="array" ref="K22">IFERROR(INDEX('Cash Flow (Annual)'!$K:$K, MATCH($A22, 'Cash Flow (Annual)'!$A:$A, 0)), 0)
+ IFERROR(INDEX('Cash Flow (Annual)'!$P:$P, MATCH($A22, 'Cash Flow (Annual)'!$A:$A, 0)), 0)</f>
        <v>108897.74</v>
      </c>
      <c r="L22" s="11">
        <f>ROUND( J22*etfGrow, 2 )</f>
        <v>100710.89</v>
      </c>
      <c r="M22" s="11">
        <f t="shared" si="6"/>
        <v>1648335.61</v>
      </c>
      <c r="N22" s="11">
        <f t="shared" si="7"/>
        <v>117386.4934</v>
      </c>
      <c r="O22" s="11">
        <f t="array" ref="O22">IFERROR(INDEX('Cash Flow (Annual)'!$L:$L, MATCH($A22, 'Cash Flow (Annual)'!$A:$A, 0)), 0)
+ IFERROR(INDEX('Cash Flow (Annual)'!$Q:$Q, MATCH($A22, 'Cash Flow (Annual)'!$A:$A, 0)), 0)</f>
        <v>76228.425</v>
      </c>
      <c r="P22" s="11">
        <f>ROUND(N22*reCashYield,2)</f>
        <v>3521.59</v>
      </c>
      <c r="Q22" s="11">
        <f t="shared" si="8"/>
        <v>197136.51</v>
      </c>
      <c r="R22" s="11">
        <f>Q22 - IFERROR( SUMIF('RE Purchases'!$K:$K, A22, 'RE Purchases'!$L:$L), 0 )
</f>
        <v>197136.51</v>
      </c>
      <c r="S22" s="11">
        <f t="shared" si="9"/>
        <v>229282.34</v>
      </c>
      <c r="T22" s="11">
        <f t="array" ref="T22">IFERROR(INDEX('Cash Flow (Annual)'!M:M,MATCH(A22,'Cash Flow (Annual)'!A:A,0)),0)</f>
        <v>0</v>
      </c>
      <c r="U22" s="11">
        <f>ROUND(S22*savGrow,2)</f>
        <v>6878.47</v>
      </c>
      <c r="V22" s="11">
        <f t="shared" si="10"/>
        <v>236160.81</v>
      </c>
      <c r="W22" s="11">
        <f t="shared" si="11"/>
        <v>4323620.64</v>
      </c>
      <c r="X22" s="13">
        <f>E22 + I22 + M22 + R22 + V22
+ SUMPRODUCT(
  ('RE Amortization'!$E$2:$E$1401=$A22) *
  ( VALUE('RE Amortization'!$L$2:$L$1401) - VALUE('RE Amortization'!$J$2:$J$1401) )
)
</f>
        <v>5344625.59</v>
      </c>
      <c r="Y22" s="13">
        <f>IF(X22="","", X22 / (1 + Assumptions!$B$7) ^ (A22 - 16))
</f>
        <v>3104504.174</v>
      </c>
      <c r="Z22" s="1"/>
      <c r="AA22" s="1"/>
      <c r="AB22" s="1"/>
      <c r="AC22" s="1"/>
    </row>
    <row r="23" ht="15.75" customHeight="1">
      <c r="A23" s="1">
        <v>39.0</v>
      </c>
      <c r="B23" s="11">
        <f t="shared" si="1"/>
        <v>2003994.52</v>
      </c>
      <c r="C23" s="11">
        <f t="array" ref="C23">IFERROR(INDEX('Cash Flow (Annual)'!C:C,MATCH(A23,'Cash Flow (Annual)'!A:A,0)) + INDEX('Cash Flow (Annual)'!D:D,MATCH(A23,'Cash Flow (Annual)'!A:A,0)),0)</f>
        <v>68000</v>
      </c>
      <c r="D23" s="11">
        <f>ROUND(B23*retGrow,2)</f>
        <v>140279.62</v>
      </c>
      <c r="E23" s="11">
        <f t="shared" si="2"/>
        <v>2212274.14</v>
      </c>
      <c r="F23" s="11">
        <f t="shared" si="3"/>
        <v>237993.19</v>
      </c>
      <c r="G23" s="11">
        <f t="array" ref="G23">IFERROR(INDEX('Cash Flow (Annual)'!J:J,MATCH(A23,'Cash Flow (Annual)'!A:A,0)),0)</f>
        <v>7000</v>
      </c>
      <c r="H23" s="11">
        <f>ROUND(F23*retGrow,2)</f>
        <v>16659.52</v>
      </c>
      <c r="I23" s="11">
        <f t="shared" si="4"/>
        <v>261652.71</v>
      </c>
      <c r="J23" s="11">
        <f t="shared" si="5"/>
        <v>1648335.61</v>
      </c>
      <c r="K23" s="11">
        <f t="array" ref="K23">IFERROR(INDEX('Cash Flow (Annual)'!$K:$K, MATCH($A23, 'Cash Flow (Annual)'!$A:$A, 0)), 0)
+ IFERROR(INDEX('Cash Flow (Annual)'!$P:$P, MATCH($A23, 'Cash Flow (Annual)'!$A:$A, 0)), 0)</f>
        <v>112367.01</v>
      </c>
      <c r="L23" s="11">
        <f>ROUND( J23*etfGrow, 2 )</f>
        <v>115383.49</v>
      </c>
      <c r="M23" s="11">
        <f t="shared" si="6"/>
        <v>1876086.11</v>
      </c>
      <c r="N23" s="11">
        <f t="shared" si="7"/>
        <v>197136.51</v>
      </c>
      <c r="O23" s="11">
        <f t="array" ref="O23">IFERROR(INDEX('Cash Flow (Annual)'!$L:$L, MATCH($A23, 'Cash Flow (Annual)'!$A:$A, 0)), 0)
+ IFERROR(INDEX('Cash Flow (Annual)'!$Q:$Q, MATCH($A23, 'Cash Flow (Annual)'!$A:$A, 0)), 0)</f>
        <v>78656.9</v>
      </c>
      <c r="P23" s="11">
        <f>ROUND(N23*reCashYield,2)</f>
        <v>5914.1</v>
      </c>
      <c r="Q23" s="11">
        <f t="shared" si="8"/>
        <v>281707.51</v>
      </c>
      <c r="R23" s="11">
        <f>Q23 - IFERROR( SUMIF('RE Purchases'!$K:$K, A23, 'RE Purchases'!$L:$L), 0 )
</f>
        <v>133981.097</v>
      </c>
      <c r="S23" s="11">
        <f t="shared" si="9"/>
        <v>236160.81</v>
      </c>
      <c r="T23" s="11">
        <f t="array" ref="T23">IFERROR(INDEX('Cash Flow (Annual)'!M:M,MATCH(A23,'Cash Flow (Annual)'!A:A,0)),0)</f>
        <v>0</v>
      </c>
      <c r="U23" s="11">
        <f>ROUND(S23*savGrow,2)</f>
        <v>7084.82</v>
      </c>
      <c r="V23" s="11">
        <f t="shared" si="10"/>
        <v>243245.63</v>
      </c>
      <c r="W23" s="11">
        <f t="shared" si="11"/>
        <v>4727239.687</v>
      </c>
      <c r="X23" s="13">
        <f>E23 + I23 + M23 + R23 + V23
+ SUMPRODUCT(
  ('RE Amortization'!$E$2:$E$1401=$A23) *
  ( VALUE('RE Amortization'!$L$2:$L$1401) - VALUE('RE Amortization'!$J$2:$J$1401) )
)
</f>
        <v>5976057.365</v>
      </c>
      <c r="Y23" s="13">
        <f>IF(X23="","", X23 / (1 + Assumptions!$B$7) ^ (A23 - 16))
</f>
        <v>3386615.203</v>
      </c>
      <c r="Z23" s="1"/>
      <c r="AA23" s="1"/>
      <c r="AB23" s="1"/>
      <c r="AC23" s="1"/>
    </row>
    <row r="24" ht="15.75" customHeight="1">
      <c r="A24" s="1">
        <v>40.0</v>
      </c>
      <c r="B24" s="11">
        <f t="shared" si="1"/>
        <v>2212274.14</v>
      </c>
      <c r="C24" s="11">
        <f t="array" ref="C24">IFERROR(INDEX('Cash Flow (Annual)'!C:C,MATCH(A24,'Cash Flow (Annual)'!A:A,0)) + INDEX('Cash Flow (Annual)'!D:D,MATCH(A24,'Cash Flow (Annual)'!A:A,0)),0)</f>
        <v>68000</v>
      </c>
      <c r="D24" s="11">
        <f>ROUND(B24*retGrow,2)</f>
        <v>154859.19</v>
      </c>
      <c r="E24" s="11">
        <f t="shared" si="2"/>
        <v>2435133.33</v>
      </c>
      <c r="F24" s="11">
        <f t="shared" si="3"/>
        <v>261652.71</v>
      </c>
      <c r="G24" s="11">
        <f t="array" ref="G24">IFERROR(INDEX('Cash Flow (Annual)'!J:J,MATCH(A24,'Cash Flow (Annual)'!A:A,0)),0)</f>
        <v>7000</v>
      </c>
      <c r="H24" s="11">
        <f>ROUND(F24*retGrow,2)</f>
        <v>18315.69</v>
      </c>
      <c r="I24" s="11">
        <f t="shared" si="4"/>
        <v>286968.4</v>
      </c>
      <c r="J24" s="11">
        <f t="shared" si="5"/>
        <v>1876086.11</v>
      </c>
      <c r="K24" s="11">
        <f t="array" ref="K24">IFERROR(INDEX('Cash Flow (Annual)'!$K:$K, MATCH($A24, 'Cash Flow (Annual)'!$A:$A, 0)), 0)
+ IFERROR(INDEX('Cash Flow (Annual)'!$P:$P, MATCH($A24, 'Cash Flow (Annual)'!$A:$A, 0)), 0)</f>
        <v>115665.94</v>
      </c>
      <c r="L24" s="11">
        <f>ROUND( J24*etfGrow, 2 )</f>
        <v>131326.03</v>
      </c>
      <c r="M24" s="11">
        <f t="shared" si="6"/>
        <v>2123078.08</v>
      </c>
      <c r="N24" s="11">
        <f t="shared" si="7"/>
        <v>133981.097</v>
      </c>
      <c r="O24" s="11">
        <f t="array" ref="O24">IFERROR(INDEX('Cash Flow (Annual)'!$L:$L, MATCH($A24, 'Cash Flow (Annual)'!$A:$A, 0)), 0)
+ IFERROR(INDEX('Cash Flow (Annual)'!$Q:$Q, MATCH($A24, 'Cash Flow (Annual)'!$A:$A, 0)), 0)</f>
        <v>80966.155</v>
      </c>
      <c r="P24" s="11">
        <f>ROUND(N24*reCashYield,2)</f>
        <v>4019.43</v>
      </c>
      <c r="Q24" s="11">
        <f t="shared" si="8"/>
        <v>218966.68</v>
      </c>
      <c r="R24" s="11">
        <f>Q24 - IFERROR( SUMIF('RE Purchases'!$K:$K, A24, 'RE Purchases'!$L:$L), 0 )
</f>
        <v>218966.68</v>
      </c>
      <c r="S24" s="11">
        <f t="shared" si="9"/>
        <v>243245.63</v>
      </c>
      <c r="T24" s="11">
        <f t="array" ref="T24">IFERROR(INDEX('Cash Flow (Annual)'!M:M,MATCH(A24,'Cash Flow (Annual)'!A:A,0)),0)</f>
        <v>0</v>
      </c>
      <c r="U24" s="11">
        <f>ROUND(S24*savGrow,2)</f>
        <v>7297.37</v>
      </c>
      <c r="V24" s="11">
        <f t="shared" si="10"/>
        <v>250543</v>
      </c>
      <c r="W24" s="11">
        <f t="shared" si="11"/>
        <v>5314689.49</v>
      </c>
      <c r="X24" s="13">
        <f>E24 + I24 + M24 + R24 + V24
+ SUMPRODUCT(
  ('RE Amortization'!$E$2:$E$1401=$A24) *
  ( VALUE('RE Amortization'!$L$2:$L$1401) - VALUE('RE Amortization'!$J$2:$J$1401) )
)
</f>
        <v>6705583.472</v>
      </c>
      <c r="Y24" s="13">
        <f>IF(X24="","", X24 / (1 + Assumptions!$B$7) ^ (A24 - 16))
</f>
        <v>3707351.837</v>
      </c>
      <c r="Z24" s="1"/>
      <c r="AA24" s="1"/>
      <c r="AB24" s="1"/>
      <c r="AC24" s="1"/>
    </row>
    <row r="25" ht="15.75" customHeight="1">
      <c r="A25" s="1">
        <v>41.0</v>
      </c>
      <c r="B25" s="11">
        <f t="shared" si="1"/>
        <v>2435133.33</v>
      </c>
      <c r="C25" s="11">
        <f t="array" ref="C25">IFERROR(INDEX('Cash Flow (Annual)'!C:C,MATCH(A25,'Cash Flow (Annual)'!A:A,0)) + INDEX('Cash Flow (Annual)'!D:D,MATCH(A25,'Cash Flow (Annual)'!A:A,0)),0)</f>
        <v>68000</v>
      </c>
      <c r="D25" s="11">
        <f>ROUND(B25*retGrow,2)</f>
        <v>170459.33</v>
      </c>
      <c r="E25" s="11">
        <f t="shared" si="2"/>
        <v>2673592.66</v>
      </c>
      <c r="F25" s="11">
        <f t="shared" si="3"/>
        <v>286968.4</v>
      </c>
      <c r="G25" s="11">
        <f t="array" ref="G25">IFERROR(INDEX('Cash Flow (Annual)'!J:J,MATCH(A25,'Cash Flow (Annual)'!A:A,0)),0)</f>
        <v>7000</v>
      </c>
      <c r="H25" s="11">
        <f>ROUND(F25*retGrow,2)</f>
        <v>20087.79</v>
      </c>
      <c r="I25" s="11">
        <f t="shared" si="4"/>
        <v>314056.19</v>
      </c>
      <c r="J25" s="11">
        <f t="shared" si="5"/>
        <v>2123078.08</v>
      </c>
      <c r="K25" s="11">
        <f t="array" ref="K25">IFERROR(INDEX('Cash Flow (Annual)'!$K:$K, MATCH($A25, 'Cash Flow (Annual)'!$A:$A, 0)), 0)
+ IFERROR(INDEX('Cash Flow (Annual)'!$P:$P, MATCH($A25, 'Cash Flow (Annual)'!$A:$A, 0)), 0)</f>
        <v>119204.75</v>
      </c>
      <c r="L25" s="11">
        <f>ROUND( J25*etfGrow, 2 )</f>
        <v>148615.47</v>
      </c>
      <c r="M25" s="11">
        <f t="shared" si="6"/>
        <v>2390898.3</v>
      </c>
      <c r="N25" s="11">
        <f t="shared" si="7"/>
        <v>218966.68</v>
      </c>
      <c r="O25" s="11">
        <f t="array" ref="O25">IFERROR(INDEX('Cash Flow (Annual)'!$L:$L, MATCH($A25, 'Cash Flow (Annual)'!$A:$A, 0)), 0)
+ IFERROR(INDEX('Cash Flow (Annual)'!$Q:$Q, MATCH($A25, 'Cash Flow (Annual)'!$A:$A, 0)), 0)</f>
        <v>83443.325</v>
      </c>
      <c r="P25" s="11">
        <f>ROUND(N25*reCashYield,2)</f>
        <v>6569</v>
      </c>
      <c r="Q25" s="11">
        <f t="shared" si="8"/>
        <v>308979.01</v>
      </c>
      <c r="R25" s="11">
        <f>Q25 - IFERROR( SUMIF('RE Purchases'!$K:$K, A25, 'RE Purchases'!$L:$L), 0 )
</f>
        <v>153773.9474</v>
      </c>
      <c r="S25" s="11">
        <f t="shared" si="9"/>
        <v>250543</v>
      </c>
      <c r="T25" s="11">
        <f t="array" ref="T25">IFERROR(INDEX('Cash Flow (Annual)'!M:M,MATCH(A25,'Cash Flow (Annual)'!A:A,0)),0)</f>
        <v>0</v>
      </c>
      <c r="U25" s="11">
        <f>ROUND(S25*savGrow,2)</f>
        <v>7516.29</v>
      </c>
      <c r="V25" s="11">
        <f t="shared" si="10"/>
        <v>258059.29</v>
      </c>
      <c r="W25" s="11">
        <f t="shared" si="11"/>
        <v>5790380.387</v>
      </c>
      <c r="X25" s="13">
        <f>E25 + I25 + M25 + R25 + V25
+ SUMPRODUCT(
  ('RE Amortization'!$E$2:$E$1401=$A25) *
  ( VALUE('RE Amortization'!$L$2:$L$1401) - VALUE('RE Amortization'!$J$2:$J$1401) )
)
</f>
        <v>7447770.053</v>
      </c>
      <c r="Y25" s="13">
        <f>IF(X25="","", X25 / (1 + Assumptions!$B$7) ^ (A25 - 16))
</f>
        <v>4017257.079</v>
      </c>
      <c r="Z25" s="1"/>
      <c r="AA25" s="1"/>
      <c r="AB25" s="1"/>
      <c r="AC25" s="1"/>
    </row>
    <row r="26" ht="15.75" customHeight="1">
      <c r="A26" s="1">
        <v>42.0</v>
      </c>
      <c r="B26" s="11">
        <f t="shared" si="1"/>
        <v>2673592.66</v>
      </c>
      <c r="C26" s="11">
        <f t="array" ref="C26">IFERROR(INDEX('Cash Flow (Annual)'!C:C,MATCH(A26,'Cash Flow (Annual)'!A:A,0)) + INDEX('Cash Flow (Annual)'!D:D,MATCH(A26,'Cash Flow (Annual)'!A:A,0)),0)</f>
        <v>68000</v>
      </c>
      <c r="D26" s="11">
        <f>ROUND(B26*retGrow,2)</f>
        <v>187151.49</v>
      </c>
      <c r="E26" s="11">
        <f t="shared" si="2"/>
        <v>2928744.15</v>
      </c>
      <c r="F26" s="11">
        <f t="shared" si="3"/>
        <v>314056.19</v>
      </c>
      <c r="G26" s="11">
        <f t="array" ref="G26">IFERROR(INDEX('Cash Flow (Annual)'!J:J,MATCH(A26,'Cash Flow (Annual)'!A:A,0)),0)</f>
        <v>7000</v>
      </c>
      <c r="H26" s="11">
        <f>ROUND(F26*retGrow,2)</f>
        <v>21983.93</v>
      </c>
      <c r="I26" s="11">
        <f t="shared" si="4"/>
        <v>343040.12</v>
      </c>
      <c r="J26" s="11">
        <f t="shared" si="5"/>
        <v>2390898.3</v>
      </c>
      <c r="K26" s="11">
        <f t="array" ref="K26">IFERROR(INDEX('Cash Flow (Annual)'!$K:$K, MATCH($A26, 'Cash Flow (Annual)'!$A:$A, 0)), 0)
+ IFERROR(INDEX('Cash Flow (Annual)'!$P:$P, MATCH($A26, 'Cash Flow (Annual)'!$A:$A, 0)), 0)</f>
        <v>122818.7</v>
      </c>
      <c r="L26" s="11">
        <f>ROUND( J26*etfGrow, 2 )</f>
        <v>167362.88</v>
      </c>
      <c r="M26" s="11">
        <f t="shared" si="6"/>
        <v>2681079.88</v>
      </c>
      <c r="N26" s="11">
        <f t="shared" si="7"/>
        <v>153773.9474</v>
      </c>
      <c r="O26" s="11">
        <f t="array" ref="O26">IFERROR(INDEX('Cash Flow (Annual)'!$L:$L, MATCH($A26, 'Cash Flow (Annual)'!$A:$A, 0)), 0)
+ IFERROR(INDEX('Cash Flow (Annual)'!$Q:$Q, MATCH($A26, 'Cash Flow (Annual)'!$A:$A, 0)), 0)</f>
        <v>85973.09</v>
      </c>
      <c r="P26" s="11">
        <f>ROUND(N26*reCashYield,2)</f>
        <v>4613.22</v>
      </c>
      <c r="Q26" s="11">
        <f t="shared" si="8"/>
        <v>244360.26</v>
      </c>
      <c r="R26" s="11">
        <f>Q26 - IFERROR( SUMIF('RE Purchases'!$K:$K, A26, 'RE Purchases'!$L:$L), 0 )
</f>
        <v>244360.26</v>
      </c>
      <c r="S26" s="11">
        <f t="shared" si="9"/>
        <v>258059.29</v>
      </c>
      <c r="T26" s="11">
        <f t="array" ref="T26">IFERROR(INDEX('Cash Flow (Annual)'!M:M,MATCH(A26,'Cash Flow (Annual)'!A:A,0)),0)</f>
        <v>0</v>
      </c>
      <c r="U26" s="11">
        <f>ROUND(S26*savGrow,2)</f>
        <v>7741.78</v>
      </c>
      <c r="V26" s="11">
        <f t="shared" si="10"/>
        <v>265801.07</v>
      </c>
      <c r="W26" s="11">
        <f t="shared" si="11"/>
        <v>6463025.48</v>
      </c>
      <c r="X26" s="13">
        <f>E26 + I26 + M26 + R26 + V26
+ SUMPRODUCT(
  ('RE Amortization'!$E$2:$E$1401=$A26) *
  ( VALUE('RE Amortization'!$L$2:$L$1401) - VALUE('RE Amortization'!$J$2:$J$1401) )
)
</f>
        <v>8298088.055</v>
      </c>
      <c r="Y26" s="13">
        <f>IF(X26="","", X26 / (1 + Assumptions!$B$7) ^ (A26 - 16))
</f>
        <v>4366742.056</v>
      </c>
      <c r="Z26" s="1"/>
      <c r="AA26" s="1"/>
      <c r="AB26" s="1"/>
      <c r="AC26" s="1"/>
    </row>
    <row r="27" ht="15.75" customHeight="1">
      <c r="A27" s="1">
        <v>43.0</v>
      </c>
      <c r="B27" s="11">
        <f t="shared" si="1"/>
        <v>2928744.15</v>
      </c>
      <c r="C27" s="11">
        <f t="array" ref="C27">IFERROR(INDEX('Cash Flow (Annual)'!C:C,MATCH(A27,'Cash Flow (Annual)'!A:A,0)) + INDEX('Cash Flow (Annual)'!D:D,MATCH(A27,'Cash Flow (Annual)'!A:A,0)),0)</f>
        <v>68000</v>
      </c>
      <c r="D27" s="11">
        <f>ROUND(B27*retGrow,2)</f>
        <v>205012.09</v>
      </c>
      <c r="E27" s="11">
        <f t="shared" si="2"/>
        <v>3201756.24</v>
      </c>
      <c r="F27" s="11">
        <f t="shared" si="3"/>
        <v>343040.12</v>
      </c>
      <c r="G27" s="11">
        <f t="array" ref="G27">IFERROR(INDEX('Cash Flow (Annual)'!J:J,MATCH(A27,'Cash Flow (Annual)'!A:A,0)),0)</f>
        <v>7000</v>
      </c>
      <c r="H27" s="11">
        <f>ROUND(F27*retGrow,2)</f>
        <v>24012.81</v>
      </c>
      <c r="I27" s="11">
        <f t="shared" si="4"/>
        <v>374052.93</v>
      </c>
      <c r="J27" s="11">
        <f t="shared" si="5"/>
        <v>2681079.88</v>
      </c>
      <c r="K27" s="11">
        <f t="array" ref="K27">IFERROR(INDEX('Cash Flow (Annual)'!$K:$K, MATCH($A27, 'Cash Flow (Annual)'!$A:$A, 0)), 0)
+ IFERROR(INDEX('Cash Flow (Annual)'!$P:$P, MATCH($A27, 'Cash Flow (Annual)'!$A:$A, 0)), 0)</f>
        <v>126460.86</v>
      </c>
      <c r="L27" s="11">
        <f>ROUND( J27*etfGrow, 2 )</f>
        <v>187675.59</v>
      </c>
      <c r="M27" s="11">
        <f t="shared" si="6"/>
        <v>2995216.33</v>
      </c>
      <c r="N27" s="11">
        <f t="shared" si="7"/>
        <v>244360.26</v>
      </c>
      <c r="O27" s="11">
        <f t="array" ref="O27">IFERROR(INDEX('Cash Flow (Annual)'!$L:$L, MATCH($A27, 'Cash Flow (Annual)'!$A:$A, 0)), 0)
+ IFERROR(INDEX('Cash Flow (Annual)'!$Q:$Q, MATCH($A27, 'Cash Flow (Annual)'!$A:$A, 0)), 0)</f>
        <v>88522.605</v>
      </c>
      <c r="P27" s="11">
        <f>ROUND(N27*reCashYield,2)</f>
        <v>7330.81</v>
      </c>
      <c r="Q27" s="11">
        <f t="shared" si="8"/>
        <v>340213.68</v>
      </c>
      <c r="R27" s="11">
        <f>Q27 - IFERROR( SUMIF('RE Purchases'!$K:$K, A27, 'RE Purchases'!$L:$L), 0 )
</f>
        <v>177151.3611</v>
      </c>
      <c r="S27" s="11">
        <f t="shared" si="9"/>
        <v>265801.07</v>
      </c>
      <c r="T27" s="11">
        <f t="array" ref="T27">IFERROR(INDEX('Cash Flow (Annual)'!M:M,MATCH(A27,'Cash Flow (Annual)'!A:A,0)),0)</f>
        <v>0</v>
      </c>
      <c r="U27" s="11">
        <f>ROUND(S27*savGrow,2)</f>
        <v>7974.03</v>
      </c>
      <c r="V27" s="11">
        <f t="shared" si="10"/>
        <v>273775.1</v>
      </c>
      <c r="W27" s="11">
        <f t="shared" si="11"/>
        <v>7021951.961</v>
      </c>
      <c r="X27" s="13">
        <f>E27 + I27 + M27 + R27 + V27
+ SUMPRODUCT(
  ('RE Amortization'!$E$2:$E$1401=$A27) *
  ( VALUE('RE Amortization'!$L$2:$L$1401) - VALUE('RE Amortization'!$J$2:$J$1401) )
)
</f>
        <v>9166721.038</v>
      </c>
      <c r="Y27" s="13">
        <f>IF(X27="","", X27 / (1 + Assumptions!$B$7) ^ (A27 - 16))
</f>
        <v>4706192.089</v>
      </c>
      <c r="Z27" s="1"/>
      <c r="AA27" s="1"/>
      <c r="AB27" s="1"/>
      <c r="AC27" s="1"/>
    </row>
    <row r="28" ht="15.75" customHeight="1">
      <c r="A28" s="1">
        <v>44.0</v>
      </c>
      <c r="B28" s="11">
        <f t="shared" si="1"/>
        <v>3201756.24</v>
      </c>
      <c r="C28" s="11">
        <f t="array" ref="C28">IFERROR(INDEX('Cash Flow (Annual)'!C:C,MATCH(A28,'Cash Flow (Annual)'!A:A,0)) + INDEX('Cash Flow (Annual)'!D:D,MATCH(A28,'Cash Flow (Annual)'!A:A,0)),0)</f>
        <v>68000</v>
      </c>
      <c r="D28" s="11">
        <f>ROUND(B28*retGrow,2)</f>
        <v>224122.94</v>
      </c>
      <c r="E28" s="11">
        <f t="shared" si="2"/>
        <v>3493879.18</v>
      </c>
      <c r="F28" s="11">
        <f t="shared" si="3"/>
        <v>374052.93</v>
      </c>
      <c r="G28" s="11">
        <f t="array" ref="G28">IFERROR(INDEX('Cash Flow (Annual)'!J:J,MATCH(A28,'Cash Flow (Annual)'!A:A,0)),0)</f>
        <v>7000</v>
      </c>
      <c r="H28" s="11">
        <f>ROUND(F28*retGrow,2)</f>
        <v>26183.71</v>
      </c>
      <c r="I28" s="11">
        <f t="shared" si="4"/>
        <v>407236.64</v>
      </c>
      <c r="J28" s="11">
        <f t="shared" si="5"/>
        <v>2995216.33</v>
      </c>
      <c r="K28" s="11">
        <f t="array" ref="K28">IFERROR(INDEX('Cash Flow (Annual)'!$K:$K, MATCH($A28, 'Cash Flow (Annual)'!$A:$A, 0)), 0)
+ IFERROR(INDEX('Cash Flow (Annual)'!$P:$P, MATCH($A28, 'Cash Flow (Annual)'!$A:$A, 0)), 0)</f>
        <v>129328.58</v>
      </c>
      <c r="L28" s="11">
        <f>ROUND( J28*etfGrow, 2 )</f>
        <v>209665.14</v>
      </c>
      <c r="M28" s="11">
        <f t="shared" si="6"/>
        <v>3334210.05</v>
      </c>
      <c r="N28" s="11">
        <f t="shared" si="7"/>
        <v>177151.3611</v>
      </c>
      <c r="O28" s="11">
        <f t="array" ref="O28">IFERROR(INDEX('Cash Flow (Annual)'!$L:$L, MATCH($A28, 'Cash Flow (Annual)'!$A:$A, 0)), 0)
+ IFERROR(INDEX('Cash Flow (Annual)'!$Q:$Q, MATCH($A28, 'Cash Flow (Annual)'!$A:$A, 0)), 0)</f>
        <v>90530.01</v>
      </c>
      <c r="P28" s="11">
        <f>ROUND(N28*reCashYield,2)</f>
        <v>5314.54</v>
      </c>
      <c r="Q28" s="11">
        <f t="shared" si="8"/>
        <v>272995.91</v>
      </c>
      <c r="R28" s="11">
        <f>Q28 - IFERROR( SUMIF('RE Purchases'!$K:$K, A28, 'RE Purchases'!$L:$L), 0 )
</f>
        <v>105857.0331</v>
      </c>
      <c r="S28" s="11">
        <f t="shared" si="9"/>
        <v>273775.1</v>
      </c>
      <c r="T28" s="11">
        <f t="array" ref="T28">IFERROR(INDEX('Cash Flow (Annual)'!M:M,MATCH(A28,'Cash Flow (Annual)'!A:A,0)),0)</f>
        <v>0</v>
      </c>
      <c r="U28" s="11">
        <f>ROUND(S28*savGrow,2)</f>
        <v>8213.25</v>
      </c>
      <c r="V28" s="11">
        <f t="shared" si="10"/>
        <v>281988.35</v>
      </c>
      <c r="W28" s="11">
        <f t="shared" si="11"/>
        <v>7623171.253</v>
      </c>
      <c r="X28" s="13">
        <f>E28 + I28 + M28 + R28 + V28
+ SUMPRODUCT(
  ('RE Amortization'!$E$2:$E$1401=$A28) *
  ( VALUE('RE Amortization'!$L$2:$L$1401) - VALUE('RE Amortization'!$J$2:$J$1401) )
)
</f>
        <v>10112724.72</v>
      </c>
      <c r="Y28" s="13">
        <f>IF(X28="","", X28 / (1 + Assumptions!$B$7) ^ (A28 - 16))
</f>
        <v>5065239.144</v>
      </c>
      <c r="Z28" s="1"/>
      <c r="AA28" s="1"/>
      <c r="AB28" s="1"/>
      <c r="AC28" s="1"/>
    </row>
    <row r="29" ht="15.75" customHeight="1">
      <c r="A29" s="1">
        <v>45.0</v>
      </c>
      <c r="B29" s="11">
        <f t="shared" si="1"/>
        <v>3493879.18</v>
      </c>
      <c r="C29" s="11">
        <f t="array" ref="C29">IFERROR(INDEX('Cash Flow (Annual)'!C:C,MATCH(A29,'Cash Flow (Annual)'!A:A,0)) + INDEX('Cash Flow (Annual)'!D:D,MATCH(A29,'Cash Flow (Annual)'!A:A,0)),0)</f>
        <v>68000</v>
      </c>
      <c r="D29" s="11">
        <f>ROUND(B29*retGrow,2)</f>
        <v>244571.54</v>
      </c>
      <c r="E29" s="11">
        <f t="shared" si="2"/>
        <v>3806450.72</v>
      </c>
      <c r="F29" s="11">
        <f t="shared" si="3"/>
        <v>407236.64</v>
      </c>
      <c r="G29" s="11">
        <f t="array" ref="G29">IFERROR(INDEX('Cash Flow (Annual)'!J:J,MATCH(A29,'Cash Flow (Annual)'!A:A,0)),0)</f>
        <v>7000</v>
      </c>
      <c r="H29" s="11">
        <f>ROUND(F29*retGrow,2)</f>
        <v>28506.56</v>
      </c>
      <c r="I29" s="11">
        <f t="shared" si="4"/>
        <v>442743.2</v>
      </c>
      <c r="J29" s="11">
        <f t="shared" si="5"/>
        <v>3334210.05</v>
      </c>
      <c r="K29" s="11">
        <f t="array" ref="K29">IFERROR(INDEX('Cash Flow (Annual)'!$K:$K, MATCH($A29, 'Cash Flow (Annual)'!$A:$A, 0)), 0)
+ IFERROR(INDEX('Cash Flow (Annual)'!$P:$P, MATCH($A29, 'Cash Flow (Annual)'!$A:$A, 0)), 0)</f>
        <v>132267.98</v>
      </c>
      <c r="L29" s="11">
        <f>ROUND( J29*etfGrow, 2 )</f>
        <v>233394.7</v>
      </c>
      <c r="M29" s="11">
        <f t="shared" si="6"/>
        <v>3699872.73</v>
      </c>
      <c r="N29" s="11">
        <f t="shared" si="7"/>
        <v>105857.0331</v>
      </c>
      <c r="O29" s="11">
        <f t="array" ref="O29">IFERROR(INDEX('Cash Flow (Annual)'!$L:$L, MATCH($A29, 'Cash Flow (Annual)'!$A:$A, 0)), 0)
+ IFERROR(INDEX('Cash Flow (Annual)'!$Q:$Q, MATCH($A29, 'Cash Flow (Annual)'!$A:$A, 0)), 0)</f>
        <v>92587.59</v>
      </c>
      <c r="P29" s="11">
        <f>ROUND(N29*reCashYield,2)</f>
        <v>3175.71</v>
      </c>
      <c r="Q29" s="11">
        <f t="shared" si="8"/>
        <v>201620.33</v>
      </c>
      <c r="R29" s="11">
        <f>Q29 - IFERROR( SUMIF('RE Purchases'!$K:$K, A29, 'RE Purchases'!$L:$L), 0 )
</f>
        <v>201620.33</v>
      </c>
      <c r="S29" s="11">
        <f t="shared" si="9"/>
        <v>281988.35</v>
      </c>
      <c r="T29" s="11">
        <f t="array" ref="T29">IFERROR(INDEX('Cash Flow (Annual)'!M:M,MATCH(A29,'Cash Flow (Annual)'!A:A,0)),0)</f>
        <v>0</v>
      </c>
      <c r="U29" s="11">
        <f>ROUND(S29*savGrow,2)</f>
        <v>8459.65</v>
      </c>
      <c r="V29" s="11">
        <f t="shared" si="10"/>
        <v>290448</v>
      </c>
      <c r="W29" s="11">
        <f t="shared" si="11"/>
        <v>8441134.98</v>
      </c>
      <c r="X29" s="13">
        <f>E29 + I29 + M29 + R29 + V29
+ SUMPRODUCT(
  ('RE Amortization'!$E$2:$E$1401=$A29) *
  ( VALUE('RE Amortization'!$L$2:$L$1401) - VALUE('RE Amortization'!$J$2:$J$1401) )
)
</f>
        <v>11182489.31</v>
      </c>
      <c r="Y29" s="13">
        <f>IF(X29="","", X29 / (1 + Assumptions!$B$7) ^ (A29 - 16))
</f>
        <v>5464449.228</v>
      </c>
      <c r="Z29" s="1"/>
      <c r="AA29" s="1"/>
      <c r="AB29" s="1"/>
      <c r="AC29" s="1"/>
    </row>
    <row r="30" ht="15.75" customHeight="1">
      <c r="A30" s="1">
        <v>46.0</v>
      </c>
      <c r="B30" s="11">
        <f t="shared" si="1"/>
        <v>3806450.72</v>
      </c>
      <c r="C30" s="11">
        <f t="array" ref="C30">IFERROR(INDEX('Cash Flow (Annual)'!C:C,MATCH(A30,'Cash Flow (Annual)'!A:A,0)) + INDEX('Cash Flow (Annual)'!D:D,MATCH(A30,'Cash Flow (Annual)'!A:A,0)),0)</f>
        <v>68000</v>
      </c>
      <c r="D30" s="11">
        <f>ROUND(B30*retGrow,2)</f>
        <v>266451.55</v>
      </c>
      <c r="E30" s="11">
        <f t="shared" si="2"/>
        <v>4140902.27</v>
      </c>
      <c r="F30" s="11">
        <f t="shared" si="3"/>
        <v>442743.2</v>
      </c>
      <c r="G30" s="11">
        <f t="array" ref="G30">IFERROR(INDEX('Cash Flow (Annual)'!J:J,MATCH(A30,'Cash Flow (Annual)'!A:A,0)),0)</f>
        <v>7000</v>
      </c>
      <c r="H30" s="11">
        <f>ROUND(F30*retGrow,2)</f>
        <v>30992.02</v>
      </c>
      <c r="I30" s="11">
        <f t="shared" si="4"/>
        <v>480735.22</v>
      </c>
      <c r="J30" s="11">
        <f t="shared" si="5"/>
        <v>3699872.73</v>
      </c>
      <c r="K30" s="11">
        <f t="array" ref="K30">IFERROR(INDEX('Cash Flow (Annual)'!$K:$K, MATCH($A30, 'Cash Flow (Annual)'!$A:$A, 0)), 0)
+ IFERROR(INDEX('Cash Flow (Annual)'!$P:$P, MATCH($A30, 'Cash Flow (Annual)'!$A:$A, 0)), 0)</f>
        <v>135280.86</v>
      </c>
      <c r="L30" s="11">
        <f>ROUND( J30*etfGrow, 2 )</f>
        <v>258991.09</v>
      </c>
      <c r="M30" s="11">
        <f t="shared" si="6"/>
        <v>4094144.68</v>
      </c>
      <c r="N30" s="11">
        <f t="shared" si="7"/>
        <v>201620.33</v>
      </c>
      <c r="O30" s="11">
        <f t="array" ref="O30">IFERROR(INDEX('Cash Flow (Annual)'!$L:$L, MATCH($A30, 'Cash Flow (Annual)'!$A:$A, 0)), 0)
+ IFERROR(INDEX('Cash Flow (Annual)'!$Q:$Q, MATCH($A30, 'Cash Flow (Annual)'!$A:$A, 0)), 0)</f>
        <v>94696.605</v>
      </c>
      <c r="P30" s="11">
        <f>ROUND(N30*reCashYield,2)</f>
        <v>6048.61</v>
      </c>
      <c r="Q30" s="11">
        <f t="shared" si="8"/>
        <v>302365.55</v>
      </c>
      <c r="R30" s="11">
        <f>Q30 - IFERROR( SUMIF('RE Purchases'!$K:$K, A30, 'RE Purchases'!$L:$L), 0 )
</f>
        <v>126765.2674</v>
      </c>
      <c r="S30" s="11">
        <f t="shared" si="9"/>
        <v>290448</v>
      </c>
      <c r="T30" s="11">
        <f t="array" ref="T30">IFERROR(INDEX('Cash Flow (Annual)'!M:M,MATCH(A30,'Cash Flow (Annual)'!A:A,0)),0)</f>
        <v>0</v>
      </c>
      <c r="U30" s="11">
        <f>ROUND(S30*savGrow,2)</f>
        <v>8713.44</v>
      </c>
      <c r="V30" s="11">
        <f t="shared" si="10"/>
        <v>299161.44</v>
      </c>
      <c r="W30" s="11">
        <f t="shared" si="11"/>
        <v>9141708.877</v>
      </c>
      <c r="X30" s="13">
        <f>E30 + I30 + M30 + R30 + V30
+ SUMPRODUCT(
  ('RE Amortization'!$E$2:$E$1401=$A30) *
  ( VALUE('RE Amortization'!$L$2:$L$1401) - VALUE('RE Amortization'!$J$2:$J$1401) )
)
</f>
        <v>12279849.28</v>
      </c>
      <c r="Y30" s="13">
        <f>IF(X30="","", X30 / (1 + Assumptions!$B$7) ^ (A30 - 16))
</f>
        <v>5854328.319</v>
      </c>
      <c r="Z30" s="1"/>
      <c r="AA30" s="1"/>
      <c r="AB30" s="1"/>
      <c r="AC30" s="1"/>
    </row>
    <row r="31" ht="15.75" customHeight="1">
      <c r="A31" s="1">
        <v>47.0</v>
      </c>
      <c r="B31" s="11">
        <f t="shared" si="1"/>
        <v>4140902.27</v>
      </c>
      <c r="C31" s="11">
        <f t="array" ref="C31">IFERROR(INDEX('Cash Flow (Annual)'!C:C,MATCH(A31,'Cash Flow (Annual)'!A:A,0)) + INDEX('Cash Flow (Annual)'!D:D,MATCH(A31,'Cash Flow (Annual)'!A:A,0)),0)</f>
        <v>68000</v>
      </c>
      <c r="D31" s="11">
        <f>ROUND(B31*retGrow,2)</f>
        <v>289863.16</v>
      </c>
      <c r="E31" s="11">
        <f t="shared" si="2"/>
        <v>4498765.43</v>
      </c>
      <c r="F31" s="11">
        <f t="shared" si="3"/>
        <v>480735.22</v>
      </c>
      <c r="G31" s="11">
        <f t="array" ref="G31">IFERROR(INDEX('Cash Flow (Annual)'!J:J,MATCH(A31,'Cash Flow (Annual)'!A:A,0)),0)</f>
        <v>7000</v>
      </c>
      <c r="H31" s="11">
        <f>ROUND(F31*retGrow,2)</f>
        <v>33651.47</v>
      </c>
      <c r="I31" s="11">
        <f t="shared" si="4"/>
        <v>521386.69</v>
      </c>
      <c r="J31" s="11">
        <f t="shared" si="5"/>
        <v>4094144.68</v>
      </c>
      <c r="K31" s="11">
        <f t="array" ref="K31">IFERROR(INDEX('Cash Flow (Annual)'!$K:$K, MATCH($A31, 'Cash Flow (Annual)'!$A:$A, 0)), 0)
+ IFERROR(INDEX('Cash Flow (Annual)'!$P:$P, MATCH($A31, 'Cash Flow (Annual)'!$A:$A, 0)), 0)</f>
        <v>138369.06</v>
      </c>
      <c r="L31" s="11">
        <f>ROUND( J31*etfGrow, 2 )</f>
        <v>286590.13</v>
      </c>
      <c r="M31" s="11">
        <f t="shared" si="6"/>
        <v>4519103.87</v>
      </c>
      <c r="N31" s="11">
        <f t="shared" si="7"/>
        <v>126765.2674</v>
      </c>
      <c r="O31" s="11">
        <f t="array" ref="O31">IFERROR(INDEX('Cash Flow (Annual)'!$L:$L, MATCH($A31, 'Cash Flow (Annual)'!$A:$A, 0)), 0)
+ IFERROR(INDEX('Cash Flow (Annual)'!$Q:$Q, MATCH($A31, 'Cash Flow (Annual)'!$A:$A, 0)), 0)</f>
        <v>96858.345</v>
      </c>
      <c r="P31" s="11">
        <f>ROUND(N31*reCashYield,2)</f>
        <v>3802.96</v>
      </c>
      <c r="Q31" s="11">
        <f t="shared" si="8"/>
        <v>227426.57</v>
      </c>
      <c r="R31" s="11">
        <f>Q31 - IFERROR( SUMIF('RE Purchases'!$K:$K, A31, 'RE Purchases'!$L:$L), 0 )
</f>
        <v>227426.57</v>
      </c>
      <c r="S31" s="11">
        <f t="shared" si="9"/>
        <v>299161.44</v>
      </c>
      <c r="T31" s="11">
        <f t="array" ref="T31">IFERROR(INDEX('Cash Flow (Annual)'!M:M,MATCH(A31,'Cash Flow (Annual)'!A:A,0)),0)</f>
        <v>0</v>
      </c>
      <c r="U31" s="11">
        <f>ROUND(S31*savGrow,2)</f>
        <v>8974.84</v>
      </c>
      <c r="V31" s="11">
        <f t="shared" si="10"/>
        <v>308136.28</v>
      </c>
      <c r="W31" s="11">
        <f t="shared" si="11"/>
        <v>10074818.84</v>
      </c>
      <c r="X31" s="13">
        <f>E31 + I31 + M31 + R31 + V31
+ SUMPRODUCT(
  ('RE Amortization'!$E$2:$E$1401=$A31) *
  ( VALUE('RE Amortization'!$L$2:$L$1401) - VALUE('RE Amortization'!$J$2:$J$1401) )
)
</f>
        <v>13513673.79</v>
      </c>
      <c r="Y31" s="13">
        <f>IF(X31="","", X31 / (1 + Assumptions!$B$7) ^ (A31 - 16))
</f>
        <v>6285409.882</v>
      </c>
      <c r="Z31" s="1"/>
      <c r="AA31" s="1"/>
      <c r="AB31" s="1"/>
      <c r="AC31" s="1"/>
    </row>
    <row r="32" ht="15.75" customHeight="1">
      <c r="A32" s="1">
        <v>48.0</v>
      </c>
      <c r="B32" s="11">
        <f t="shared" si="1"/>
        <v>4498765.43</v>
      </c>
      <c r="C32" s="11">
        <f t="array" ref="C32">IFERROR(INDEX('Cash Flow (Annual)'!C:C,MATCH(A32,'Cash Flow (Annual)'!A:A,0)) + INDEX('Cash Flow (Annual)'!D:D,MATCH(A32,'Cash Flow (Annual)'!A:A,0)),0)</f>
        <v>68000</v>
      </c>
      <c r="D32" s="11">
        <f>ROUND(B32*retGrow,2)</f>
        <v>314913.58</v>
      </c>
      <c r="E32" s="11">
        <f t="shared" si="2"/>
        <v>4881679.01</v>
      </c>
      <c r="F32" s="11">
        <f t="shared" si="3"/>
        <v>521386.69</v>
      </c>
      <c r="G32" s="11">
        <f t="array" ref="G32">IFERROR(INDEX('Cash Flow (Annual)'!J:J,MATCH(A32,'Cash Flow (Annual)'!A:A,0)),0)</f>
        <v>7000</v>
      </c>
      <c r="H32" s="11">
        <f>ROUND(F32*retGrow,2)</f>
        <v>36497.07</v>
      </c>
      <c r="I32" s="11">
        <f t="shared" si="4"/>
        <v>564883.76</v>
      </c>
      <c r="J32" s="11">
        <f t="shared" si="5"/>
        <v>4519103.87</v>
      </c>
      <c r="K32" s="11">
        <f t="array" ref="K32">IFERROR(INDEX('Cash Flow (Annual)'!$K:$K, MATCH($A32, 'Cash Flow (Annual)'!$A:$A, 0)), 0)
+ IFERROR(INDEX('Cash Flow (Annual)'!$P:$P, MATCH($A32, 'Cash Flow (Annual)'!$A:$A, 0)), 0)</f>
        <v>141534.49</v>
      </c>
      <c r="L32" s="11">
        <f>ROUND( J32*etfGrow, 2 )</f>
        <v>316337.27</v>
      </c>
      <c r="M32" s="11">
        <f t="shared" si="6"/>
        <v>4976975.63</v>
      </c>
      <c r="N32" s="11">
        <f t="shared" si="7"/>
        <v>227426.57</v>
      </c>
      <c r="O32" s="11">
        <f t="array" ref="O32">IFERROR(INDEX('Cash Flow (Annual)'!$L:$L, MATCH($A32, 'Cash Flow (Annual)'!$A:$A, 0)), 0)
+ IFERROR(INDEX('Cash Flow (Annual)'!$Q:$Q, MATCH($A32, 'Cash Flow (Annual)'!$A:$A, 0)), 0)</f>
        <v>99074.14</v>
      </c>
      <c r="P32" s="11">
        <f>ROUND(N32*reCashYield,2)</f>
        <v>6822.8</v>
      </c>
      <c r="Q32" s="11">
        <f t="shared" si="8"/>
        <v>333323.51</v>
      </c>
      <c r="R32" s="11">
        <f>Q32 - IFERROR( SUMIF('RE Purchases'!$K:$K, A32, 'RE Purchases'!$L:$L), 0 )
</f>
        <v>148833.4631</v>
      </c>
      <c r="S32" s="11">
        <f t="shared" si="9"/>
        <v>308136.28</v>
      </c>
      <c r="T32" s="11">
        <f t="array" ref="T32">IFERROR(INDEX('Cash Flow (Annual)'!M:M,MATCH(A32,'Cash Flow (Annual)'!A:A,0)),0)</f>
        <v>0</v>
      </c>
      <c r="U32" s="11">
        <f>ROUND(S32*savGrow,2)</f>
        <v>9244.09</v>
      </c>
      <c r="V32" s="11">
        <f t="shared" si="10"/>
        <v>317380.37</v>
      </c>
      <c r="W32" s="11">
        <f t="shared" si="11"/>
        <v>10889752.23</v>
      </c>
      <c r="X32" s="13">
        <f>E32 + I32 + M32 + R32 + V32
+ SUMPRODUCT(
  ('RE Amortization'!$E$2:$E$1401=$A32) *
  ( VALUE('RE Amortization'!$L$2:$L$1401) - VALUE('RE Amortization'!$J$2:$J$1401) )
)
</f>
        <v>14783346.81</v>
      </c>
      <c r="Y32" s="13">
        <f>IF(X32="","", X32 / (1 + Assumptions!$B$7) ^ (A32 - 16))
</f>
        <v>6708247.43</v>
      </c>
      <c r="Z32" s="1"/>
      <c r="AA32" s="1"/>
      <c r="AB32" s="1"/>
      <c r="AC32" s="1"/>
    </row>
    <row r="33" ht="15.75" customHeight="1">
      <c r="A33" s="1">
        <v>49.0</v>
      </c>
      <c r="B33" s="11">
        <f t="shared" si="1"/>
        <v>4881679.01</v>
      </c>
      <c r="C33" s="11">
        <f t="array" ref="C33">IFERROR(INDEX('Cash Flow (Annual)'!C:C,MATCH(A33,'Cash Flow (Annual)'!A:A,0)) + INDEX('Cash Flow (Annual)'!D:D,MATCH(A33,'Cash Flow (Annual)'!A:A,0)),0)</f>
        <v>68000</v>
      </c>
      <c r="D33" s="11">
        <f>ROUND(B33*retGrow,2)</f>
        <v>341717.53</v>
      </c>
      <c r="E33" s="11">
        <f t="shared" si="2"/>
        <v>5291396.54</v>
      </c>
      <c r="F33" s="11">
        <f t="shared" si="3"/>
        <v>564883.76</v>
      </c>
      <c r="G33" s="11">
        <f t="array" ref="G33">IFERROR(INDEX('Cash Flow (Annual)'!J:J,MATCH(A33,'Cash Flow (Annual)'!A:A,0)),0)</f>
        <v>7000</v>
      </c>
      <c r="H33" s="11">
        <f>ROUND(F33*retGrow,2)</f>
        <v>39541.86</v>
      </c>
      <c r="I33" s="11">
        <f t="shared" si="4"/>
        <v>611425.62</v>
      </c>
      <c r="J33" s="11">
        <f t="shared" si="5"/>
        <v>4976975.63</v>
      </c>
      <c r="K33" s="11">
        <f t="array" ref="K33">IFERROR(INDEX('Cash Flow (Annual)'!$K:$K, MATCH($A33, 'Cash Flow (Annual)'!$A:$A, 0)), 0)
+ IFERROR(INDEX('Cash Flow (Annual)'!$P:$P, MATCH($A33, 'Cash Flow (Annual)'!$A:$A, 0)), 0)</f>
        <v>144779.03</v>
      </c>
      <c r="L33" s="11">
        <f>ROUND( J33*etfGrow, 2 )</f>
        <v>348388.29</v>
      </c>
      <c r="M33" s="11">
        <f t="shared" si="6"/>
        <v>5470142.95</v>
      </c>
      <c r="N33" s="11">
        <f t="shared" si="7"/>
        <v>148833.4631</v>
      </c>
      <c r="O33" s="11">
        <f t="array" ref="O33">IFERROR(INDEX('Cash Flow (Annual)'!$L:$L, MATCH($A33, 'Cash Flow (Annual)'!$A:$A, 0)), 0)
+ IFERROR(INDEX('Cash Flow (Annual)'!$Q:$Q, MATCH($A33, 'Cash Flow (Annual)'!$A:$A, 0)), 0)</f>
        <v>101345.325</v>
      </c>
      <c r="P33" s="11">
        <f>ROUND(N33*reCashYield,2)</f>
        <v>4465</v>
      </c>
      <c r="Q33" s="11">
        <f t="shared" si="8"/>
        <v>254643.79</v>
      </c>
      <c r="R33" s="11">
        <f>Q33 - IFERROR( SUMIF('RE Purchases'!$K:$K, A33, 'RE Purchases'!$L:$L), 0 )
</f>
        <v>254643.79</v>
      </c>
      <c r="S33" s="11">
        <f t="shared" si="9"/>
        <v>317380.37</v>
      </c>
      <c r="T33" s="11">
        <f t="array" ref="T33">IFERROR(INDEX('Cash Flow (Annual)'!M:M,MATCH(A33,'Cash Flow (Annual)'!A:A,0)),0)</f>
        <v>0</v>
      </c>
      <c r="U33" s="11">
        <f>ROUND(S33*savGrow,2)</f>
        <v>9521.41</v>
      </c>
      <c r="V33" s="11">
        <f t="shared" si="10"/>
        <v>326901.78</v>
      </c>
      <c r="W33" s="11">
        <f t="shared" si="11"/>
        <v>11954510.68</v>
      </c>
      <c r="X33" s="13">
        <f>E33 + I33 + M33 + R33 + V33
+ SUMPRODUCT(
  ('RE Amortization'!$E$2:$E$1401=$A33) *
  ( VALUE('RE Amortization'!$L$2:$L$1401) - VALUE('RE Amortization'!$J$2:$J$1401) )
)
</f>
        <v>16203694.61</v>
      </c>
      <c r="Y33" s="13">
        <f>IF(X33="","", X33 / (1 + Assumptions!$B$7) ^ (A33 - 16))
</f>
        <v>7173423.835</v>
      </c>
      <c r="Z33" s="1"/>
      <c r="AA33" s="1"/>
      <c r="AB33" s="1"/>
      <c r="AC33" s="1"/>
    </row>
    <row r="34" ht="15.75" customHeight="1">
      <c r="A34" s="1">
        <v>50.0</v>
      </c>
      <c r="B34" s="11">
        <f t="shared" si="1"/>
        <v>5291396.54</v>
      </c>
      <c r="C34" s="11">
        <f t="array" ref="C34">IFERROR(INDEX('Cash Flow (Annual)'!C:C,MATCH(A34,'Cash Flow (Annual)'!A:A,0)) + INDEX('Cash Flow (Annual)'!D:D,MATCH(A34,'Cash Flow (Annual)'!A:A,0)),0)</f>
        <v>80000</v>
      </c>
      <c r="D34" s="11">
        <f>ROUND(B34*retGrow,2)</f>
        <v>370397.76</v>
      </c>
      <c r="E34" s="11">
        <f t="shared" si="2"/>
        <v>5741794.3</v>
      </c>
      <c r="F34" s="11">
        <f t="shared" si="3"/>
        <v>611425.62</v>
      </c>
      <c r="G34" s="11">
        <f t="array" ref="G34">IFERROR(INDEX('Cash Flow (Annual)'!J:J,MATCH(A34,'Cash Flow (Annual)'!A:A,0)),0)</f>
        <v>8000</v>
      </c>
      <c r="H34" s="11">
        <f>ROUND(F34*retGrow,2)</f>
        <v>42799.79</v>
      </c>
      <c r="I34" s="11">
        <f t="shared" si="4"/>
        <v>662225.41</v>
      </c>
      <c r="J34" s="11">
        <f t="shared" si="5"/>
        <v>5470142.95</v>
      </c>
      <c r="K34" s="11">
        <f t="array" ref="K34">IFERROR(INDEX('Cash Flow (Annual)'!$K:$K, MATCH($A34, 'Cash Flow (Annual)'!$A:$A, 0)), 0)
+ IFERROR(INDEX('Cash Flow (Annual)'!$P:$P, MATCH($A34, 'Cash Flow (Annual)'!$A:$A, 0)), 0)</f>
        <v>146698.49</v>
      </c>
      <c r="L34" s="11">
        <f>ROUND( J34*etfGrow, 2 )</f>
        <v>382910.01</v>
      </c>
      <c r="M34" s="11">
        <f t="shared" si="6"/>
        <v>5999751.45</v>
      </c>
      <c r="N34" s="11">
        <f t="shared" si="7"/>
        <v>254643.79</v>
      </c>
      <c r="O34" s="11">
        <f t="array" ref="O34">IFERROR(INDEX('Cash Flow (Annual)'!$L:$L, MATCH($A34, 'Cash Flow (Annual)'!$A:$A, 0)), 0)
+ IFERROR(INDEX('Cash Flow (Annual)'!$Q:$Q, MATCH($A34, 'Cash Flow (Annual)'!$A:$A, 0)), 0)</f>
        <v>102688.95</v>
      </c>
      <c r="P34" s="11">
        <f>ROUND(N34*reCashYield,2)</f>
        <v>7639.31</v>
      </c>
      <c r="Q34" s="11">
        <f t="shared" si="8"/>
        <v>364972.05</v>
      </c>
      <c r="R34" s="11">
        <f>Q34 - IFERROR( SUMIF('RE Purchases'!$K:$K, A34, 'RE Purchases'!$L:$L), 0 )
</f>
        <v>171142.1945</v>
      </c>
      <c r="S34" s="11">
        <f t="shared" si="9"/>
        <v>326901.78</v>
      </c>
      <c r="T34" s="11">
        <f t="array" ref="T34">IFERROR(INDEX('Cash Flow (Annual)'!M:M,MATCH(A34,'Cash Flow (Annual)'!A:A,0)),0)</f>
        <v>0</v>
      </c>
      <c r="U34" s="11">
        <f>ROUND(S34*savGrow,2)</f>
        <v>9807.05</v>
      </c>
      <c r="V34" s="11">
        <f t="shared" si="10"/>
        <v>336708.83</v>
      </c>
      <c r="W34" s="11">
        <f t="shared" si="11"/>
        <v>12911622.18</v>
      </c>
      <c r="X34" s="13">
        <f>E34 + I34 + M34 + R34 + V34
+ SUMPRODUCT(
  ('RE Amortization'!$E$2:$E$1401=$A34) *
  ( VALUE('RE Amortization'!$L$2:$L$1401) - VALUE('RE Amortization'!$J$2:$J$1401) )
)
</f>
        <v>17680092.45</v>
      </c>
      <c r="Y34" s="13">
        <f>IF(X34="","", X34 / (1 + Assumptions!$B$7) ^ (A34 - 16))
</f>
        <v>7636126.394</v>
      </c>
      <c r="Z34" s="1"/>
      <c r="AA34" s="1"/>
      <c r="AB34" s="1"/>
      <c r="AC34" s="1"/>
    </row>
    <row r="35" ht="15.75" customHeight="1">
      <c r="A35" s="1">
        <v>51.0</v>
      </c>
      <c r="B35" s="11">
        <f t="shared" si="1"/>
        <v>5741794.3</v>
      </c>
      <c r="C35" s="11">
        <f t="array" ref="C35">IFERROR(INDEX('Cash Flow (Annual)'!C:C,MATCH(A35,'Cash Flow (Annual)'!A:A,0)) + INDEX('Cash Flow (Annual)'!D:D,MATCH(A35,'Cash Flow (Annual)'!A:A,0)),0)</f>
        <v>80000</v>
      </c>
      <c r="D35" s="11">
        <f>ROUND(B35*retGrow,2)</f>
        <v>401925.6</v>
      </c>
      <c r="E35" s="11">
        <f t="shared" si="2"/>
        <v>6223719.9</v>
      </c>
      <c r="F35" s="11">
        <f t="shared" si="3"/>
        <v>662225.41</v>
      </c>
      <c r="G35" s="11">
        <f t="array" ref="G35">IFERROR(INDEX('Cash Flow (Annual)'!J:J,MATCH(A35,'Cash Flow (Annual)'!A:A,0)),0)</f>
        <v>8000</v>
      </c>
      <c r="H35" s="11">
        <f>ROUND(F35*retGrow,2)</f>
        <v>46355.78</v>
      </c>
      <c r="I35" s="11">
        <f t="shared" si="4"/>
        <v>716581.19</v>
      </c>
      <c r="J35" s="11">
        <f t="shared" si="5"/>
        <v>5999751.45</v>
      </c>
      <c r="K35" s="11">
        <f t="array" ref="K35">IFERROR(INDEX('Cash Flow (Annual)'!$K:$K, MATCH($A35, 'Cash Flow (Annual)'!$A:$A, 0)), 0)
+ IFERROR(INDEX('Cash Flow (Annual)'!$P:$P, MATCH($A35, 'Cash Flow (Annual)'!$A:$A, 0)), 0)</f>
        <v>150107.3</v>
      </c>
      <c r="L35" s="11">
        <f>ROUND( J35*etfGrow, 2 )</f>
        <v>419982.6</v>
      </c>
      <c r="M35" s="11">
        <f t="shared" si="6"/>
        <v>6569841.35</v>
      </c>
      <c r="N35" s="11">
        <f t="shared" si="7"/>
        <v>171142.1945</v>
      </c>
      <c r="O35" s="11">
        <f t="array" ref="O35">IFERROR(INDEX('Cash Flow (Annual)'!$L:$L, MATCH($A35, 'Cash Flow (Annual)'!$A:$A, 0)), 0)
+ IFERROR(INDEX('Cash Flow (Annual)'!$Q:$Q, MATCH($A35, 'Cash Flow (Annual)'!$A:$A, 0)), 0)</f>
        <v>105075.11</v>
      </c>
      <c r="P35" s="11">
        <f>ROUND(N35*reCashYield,2)</f>
        <v>5134.27</v>
      </c>
      <c r="Q35" s="11">
        <f t="shared" si="8"/>
        <v>281351.57</v>
      </c>
      <c r="R35" s="11">
        <f>Q35 - IFERROR( SUMIF('RE Purchases'!$K:$K, A35, 'RE Purchases'!$L:$L), 0 )
</f>
        <v>281351.57</v>
      </c>
      <c r="S35" s="11">
        <f t="shared" si="9"/>
        <v>336708.83</v>
      </c>
      <c r="T35" s="11">
        <f t="array" ref="T35">IFERROR(INDEX('Cash Flow (Annual)'!M:M,MATCH(A35,'Cash Flow (Annual)'!A:A,0)),0)</f>
        <v>0</v>
      </c>
      <c r="U35" s="11">
        <f>ROUND(S35*savGrow,2)</f>
        <v>10101.26</v>
      </c>
      <c r="V35" s="11">
        <f t="shared" si="10"/>
        <v>346810.09</v>
      </c>
      <c r="W35" s="11">
        <f t="shared" si="11"/>
        <v>14138304.1</v>
      </c>
      <c r="X35" s="13">
        <f>E35 + I35 + M35 + R35 + V35
+ SUMPRODUCT(
  ('RE Amortization'!$E$2:$E$1401=$A35) *
  ( VALUE('RE Amortization'!$L$2:$L$1401) - VALUE('RE Amortization'!$J$2:$J$1401) )
)
</f>
        <v>19323859.71</v>
      </c>
      <c r="Y35" s="13">
        <f>IF(X35="","", X35 / (1 + Assumptions!$B$7) ^ (A35 - 16))
</f>
        <v>8142515.371</v>
      </c>
      <c r="Z35" s="1"/>
      <c r="AA35" s="1"/>
      <c r="AB35" s="1"/>
      <c r="AC35" s="1"/>
    </row>
    <row r="36" ht="15.75" customHeight="1">
      <c r="A36" s="1">
        <v>52.0</v>
      </c>
      <c r="B36" s="11">
        <f t="shared" si="1"/>
        <v>6223719.9</v>
      </c>
      <c r="C36" s="11">
        <f t="array" ref="C36">IFERROR(INDEX('Cash Flow (Annual)'!C:C,MATCH(A36,'Cash Flow (Annual)'!A:A,0)) + INDEX('Cash Flow (Annual)'!D:D,MATCH(A36,'Cash Flow (Annual)'!A:A,0)),0)</f>
        <v>80000</v>
      </c>
      <c r="D36" s="11">
        <f>ROUND(B36*retGrow,2)</f>
        <v>435660.39</v>
      </c>
      <c r="E36" s="11">
        <f t="shared" si="2"/>
        <v>6739380.29</v>
      </c>
      <c r="F36" s="11">
        <f t="shared" si="3"/>
        <v>716581.19</v>
      </c>
      <c r="G36" s="11">
        <f t="array" ref="G36">IFERROR(INDEX('Cash Flow (Annual)'!J:J,MATCH(A36,'Cash Flow (Annual)'!A:A,0)),0)</f>
        <v>8000</v>
      </c>
      <c r="H36" s="11">
        <f>ROUND(F36*retGrow,2)</f>
        <v>50160.68</v>
      </c>
      <c r="I36" s="11">
        <f t="shared" si="4"/>
        <v>774741.87</v>
      </c>
      <c r="J36" s="11">
        <f t="shared" si="5"/>
        <v>6569841.35</v>
      </c>
      <c r="K36" s="11">
        <f t="array" ref="K36">IFERROR(INDEX('Cash Flow (Annual)'!$K:$K, MATCH($A36, 'Cash Flow (Annual)'!$A:$A, 0)), 0)
+ IFERROR(INDEX('Cash Flow (Annual)'!$P:$P, MATCH($A36, 'Cash Flow (Annual)'!$A:$A, 0)), 0)</f>
        <v>153601.32</v>
      </c>
      <c r="L36" s="11">
        <f>ROUND( J36*etfGrow, 2 )</f>
        <v>459888.89</v>
      </c>
      <c r="M36" s="11">
        <f t="shared" si="6"/>
        <v>7183331.56</v>
      </c>
      <c r="N36" s="11">
        <f t="shared" si="7"/>
        <v>281351.57</v>
      </c>
      <c r="O36" s="11">
        <f t="array" ref="O36">IFERROR(INDEX('Cash Flow (Annual)'!$L:$L, MATCH($A36, 'Cash Flow (Annual)'!$A:$A, 0)), 0)
+ IFERROR(INDEX('Cash Flow (Annual)'!$Q:$Q, MATCH($A36, 'Cash Flow (Annual)'!$A:$A, 0)), 0)</f>
        <v>107520.92</v>
      </c>
      <c r="P36" s="11">
        <f>ROUND(N36*reCashYield,2)</f>
        <v>8440.55</v>
      </c>
      <c r="Q36" s="11">
        <f t="shared" si="8"/>
        <v>397313.04</v>
      </c>
      <c r="R36" s="11">
        <f>Q36 - IFERROR( SUMIF('RE Purchases'!$K:$K, A36, 'RE Purchases'!$L:$L), 0 )
</f>
        <v>193670.5481</v>
      </c>
      <c r="S36" s="11">
        <f t="shared" si="9"/>
        <v>346810.09</v>
      </c>
      <c r="T36" s="11">
        <f t="array" ref="T36">IFERROR(INDEX('Cash Flow (Annual)'!M:M,MATCH(A36,'Cash Flow (Annual)'!A:A,0)),0)</f>
        <v>0</v>
      </c>
      <c r="U36" s="11">
        <f>ROUND(S36*savGrow,2)</f>
        <v>10404.3</v>
      </c>
      <c r="V36" s="11">
        <f t="shared" si="10"/>
        <v>357214.39</v>
      </c>
      <c r="W36" s="11">
        <f t="shared" si="11"/>
        <v>15248338.66</v>
      </c>
      <c r="X36" s="13">
        <f>E36 + I36 + M36 + R36 + V36
+ SUMPRODUCT(
  ('RE Amortization'!$E$2:$E$1401=$A36) *
  ( VALUE('RE Amortization'!$L$2:$L$1401) - VALUE('RE Amortization'!$J$2:$J$1401) )
)
</f>
        <v>21025031.75</v>
      </c>
      <c r="Y36" s="13">
        <f>IF(X36="","", X36 / (1 + Assumptions!$B$7) ^ (A36 - 16))
</f>
        <v>8643258.585</v>
      </c>
      <c r="Z36" s="1"/>
      <c r="AA36" s="1"/>
      <c r="AB36" s="1"/>
      <c r="AC36" s="1"/>
    </row>
    <row r="37" ht="15.75" customHeight="1">
      <c r="A37" s="1">
        <v>53.0</v>
      </c>
      <c r="B37" s="11">
        <f t="shared" si="1"/>
        <v>6739380.29</v>
      </c>
      <c r="C37" s="11">
        <f t="array" ref="C37">IFERROR(INDEX('Cash Flow (Annual)'!C:C,MATCH(A37,'Cash Flow (Annual)'!A:A,0)) + INDEX('Cash Flow (Annual)'!D:D,MATCH(A37,'Cash Flow (Annual)'!A:A,0)),0)</f>
        <v>80000</v>
      </c>
      <c r="D37" s="11">
        <f>ROUND(B37*retGrow,2)</f>
        <v>471756.62</v>
      </c>
      <c r="E37" s="11">
        <f t="shared" si="2"/>
        <v>7291136.91</v>
      </c>
      <c r="F37" s="11">
        <f t="shared" si="3"/>
        <v>774741.87</v>
      </c>
      <c r="G37" s="11">
        <f t="array" ref="G37">IFERROR(INDEX('Cash Flow (Annual)'!J:J,MATCH(A37,'Cash Flow (Annual)'!A:A,0)),0)</f>
        <v>8000</v>
      </c>
      <c r="H37" s="11">
        <f>ROUND(F37*retGrow,2)</f>
        <v>54231.93</v>
      </c>
      <c r="I37" s="11">
        <f t="shared" si="4"/>
        <v>836973.8</v>
      </c>
      <c r="J37" s="11">
        <f t="shared" si="5"/>
        <v>7183331.56</v>
      </c>
      <c r="K37" s="11">
        <f t="array" ref="K37">IFERROR(INDEX('Cash Flow (Annual)'!$K:$K, MATCH($A37, 'Cash Flow (Annual)'!$A:$A, 0)), 0)
+ IFERROR(INDEX('Cash Flow (Annual)'!$P:$P, MATCH($A37, 'Cash Flow (Annual)'!$A:$A, 0)), 0)</f>
        <v>157182.7</v>
      </c>
      <c r="L37" s="11">
        <f>ROUND( J37*etfGrow, 2 )</f>
        <v>502833.21</v>
      </c>
      <c r="M37" s="11">
        <f t="shared" si="6"/>
        <v>7843347.47</v>
      </c>
      <c r="N37" s="11">
        <f t="shared" si="7"/>
        <v>193670.5481</v>
      </c>
      <c r="O37" s="11">
        <f t="array" ref="O37">IFERROR(INDEX('Cash Flow (Annual)'!$L:$L, MATCH($A37, 'Cash Flow (Annual)'!$A:$A, 0)), 0)
+ IFERROR(INDEX('Cash Flow (Annual)'!$Q:$Q, MATCH($A37, 'Cash Flow (Annual)'!$A:$A, 0)), 0)</f>
        <v>110027.89</v>
      </c>
      <c r="P37" s="11">
        <f>ROUND(N37*reCashYield,2)</f>
        <v>5810.12</v>
      </c>
      <c r="Q37" s="11">
        <f t="shared" si="8"/>
        <v>309508.56</v>
      </c>
      <c r="R37" s="11">
        <f>Q37 - IFERROR( SUMIF('RE Purchases'!$K:$K, A37, 'RE Purchases'!$L:$L), 0 )
</f>
        <v>309508.56</v>
      </c>
      <c r="S37" s="11">
        <f t="shared" si="9"/>
        <v>357214.39</v>
      </c>
      <c r="T37" s="11">
        <f t="array" ref="T37">IFERROR(INDEX('Cash Flow (Annual)'!M:M,MATCH(A37,'Cash Flow (Annual)'!A:A,0)),0)</f>
        <v>0</v>
      </c>
      <c r="U37" s="11">
        <f>ROUND(S37*savGrow,2)</f>
        <v>10716.43</v>
      </c>
      <c r="V37" s="11">
        <f t="shared" si="10"/>
        <v>367930.82</v>
      </c>
      <c r="W37" s="11">
        <f t="shared" si="11"/>
        <v>16648897.56</v>
      </c>
      <c r="X37" s="13">
        <f>E37 + I37 + M37 + R37 + V37
+ SUMPRODUCT(
  ('RE Amortization'!$E$2:$E$1401=$A37) *
  ( VALUE('RE Amortization'!$L$2:$L$1401) - VALUE('RE Amortization'!$J$2:$J$1401) )
)
</f>
        <v>22911525.96</v>
      </c>
      <c r="Y37" s="13">
        <f>IF(X37="","", X37 / (1 + Assumptions!$B$7) ^ (A37 - 16))
</f>
        <v>9189058.061</v>
      </c>
      <c r="Z37" s="1"/>
      <c r="AA37" s="1"/>
      <c r="AB37" s="1"/>
      <c r="AC37" s="1"/>
    </row>
    <row r="38" ht="15.75" customHeight="1">
      <c r="A38" s="1">
        <v>54.0</v>
      </c>
      <c r="B38" s="11">
        <f t="shared" si="1"/>
        <v>7291136.91</v>
      </c>
      <c r="C38" s="11">
        <f t="array" ref="C38">IFERROR(INDEX('Cash Flow (Annual)'!C:C,MATCH(A38,'Cash Flow (Annual)'!A:A,0)) + INDEX('Cash Flow (Annual)'!D:D,MATCH(A38,'Cash Flow (Annual)'!A:A,0)),0)</f>
        <v>80000</v>
      </c>
      <c r="D38" s="11">
        <f>ROUND(B38*retGrow,2)</f>
        <v>510379.58</v>
      </c>
      <c r="E38" s="11">
        <f t="shared" si="2"/>
        <v>7881516.49</v>
      </c>
      <c r="F38" s="11">
        <f t="shared" si="3"/>
        <v>836973.8</v>
      </c>
      <c r="G38" s="11">
        <f t="array" ref="G38">IFERROR(INDEX('Cash Flow (Annual)'!J:J,MATCH(A38,'Cash Flow (Annual)'!A:A,0)),0)</f>
        <v>8000</v>
      </c>
      <c r="H38" s="11">
        <f>ROUND(F38*retGrow,2)</f>
        <v>58588.17</v>
      </c>
      <c r="I38" s="11">
        <f t="shared" si="4"/>
        <v>903561.97</v>
      </c>
      <c r="J38" s="11">
        <f t="shared" si="5"/>
        <v>7843347.47</v>
      </c>
      <c r="K38" s="11">
        <f t="array" ref="K38">IFERROR(INDEX('Cash Flow (Annual)'!$K:$K, MATCH($A38, 'Cash Flow (Annual)'!$A:$A, 0)), 0)
+ IFERROR(INDEX('Cash Flow (Annual)'!$P:$P, MATCH($A38, 'Cash Flow (Annual)'!$A:$A, 0)), 0)</f>
        <v>160853.6</v>
      </c>
      <c r="L38" s="11">
        <f>ROUND( J38*etfGrow, 2 )</f>
        <v>549034.32</v>
      </c>
      <c r="M38" s="11">
        <f t="shared" si="6"/>
        <v>8553235.39</v>
      </c>
      <c r="N38" s="11">
        <f t="shared" si="7"/>
        <v>309508.56</v>
      </c>
      <c r="O38" s="11">
        <f t="array" ref="O38">IFERROR(INDEX('Cash Flow (Annual)'!$L:$L, MATCH($A38, 'Cash Flow (Annual)'!$A:$A, 0)), 0)
+ IFERROR(INDEX('Cash Flow (Annual)'!$Q:$Q, MATCH($A38, 'Cash Flow (Annual)'!$A:$A, 0)), 0)</f>
        <v>112597.52</v>
      </c>
      <c r="P38" s="11">
        <f>ROUND(N38*reCashYield,2)</f>
        <v>9285.26</v>
      </c>
      <c r="Q38" s="11">
        <f t="shared" si="8"/>
        <v>431391.34</v>
      </c>
      <c r="R38" s="11">
        <f>Q38 - IFERROR( SUMIF('RE Purchases'!$K:$K, A38, 'RE Purchases'!$L:$L), 0 )
</f>
        <v>217439.4469</v>
      </c>
      <c r="S38" s="11">
        <f t="shared" si="9"/>
        <v>367930.82</v>
      </c>
      <c r="T38" s="11">
        <f t="array" ref="T38">IFERROR(INDEX('Cash Flow (Annual)'!M:M,MATCH(A38,'Cash Flow (Annual)'!A:A,0)),0)</f>
        <v>0</v>
      </c>
      <c r="U38" s="11">
        <f>ROUND(S38*savGrow,2)</f>
        <v>11037.92</v>
      </c>
      <c r="V38" s="11">
        <f t="shared" si="10"/>
        <v>378968.74</v>
      </c>
      <c r="W38" s="11">
        <f t="shared" si="11"/>
        <v>17934722.04</v>
      </c>
      <c r="X38" s="13">
        <f>E38 + I38 + M38 + R38 + V38
+ SUMPRODUCT(
  ('RE Amortization'!$E$2:$E$1401=$A38) *
  ( VALUE('RE Amortization'!$L$2:$L$1401) - VALUE('RE Amortization'!$J$2:$J$1401) )
)
</f>
        <v>24868432.47</v>
      </c>
      <c r="Y38" s="13">
        <f>IF(X38="","", X38 / (1 + Assumptions!$B$7) ^ (A38 - 16))
</f>
        <v>9730642.709</v>
      </c>
      <c r="Z38" s="1"/>
      <c r="AA38" s="1"/>
      <c r="AB38" s="1"/>
      <c r="AC38" s="1"/>
    </row>
    <row r="39" ht="15.75" customHeight="1">
      <c r="A39" s="1">
        <v>55.0</v>
      </c>
      <c r="B39" s="11">
        <f t="shared" si="1"/>
        <v>7881516.49</v>
      </c>
      <c r="C39" s="11">
        <f t="array" ref="C39">IFERROR(INDEX('Cash Flow (Annual)'!C:C,MATCH(A39,'Cash Flow (Annual)'!A:A,0)) + INDEX('Cash Flow (Annual)'!D:D,MATCH(A39,'Cash Flow (Annual)'!A:A,0)),0)</f>
        <v>80000</v>
      </c>
      <c r="D39" s="11">
        <f>ROUND(B39*retGrow,2)</f>
        <v>551706.15</v>
      </c>
      <c r="E39" s="11">
        <f t="shared" si="2"/>
        <v>8513222.64</v>
      </c>
      <c r="F39" s="11">
        <f t="shared" si="3"/>
        <v>903561.97</v>
      </c>
      <c r="G39" s="11">
        <f t="array" ref="G39">IFERROR(INDEX('Cash Flow (Annual)'!J:J,MATCH(A39,'Cash Flow (Annual)'!A:A,0)),0)</f>
        <v>8000</v>
      </c>
      <c r="H39" s="11">
        <f>ROUND(F39*retGrow,2)</f>
        <v>63249.34</v>
      </c>
      <c r="I39" s="11">
        <f t="shared" si="4"/>
        <v>974811.31</v>
      </c>
      <c r="J39" s="11">
        <f t="shared" si="5"/>
        <v>8553235.39</v>
      </c>
      <c r="K39" s="11">
        <f t="array" ref="K39">IFERROR(INDEX('Cash Flow (Annual)'!$K:$K, MATCH($A39, 'Cash Flow (Annual)'!$A:$A, 0)), 0)
+ IFERROR(INDEX('Cash Flow (Annual)'!$P:$P, MATCH($A39, 'Cash Flow (Annual)'!$A:$A, 0)), 0)</f>
        <v>164616.29</v>
      </c>
      <c r="L39" s="11">
        <f>ROUND( J39*etfGrow, 2 )</f>
        <v>598726.48</v>
      </c>
      <c r="M39" s="11">
        <f t="shared" si="6"/>
        <v>9316578.16</v>
      </c>
      <c r="N39" s="11">
        <f t="shared" si="7"/>
        <v>217439.4469</v>
      </c>
      <c r="O39" s="11">
        <f t="array" ref="O39">IFERROR(INDEX('Cash Flow (Annual)'!$L:$L, MATCH($A39, 'Cash Flow (Annual)'!$A:$A, 0)), 0)
+ IFERROR(INDEX('Cash Flow (Annual)'!$Q:$Q, MATCH($A39, 'Cash Flow (Annual)'!$A:$A, 0)), 0)</f>
        <v>115231.4</v>
      </c>
      <c r="P39" s="11">
        <f>ROUND(N39*reCashYield,2)</f>
        <v>6523.18</v>
      </c>
      <c r="Q39" s="11">
        <f t="shared" si="8"/>
        <v>339194.03</v>
      </c>
      <c r="R39" s="11">
        <f>Q39 - IFERROR( SUMIF('RE Purchases'!$K:$K, A39, 'RE Purchases'!$L:$L), 0 )
</f>
        <v>339194.03</v>
      </c>
      <c r="S39" s="11">
        <f t="shared" si="9"/>
        <v>378968.74</v>
      </c>
      <c r="T39" s="11">
        <f t="array" ref="T39">IFERROR(INDEX('Cash Flow (Annual)'!M:M,MATCH(A39,'Cash Flow (Annual)'!A:A,0)),0)</f>
        <v>0</v>
      </c>
      <c r="U39" s="11">
        <f>ROUND(S39*savGrow,2)</f>
        <v>11369.06</v>
      </c>
      <c r="V39" s="11">
        <f t="shared" si="10"/>
        <v>390337.8</v>
      </c>
      <c r="W39" s="11">
        <f t="shared" si="11"/>
        <v>19534143.94</v>
      </c>
      <c r="X39" s="13">
        <f>E39 + I39 + M39 + R39 + V39
+ SUMPRODUCT(
  ('RE Amortization'!$E$2:$E$1401=$A39) *
  ( VALUE('RE Amortization'!$L$2:$L$1401) - VALUE('RE Amortization'!$J$2:$J$1401) )
)
</f>
        <v>27030807.81</v>
      </c>
      <c r="Y39" s="13">
        <f>IF(X39="","", X39 / (1 + Assumptions!$B$7) ^ (A39 - 16))
</f>
        <v>10318778.13</v>
      </c>
      <c r="Z39" s="1"/>
      <c r="AA39" s="1"/>
      <c r="AB39" s="1"/>
      <c r="AC39" s="1"/>
    </row>
    <row r="40" ht="15.75" customHeight="1">
      <c r="A40" s="1">
        <v>56.0</v>
      </c>
      <c r="B40" s="11">
        <f t="shared" si="1"/>
        <v>8513222.64</v>
      </c>
      <c r="C40" s="11">
        <f t="array" ref="C40">IFERROR(INDEX('Cash Flow (Annual)'!C:C,MATCH(A40,'Cash Flow (Annual)'!A:A,0)) + INDEX('Cash Flow (Annual)'!D:D,MATCH(A40,'Cash Flow (Annual)'!A:A,0)),0)</f>
        <v>80000</v>
      </c>
      <c r="D40" s="11">
        <f>ROUND(B40*retGrow,2)</f>
        <v>595925.58</v>
      </c>
      <c r="E40" s="11">
        <f t="shared" si="2"/>
        <v>9189148.22</v>
      </c>
      <c r="F40" s="11">
        <f t="shared" si="3"/>
        <v>974811.31</v>
      </c>
      <c r="G40" s="11">
        <f t="array" ref="G40">IFERROR(INDEX('Cash Flow (Annual)'!J:J,MATCH(A40,'Cash Flow (Annual)'!A:A,0)),0)</f>
        <v>8000</v>
      </c>
      <c r="H40" s="11">
        <f>ROUND(F40*retGrow,2)</f>
        <v>68236.79</v>
      </c>
      <c r="I40" s="11">
        <f t="shared" si="4"/>
        <v>1051048.1</v>
      </c>
      <c r="J40" s="11">
        <f t="shared" si="5"/>
        <v>9316578.16</v>
      </c>
      <c r="K40" s="11">
        <f t="array" ref="K40">IFERROR(INDEX('Cash Flow (Annual)'!$K:$K, MATCH($A40, 'Cash Flow (Annual)'!$A:$A, 0)), 0)
+ IFERROR(INDEX('Cash Flow (Annual)'!$P:$P, MATCH($A40, 'Cash Flow (Annual)'!$A:$A, 0)), 0)</f>
        <v>168473.04</v>
      </c>
      <c r="L40" s="11">
        <f>ROUND( J40*etfGrow, 2 )</f>
        <v>652160.47</v>
      </c>
      <c r="M40" s="11">
        <f t="shared" si="6"/>
        <v>10137211.67</v>
      </c>
      <c r="N40" s="11">
        <f t="shared" si="7"/>
        <v>339194.03</v>
      </c>
      <c r="O40" s="11">
        <f t="array" ref="O40">IFERROR(INDEX('Cash Flow (Annual)'!$L:$L, MATCH($A40, 'Cash Flow (Annual)'!$A:$A, 0)), 0)
+ IFERROR(INDEX('Cash Flow (Annual)'!$Q:$Q, MATCH($A40, 'Cash Flow (Annual)'!$A:$A, 0)), 0)</f>
        <v>117931.125</v>
      </c>
      <c r="P40" s="11">
        <f>ROUND(N40*reCashYield,2)</f>
        <v>10175.82</v>
      </c>
      <c r="Q40" s="11">
        <f t="shared" si="8"/>
        <v>467300.98</v>
      </c>
      <c r="R40" s="11">
        <f>Q40 - IFERROR( SUMIF('RE Purchases'!$K:$K, A40, 'RE Purchases'!$L:$L), 0 )
</f>
        <v>242517.7723</v>
      </c>
      <c r="S40" s="11">
        <f t="shared" si="9"/>
        <v>390337.8</v>
      </c>
      <c r="T40" s="11">
        <f t="array" ref="T40">IFERROR(INDEX('Cash Flow (Annual)'!M:M,MATCH(A40,'Cash Flow (Annual)'!A:A,0)),0)</f>
        <v>0</v>
      </c>
      <c r="U40" s="11">
        <f>ROUND(S40*savGrow,2)</f>
        <v>11710.13</v>
      </c>
      <c r="V40" s="11">
        <f t="shared" si="10"/>
        <v>402047.93</v>
      </c>
      <c r="W40" s="11">
        <f t="shared" si="11"/>
        <v>21021973.69</v>
      </c>
      <c r="X40" s="13">
        <f>E40 + I40 + M40 + R40 + V40
+ SUMPRODUCT(
  ('RE Amortization'!$E$2:$E$1401=$A40) *
  ( VALUE('RE Amortization'!$L$2:$L$1401) - VALUE('RE Amortization'!$J$2:$J$1401) )
)
</f>
        <v>29278632.93</v>
      </c>
      <c r="Y40" s="13">
        <f>IF(X40="","", X40 / (1 + Assumptions!$B$7) ^ (A40 - 16))
</f>
        <v>10904259.52</v>
      </c>
      <c r="Z40" s="1"/>
      <c r="AA40" s="1"/>
      <c r="AB40" s="1"/>
      <c r="AC40" s="1"/>
    </row>
    <row r="41" ht="15.75" customHeight="1">
      <c r="A41" s="1">
        <v>57.0</v>
      </c>
      <c r="B41" s="11">
        <f t="shared" si="1"/>
        <v>9189148.22</v>
      </c>
      <c r="C41" s="11">
        <f t="array" ref="C41">IFERROR(INDEX('Cash Flow (Annual)'!C:C,MATCH(A41,'Cash Flow (Annual)'!A:A,0)) + INDEX('Cash Flow (Annual)'!D:D,MATCH(A41,'Cash Flow (Annual)'!A:A,0)),0)</f>
        <v>80000</v>
      </c>
      <c r="D41" s="11">
        <f>ROUND(B41*retGrow,2)</f>
        <v>643240.38</v>
      </c>
      <c r="E41" s="11">
        <f t="shared" si="2"/>
        <v>9912388.6</v>
      </c>
      <c r="F41" s="11">
        <f t="shared" si="3"/>
        <v>1051048.1</v>
      </c>
      <c r="G41" s="11">
        <f t="array" ref="G41">IFERROR(INDEX('Cash Flow (Annual)'!J:J,MATCH(A41,'Cash Flow (Annual)'!A:A,0)),0)</f>
        <v>8000</v>
      </c>
      <c r="H41" s="11">
        <f>ROUND(F41*retGrow,2)</f>
        <v>73573.37</v>
      </c>
      <c r="I41" s="11">
        <f t="shared" si="4"/>
        <v>1132621.47</v>
      </c>
      <c r="J41" s="11">
        <f t="shared" si="5"/>
        <v>10137211.67</v>
      </c>
      <c r="K41" s="11">
        <f t="array" ref="K41">IFERROR(INDEX('Cash Flow (Annual)'!$K:$K, MATCH($A41, 'Cash Flow (Annual)'!$A:$A, 0)), 0)
+ IFERROR(INDEX('Cash Flow (Annual)'!$P:$P, MATCH($A41, 'Cash Flow (Annual)'!$A:$A, 0)), 0)</f>
        <v>172426.2</v>
      </c>
      <c r="L41" s="11">
        <f>ROUND( J41*etfGrow, 2 )</f>
        <v>709604.82</v>
      </c>
      <c r="M41" s="11">
        <f t="shared" si="6"/>
        <v>11019242.69</v>
      </c>
      <c r="N41" s="11">
        <f t="shared" si="7"/>
        <v>242517.7723</v>
      </c>
      <c r="O41" s="11">
        <f t="array" ref="O41">IFERROR(INDEX('Cash Flow (Annual)'!$L:$L, MATCH($A41, 'Cash Flow (Annual)'!$A:$A, 0)), 0)
+ IFERROR(INDEX('Cash Flow (Annual)'!$Q:$Q, MATCH($A41, 'Cash Flow (Annual)'!$A:$A, 0)), 0)</f>
        <v>120698.34</v>
      </c>
      <c r="P41" s="11">
        <f>ROUND(N41*reCashYield,2)</f>
        <v>7275.53</v>
      </c>
      <c r="Q41" s="11">
        <f t="shared" si="8"/>
        <v>370491.64</v>
      </c>
      <c r="R41" s="11">
        <f>Q41 - IFERROR( SUMIF('RE Purchases'!$K:$K, A41, 'RE Purchases'!$L:$L), 0 )
</f>
        <v>140088.8522</v>
      </c>
      <c r="S41" s="11">
        <f t="shared" si="9"/>
        <v>402047.93</v>
      </c>
      <c r="T41" s="11">
        <f t="array" ref="T41">IFERROR(INDEX('Cash Flow (Annual)'!M:M,MATCH(A41,'Cash Flow (Annual)'!A:A,0)),0)</f>
        <v>0</v>
      </c>
      <c r="U41" s="11">
        <f>ROUND(S41*savGrow,2)</f>
        <v>12061.44</v>
      </c>
      <c r="V41" s="11">
        <f t="shared" si="10"/>
        <v>414109.37</v>
      </c>
      <c r="W41" s="11">
        <f t="shared" si="11"/>
        <v>22618450.98</v>
      </c>
      <c r="X41" s="13">
        <f>E41 + I41 + M41 + R41 + V41
+ SUMPRODUCT(
  ('RE Amortization'!$E$2:$E$1401=$A41) *
  ( VALUE('RE Amortization'!$L$2:$L$1401) - VALUE('RE Amortization'!$J$2:$J$1401) )
)
</f>
        <v>31699249.1</v>
      </c>
      <c r="Y41" s="13">
        <f>IF(X41="","", X41 / (1 + Assumptions!$B$7) ^ (A41 - 16))
</f>
        <v>11517825.48</v>
      </c>
      <c r="Z41" s="1"/>
      <c r="AA41" s="1"/>
      <c r="AB41" s="1"/>
      <c r="AC41" s="1"/>
    </row>
    <row r="42" ht="15.75" customHeight="1">
      <c r="A42" s="1">
        <v>58.0</v>
      </c>
      <c r="B42" s="11">
        <f t="shared" si="1"/>
        <v>9912388.6</v>
      </c>
      <c r="C42" s="11">
        <f t="array" ref="C42">IFERROR(INDEX('Cash Flow (Annual)'!C:C,MATCH(A42,'Cash Flow (Annual)'!A:A,0)) + INDEX('Cash Flow (Annual)'!D:D,MATCH(A42,'Cash Flow (Annual)'!A:A,0)),0)</f>
        <v>80000</v>
      </c>
      <c r="D42" s="11">
        <f>ROUND(B42*retGrow,2)</f>
        <v>693867.2</v>
      </c>
      <c r="E42" s="11">
        <f t="shared" si="2"/>
        <v>10686255.8</v>
      </c>
      <c r="F42" s="11">
        <f t="shared" si="3"/>
        <v>1132621.47</v>
      </c>
      <c r="G42" s="11">
        <f t="array" ref="G42">IFERROR(INDEX('Cash Flow (Annual)'!J:J,MATCH(A42,'Cash Flow (Annual)'!A:A,0)),0)</f>
        <v>8000</v>
      </c>
      <c r="H42" s="11">
        <f>ROUND(F42*retGrow,2)</f>
        <v>79283.5</v>
      </c>
      <c r="I42" s="11">
        <f t="shared" si="4"/>
        <v>1219904.97</v>
      </c>
      <c r="J42" s="11">
        <f t="shared" si="5"/>
        <v>11019242.69</v>
      </c>
      <c r="K42" s="11">
        <f t="array" ref="K42">IFERROR(INDEX('Cash Flow (Annual)'!$K:$K, MATCH($A42, 'Cash Flow (Annual)'!$A:$A, 0)), 0)
+ IFERROR(INDEX('Cash Flow (Annual)'!$P:$P, MATCH($A42, 'Cash Flow (Annual)'!$A:$A, 0)), 0)</f>
        <v>176478.19</v>
      </c>
      <c r="L42" s="11">
        <f>ROUND( J42*etfGrow, 2 )</f>
        <v>771346.99</v>
      </c>
      <c r="M42" s="11">
        <f t="shared" si="6"/>
        <v>11967067.87</v>
      </c>
      <c r="N42" s="11">
        <f t="shared" si="7"/>
        <v>140088.8522</v>
      </c>
      <c r="O42" s="11">
        <f t="array" ref="O42">IFERROR(INDEX('Cash Flow (Annual)'!$L:$L, MATCH($A42, 'Cash Flow (Annual)'!$A:$A, 0)), 0)
+ IFERROR(INDEX('Cash Flow (Annual)'!$Q:$Q, MATCH($A42, 'Cash Flow (Annual)'!$A:$A, 0)), 0)</f>
        <v>123534.74</v>
      </c>
      <c r="P42" s="11">
        <f>ROUND(N42*reCashYield,2)</f>
        <v>4202.67</v>
      </c>
      <c r="Q42" s="11">
        <f t="shared" si="8"/>
        <v>267826.26</v>
      </c>
      <c r="R42" s="11">
        <f>Q42 - IFERROR( SUMIF('RE Purchases'!$K:$K, A42, 'RE Purchases'!$L:$L), 0 )
</f>
        <v>267826.26</v>
      </c>
      <c r="S42" s="11">
        <f t="shared" si="9"/>
        <v>414109.37</v>
      </c>
      <c r="T42" s="11">
        <f t="array" ref="T42">IFERROR(INDEX('Cash Flow (Annual)'!M:M,MATCH(A42,'Cash Flow (Annual)'!A:A,0)),0)</f>
        <v>0</v>
      </c>
      <c r="U42" s="11">
        <f>ROUND(S42*savGrow,2)</f>
        <v>12423.28</v>
      </c>
      <c r="V42" s="11">
        <f t="shared" si="10"/>
        <v>426532.65</v>
      </c>
      <c r="W42" s="11">
        <f t="shared" si="11"/>
        <v>24567587.55</v>
      </c>
      <c r="X42" s="13">
        <f>E42 + I42 + M42 + R42 + V42
+ SUMPRODUCT(
  ('RE Amortization'!$E$2:$E$1401=$A42) *
  ( VALUE('RE Amortization'!$L$2:$L$1401) - VALUE('RE Amortization'!$J$2:$J$1401) )
)
</f>
        <v>34341521.73</v>
      </c>
      <c r="Y42" s="13">
        <f>IF(X42="","", X42 / (1 + Assumptions!$B$7) ^ (A42 - 16))
</f>
        <v>12173548.46</v>
      </c>
      <c r="Z42" s="1"/>
      <c r="AA42" s="1"/>
      <c r="AB42" s="1"/>
      <c r="AC42" s="1"/>
    </row>
    <row r="43" ht="15.75" customHeight="1">
      <c r="A43" s="1">
        <v>59.0</v>
      </c>
      <c r="B43" s="11">
        <f t="shared" si="1"/>
        <v>10686255.8</v>
      </c>
      <c r="C43" s="11">
        <f t="array" ref="C43">IFERROR(INDEX('Cash Flow (Annual)'!C:C,MATCH(A43,'Cash Flow (Annual)'!A:A,0)) + INDEX('Cash Flow (Annual)'!D:D,MATCH(A43,'Cash Flow (Annual)'!A:A,0)),0)</f>
        <v>80000</v>
      </c>
      <c r="D43" s="11">
        <f>ROUND(B43*retGrow,2)</f>
        <v>748037.91</v>
      </c>
      <c r="E43" s="11">
        <f t="shared" si="2"/>
        <v>11514293.71</v>
      </c>
      <c r="F43" s="11">
        <f t="shared" si="3"/>
        <v>1219904.97</v>
      </c>
      <c r="G43" s="11">
        <f t="array" ref="G43">IFERROR(INDEX('Cash Flow (Annual)'!J:J,MATCH(A43,'Cash Flow (Annual)'!A:A,0)),0)</f>
        <v>8000</v>
      </c>
      <c r="H43" s="11">
        <f>ROUND(F43*retGrow,2)</f>
        <v>85393.35</v>
      </c>
      <c r="I43" s="11">
        <f t="shared" si="4"/>
        <v>1313298.32</v>
      </c>
      <c r="J43" s="11">
        <f t="shared" si="5"/>
        <v>11967067.87</v>
      </c>
      <c r="K43" s="11">
        <f t="array" ref="K43">IFERROR(INDEX('Cash Flow (Annual)'!$K:$K, MATCH($A43, 'Cash Flow (Annual)'!$A:$A, 0)), 0)
+ IFERROR(INDEX('Cash Flow (Annual)'!$P:$P, MATCH($A43, 'Cash Flow (Annual)'!$A:$A, 0)), 0)</f>
        <v>180631.49</v>
      </c>
      <c r="L43" s="11">
        <f>ROUND( J43*etfGrow, 2 )</f>
        <v>837694.75</v>
      </c>
      <c r="M43" s="11">
        <f t="shared" si="6"/>
        <v>12985394.11</v>
      </c>
      <c r="N43" s="11">
        <f t="shared" si="7"/>
        <v>267826.26</v>
      </c>
      <c r="O43" s="11">
        <f t="array" ref="O43">IFERROR(INDEX('Cash Flow (Annual)'!$L:$L, MATCH($A43, 'Cash Flow (Annual)'!$A:$A, 0)), 0)
+ IFERROR(INDEX('Cash Flow (Annual)'!$Q:$Q, MATCH($A43, 'Cash Flow (Annual)'!$A:$A, 0)), 0)</f>
        <v>126442.04</v>
      </c>
      <c r="P43" s="11">
        <f>ROUND(N43*reCashYield,2)</f>
        <v>8034.79</v>
      </c>
      <c r="Q43" s="11">
        <f t="shared" si="8"/>
        <v>402303.09</v>
      </c>
      <c r="R43" s="11">
        <f>Q43 - IFERROR( SUMIF('RE Purchases'!$K:$K, A43, 'RE Purchases'!$L:$L), 0 )
</f>
        <v>160236.161</v>
      </c>
      <c r="S43" s="11">
        <f t="shared" si="9"/>
        <v>426532.65</v>
      </c>
      <c r="T43" s="11">
        <f t="array" ref="T43">IFERROR(INDEX('Cash Flow (Annual)'!M:M,MATCH(A43,'Cash Flow (Annual)'!A:A,0)),0)</f>
        <v>0</v>
      </c>
      <c r="U43" s="11">
        <f>ROUND(S43*savGrow,2)</f>
        <v>12795.98</v>
      </c>
      <c r="V43" s="11">
        <f t="shared" si="10"/>
        <v>439328.63</v>
      </c>
      <c r="W43" s="11">
        <f t="shared" si="11"/>
        <v>26412550.93</v>
      </c>
      <c r="X43" s="13">
        <f>E43 + I43 + M43 + R43 + V43
+ SUMPRODUCT(
  ('RE Amortization'!$E$2:$E$1401=$A43) *
  ( VALUE('RE Amortization'!$L$2:$L$1401) - VALUE('RE Amortization'!$J$2:$J$1401) )
)
</f>
        <v>37095609.54</v>
      </c>
      <c r="Y43" s="13">
        <f>IF(X43="","", X43 / (1 + Assumptions!$B$7) ^ (A43 - 16))
</f>
        <v>12829103.23</v>
      </c>
      <c r="Z43" s="1"/>
      <c r="AA43" s="1"/>
      <c r="AB43" s="1"/>
      <c r="AC43" s="1"/>
    </row>
    <row r="44" ht="15.75" customHeight="1">
      <c r="A44" s="1">
        <v>60.0</v>
      </c>
      <c r="B44" s="11">
        <f t="shared" si="1"/>
        <v>11514293.71</v>
      </c>
      <c r="C44" s="11">
        <f t="array" ref="C44">IFERROR(INDEX('Cash Flow (Annual)'!C:C,MATCH(A44,'Cash Flow (Annual)'!A:A,0)) + INDEX('Cash Flow (Annual)'!D:D,MATCH(A44,'Cash Flow (Annual)'!A:A,0)),0)</f>
        <v>82500</v>
      </c>
      <c r="D44" s="11">
        <f>ROUND(B44*retGrow,2)</f>
        <v>806000.56</v>
      </c>
      <c r="E44" s="11">
        <f t="shared" si="2"/>
        <v>12402794.27</v>
      </c>
      <c r="F44" s="11">
        <f t="shared" si="3"/>
        <v>1313298.32</v>
      </c>
      <c r="G44" s="11">
        <f t="array" ref="G44">IFERROR(INDEX('Cash Flow (Annual)'!J:J,MATCH(A44,'Cash Flow (Annual)'!A:A,0)),0)</f>
        <v>8000</v>
      </c>
      <c r="H44" s="11">
        <f>ROUND(F44*retGrow,2)</f>
        <v>91930.88</v>
      </c>
      <c r="I44" s="11">
        <f t="shared" si="4"/>
        <v>1413229.2</v>
      </c>
      <c r="J44" s="11">
        <f t="shared" si="5"/>
        <v>12985394.11</v>
      </c>
      <c r="K44" s="11">
        <f t="array" ref="K44">IFERROR(INDEX('Cash Flow (Annual)'!$K:$K, MATCH($A44, 'Cash Flow (Annual)'!$A:$A, 0)), 0)
+ IFERROR(INDEX('Cash Flow (Annual)'!$P:$P, MATCH($A44, 'Cash Flow (Annual)'!$A:$A, 0)), 0)</f>
        <v>184888.61</v>
      </c>
      <c r="L44" s="11">
        <f>ROUND( J44*etfGrow, 2 )</f>
        <v>908977.59</v>
      </c>
      <c r="M44" s="11">
        <f t="shared" si="6"/>
        <v>14079260.31</v>
      </c>
      <c r="N44" s="11">
        <f t="shared" si="7"/>
        <v>160236.161</v>
      </c>
      <c r="O44" s="11">
        <f t="array" ref="O44">IFERROR(INDEX('Cash Flow (Annual)'!$L:$L, MATCH($A44, 'Cash Flow (Annual)'!$A:$A, 0)), 0)
+ IFERROR(INDEX('Cash Flow (Annual)'!$Q:$Q, MATCH($A44, 'Cash Flow (Annual)'!$A:$A, 0)), 0)</f>
        <v>129422.03</v>
      </c>
      <c r="P44" s="11">
        <f>ROUND(N44*reCashYield,2)</f>
        <v>4807.08</v>
      </c>
      <c r="Q44" s="11">
        <f t="shared" si="8"/>
        <v>294465.27</v>
      </c>
      <c r="R44" s="11">
        <f>Q44 - IFERROR( SUMIF('RE Purchases'!$K:$K, A44, 'RE Purchases'!$L:$L), 0 )
</f>
        <v>294465.27</v>
      </c>
      <c r="S44" s="11">
        <f t="shared" si="9"/>
        <v>439328.63</v>
      </c>
      <c r="T44" s="11">
        <f t="array" ref="T44">IFERROR(INDEX('Cash Flow (Annual)'!M:M,MATCH(A44,'Cash Flow (Annual)'!A:A,0)),0)</f>
        <v>0</v>
      </c>
      <c r="U44" s="11">
        <f>ROUND(S44*savGrow,2)</f>
        <v>13179.86</v>
      </c>
      <c r="V44" s="11">
        <f t="shared" si="10"/>
        <v>452508.49</v>
      </c>
      <c r="W44" s="11">
        <f t="shared" si="11"/>
        <v>28642257.54</v>
      </c>
      <c r="X44" s="13">
        <f>E44 + I44 + M44 + R44 + V44
+ SUMPRODUCT(
  ('RE Amortization'!$E$2:$E$1401=$A44) *
  ( VALUE('RE Amortization'!$L$2:$L$1401) - VALUE('RE Amortization'!$J$2:$J$1401) )
)
</f>
        <v>40098535.99</v>
      </c>
      <c r="Y44" s="13">
        <f>IF(X44="","", X44 / (1 + Assumptions!$B$7) ^ (A44 - 16))
</f>
        <v>13529396.96</v>
      </c>
      <c r="Z44" s="1"/>
      <c r="AA44" s="1"/>
      <c r="AB44" s="1"/>
      <c r="AC44" s="1"/>
    </row>
    <row r="45" ht="15.75" customHeight="1">
      <c r="A45" s="1">
        <v>61.0</v>
      </c>
      <c r="B45" s="11">
        <f t="shared" si="1"/>
        <v>12402794.27</v>
      </c>
      <c r="C45" s="11">
        <f t="array" ref="C45">IFERROR(INDEX('Cash Flow (Annual)'!C:C,MATCH(A45,'Cash Flow (Annual)'!A:A,0)) + INDEX('Cash Flow (Annual)'!D:D,MATCH(A45,'Cash Flow (Annual)'!A:A,0)),0)</f>
        <v>82500</v>
      </c>
      <c r="D45" s="11">
        <f>ROUND(B45*retGrow,2)</f>
        <v>868195.6</v>
      </c>
      <c r="E45" s="11">
        <f t="shared" si="2"/>
        <v>13353489.87</v>
      </c>
      <c r="F45" s="11">
        <f t="shared" si="3"/>
        <v>1413229.2</v>
      </c>
      <c r="G45" s="11">
        <f t="array" ref="G45">IFERROR(INDEX('Cash Flow (Annual)'!J:J,MATCH(A45,'Cash Flow (Annual)'!A:A,0)),0)</f>
        <v>8000</v>
      </c>
      <c r="H45" s="11">
        <f>ROUND(F45*retGrow,2)</f>
        <v>98926.04</v>
      </c>
      <c r="I45" s="11">
        <f t="shared" si="4"/>
        <v>1520155.24</v>
      </c>
      <c r="J45" s="11">
        <f t="shared" si="5"/>
        <v>14079260.31</v>
      </c>
      <c r="K45" s="11">
        <f t="array" ref="K45">IFERROR(INDEX('Cash Flow (Annual)'!$K:$K, MATCH($A45, 'Cash Flow (Annual)'!$A:$A, 0)), 0)
+ IFERROR(INDEX('Cash Flow (Annual)'!$P:$P, MATCH($A45, 'Cash Flow (Annual)'!$A:$A, 0)), 0)</f>
        <v>189252.18</v>
      </c>
      <c r="L45" s="11">
        <f>ROUND( J45*etfGrow, 2 )</f>
        <v>985548.22</v>
      </c>
      <c r="M45" s="11">
        <f t="shared" si="6"/>
        <v>15254060.71</v>
      </c>
      <c r="N45" s="11">
        <f t="shared" si="7"/>
        <v>294465.27</v>
      </c>
      <c r="O45" s="11">
        <f t="array" ref="O45">IFERROR(INDEX('Cash Flow (Annual)'!$L:$L, MATCH($A45, 'Cash Flow (Annual)'!$A:$A, 0)), 0)
+ IFERROR(INDEX('Cash Flow (Annual)'!$Q:$Q, MATCH($A45, 'Cash Flow (Annual)'!$A:$A, 0)), 0)</f>
        <v>132476.53</v>
      </c>
      <c r="P45" s="11">
        <f>ROUND(N45*reCashYield,2)</f>
        <v>8833.96</v>
      </c>
      <c r="Q45" s="11">
        <f t="shared" si="8"/>
        <v>435775.76</v>
      </c>
      <c r="R45" s="11">
        <f>Q45 - IFERROR( SUMIF('RE Purchases'!$K:$K, A45, 'RE Purchases'!$L:$L), 0 )
</f>
        <v>181454.1927</v>
      </c>
      <c r="S45" s="11">
        <f t="shared" si="9"/>
        <v>452508.49</v>
      </c>
      <c r="T45" s="11">
        <f t="array" ref="T45">IFERROR(INDEX('Cash Flow (Annual)'!M:M,MATCH(A45,'Cash Flow (Annual)'!A:A,0)),0)</f>
        <v>0</v>
      </c>
      <c r="U45" s="11">
        <f>ROUND(S45*savGrow,2)</f>
        <v>13575.25</v>
      </c>
      <c r="V45" s="11">
        <f t="shared" si="10"/>
        <v>466083.74</v>
      </c>
      <c r="W45" s="11">
        <f t="shared" si="11"/>
        <v>30775243.75</v>
      </c>
      <c r="X45" s="13">
        <f>E45 + I45 + M45 + R45 + V45
+ SUMPRODUCT(
  ('RE Amortization'!$E$2:$E$1401=$A45) *
  ( VALUE('RE Amortization'!$L$2:$L$1401) - VALUE('RE Amortization'!$J$2:$J$1401) )
)
</f>
        <v>43233464.27</v>
      </c>
      <c r="Y45" s="13">
        <f>IF(X45="","", X45 / (1 + Assumptions!$B$7) ^ (A45 - 16))
</f>
        <v>14231349.82</v>
      </c>
      <c r="Z45" s="1"/>
      <c r="AA45" s="1"/>
      <c r="AB45" s="1"/>
      <c r="AC45" s="1"/>
    </row>
    <row r="46" ht="15.75" customHeight="1">
      <c r="A46" s="1">
        <v>62.0</v>
      </c>
      <c r="B46" s="11">
        <f t="shared" si="1"/>
        <v>13353489.87</v>
      </c>
      <c r="C46" s="11">
        <f t="array" ref="C46">IFERROR(INDEX('Cash Flow (Annual)'!C:C,MATCH(A46,'Cash Flow (Annual)'!A:A,0)) + INDEX('Cash Flow (Annual)'!D:D,MATCH(A46,'Cash Flow (Annual)'!A:A,0)),0)</f>
        <v>82500</v>
      </c>
      <c r="D46" s="11">
        <f>ROUND(B46*retGrow,2)</f>
        <v>934744.29</v>
      </c>
      <c r="E46" s="11">
        <f t="shared" si="2"/>
        <v>14370734.16</v>
      </c>
      <c r="F46" s="11">
        <f t="shared" si="3"/>
        <v>1520155.24</v>
      </c>
      <c r="G46" s="11">
        <f t="array" ref="G46">IFERROR(INDEX('Cash Flow (Annual)'!J:J,MATCH(A46,'Cash Flow (Annual)'!A:A,0)),0)</f>
        <v>8000</v>
      </c>
      <c r="H46" s="11">
        <f>ROUND(F46*retGrow,2)</f>
        <v>106410.87</v>
      </c>
      <c r="I46" s="11">
        <f t="shared" si="4"/>
        <v>1634566.11</v>
      </c>
      <c r="J46" s="11">
        <f t="shared" si="5"/>
        <v>15254060.71</v>
      </c>
      <c r="K46" s="11">
        <f t="array" ref="K46">IFERROR(INDEX('Cash Flow (Annual)'!$K:$K, MATCH($A46, 'Cash Flow (Annual)'!$A:$A, 0)), 0)
+ IFERROR(INDEX('Cash Flow (Annual)'!$P:$P, MATCH($A46, 'Cash Flow (Annual)'!$A:$A, 0)), 0)</f>
        <v>193724.81</v>
      </c>
      <c r="L46" s="11">
        <f>ROUND( J46*etfGrow, 2 )</f>
        <v>1067784.25</v>
      </c>
      <c r="M46" s="11">
        <f t="shared" si="6"/>
        <v>16515569.77</v>
      </c>
      <c r="N46" s="11">
        <f t="shared" si="7"/>
        <v>181454.1927</v>
      </c>
      <c r="O46" s="11">
        <f t="array" ref="O46">IFERROR(INDEX('Cash Flow (Annual)'!$L:$L, MATCH($A46, 'Cash Flow (Annual)'!$A:$A, 0)), 0)
+ IFERROR(INDEX('Cash Flow (Annual)'!$Q:$Q, MATCH($A46, 'Cash Flow (Annual)'!$A:$A, 0)), 0)</f>
        <v>135607.37</v>
      </c>
      <c r="P46" s="11">
        <f>ROUND(N46*reCashYield,2)</f>
        <v>5443.63</v>
      </c>
      <c r="Q46" s="11">
        <f t="shared" si="8"/>
        <v>322505.19</v>
      </c>
      <c r="R46" s="11">
        <f>Q46 - IFERROR( SUMIF('RE Purchases'!$K:$K, A46, 'RE Purchases'!$L:$L), 0 )
</f>
        <v>322505.19</v>
      </c>
      <c r="S46" s="11">
        <f t="shared" si="9"/>
        <v>466083.74</v>
      </c>
      <c r="T46" s="11">
        <f t="array" ref="T46">IFERROR(INDEX('Cash Flow (Annual)'!M:M,MATCH(A46,'Cash Flow (Annual)'!A:A,0)),0)</f>
        <v>0</v>
      </c>
      <c r="U46" s="11">
        <f>ROUND(S46*savGrow,2)</f>
        <v>13982.51</v>
      </c>
      <c r="V46" s="11">
        <f t="shared" si="10"/>
        <v>480066.25</v>
      </c>
      <c r="W46" s="11">
        <f t="shared" si="11"/>
        <v>33323441.48</v>
      </c>
      <c r="X46" s="13">
        <f>E46 + I46 + M46 + R46 + V46
+ SUMPRODUCT(
  ('RE Amortization'!$E$2:$E$1401=$A46) *
  ( VALUE('RE Amortization'!$L$2:$L$1401) - VALUE('RE Amortization'!$J$2:$J$1401) )
)
</f>
        <v>46664114.55</v>
      </c>
      <c r="Y46" s="13">
        <f>IF(X46="","", X46 / (1 + Assumptions!$B$7) ^ (A46 - 16))
</f>
        <v>14985982.51</v>
      </c>
      <c r="Z46" s="1"/>
      <c r="AA46" s="1"/>
      <c r="AB46" s="1"/>
      <c r="AC46" s="1"/>
    </row>
    <row r="47" ht="15.75" customHeight="1">
      <c r="A47" s="1">
        <v>63.0</v>
      </c>
      <c r="B47" s="11">
        <f t="shared" si="1"/>
        <v>14370734.16</v>
      </c>
      <c r="C47" s="11">
        <f t="array" ref="C47">IFERROR(INDEX('Cash Flow (Annual)'!C:C,MATCH(A47,'Cash Flow (Annual)'!A:A,0)) + INDEX('Cash Flow (Annual)'!D:D,MATCH(A47,'Cash Flow (Annual)'!A:A,0)),0)</f>
        <v>82500</v>
      </c>
      <c r="D47" s="11">
        <f>ROUND(B47*retGrow,2)</f>
        <v>1005951.39</v>
      </c>
      <c r="E47" s="11">
        <f t="shared" si="2"/>
        <v>15459185.55</v>
      </c>
      <c r="F47" s="11">
        <f t="shared" si="3"/>
        <v>1634566.11</v>
      </c>
      <c r="G47" s="11">
        <f t="array" ref="G47">IFERROR(INDEX('Cash Flow (Annual)'!J:J,MATCH(A47,'Cash Flow (Annual)'!A:A,0)),0)</f>
        <v>8000</v>
      </c>
      <c r="H47" s="11">
        <f>ROUND(F47*retGrow,2)</f>
        <v>114419.63</v>
      </c>
      <c r="I47" s="11">
        <f t="shared" si="4"/>
        <v>1756985.74</v>
      </c>
      <c r="J47" s="11">
        <f t="shared" si="5"/>
        <v>16515569.77</v>
      </c>
      <c r="K47" s="11">
        <f t="array" ref="K47">IFERROR(INDEX('Cash Flow (Annual)'!$K:$K, MATCH($A47, 'Cash Flow (Annual)'!$A:$A, 0)), 0)
+ IFERROR(INDEX('Cash Flow (Annual)'!$P:$P, MATCH($A47, 'Cash Flow (Annual)'!$A:$A, 0)), 0)</f>
        <v>158647.43</v>
      </c>
      <c r="L47" s="11">
        <f>ROUND( J47*etfGrow, 2 )</f>
        <v>1156089.88</v>
      </c>
      <c r="M47" s="11">
        <f t="shared" si="6"/>
        <v>17830307.08</v>
      </c>
      <c r="N47" s="11">
        <f t="shared" si="7"/>
        <v>322505.19</v>
      </c>
      <c r="O47" s="11">
        <f t="array" ref="O47">IFERROR(INDEX('Cash Flow (Annual)'!$L:$L, MATCH($A47, 'Cash Flow (Annual)'!$A:$A, 0)), 0)
+ IFERROR(INDEX('Cash Flow (Annual)'!$Q:$Q, MATCH($A47, 'Cash Flow (Annual)'!$A:$A, 0)), 0)</f>
        <v>118985.57</v>
      </c>
      <c r="P47" s="11">
        <f>ROUND(N47*reCashYield,2)</f>
        <v>9675.16</v>
      </c>
      <c r="Q47" s="11">
        <f t="shared" si="8"/>
        <v>451165.92</v>
      </c>
      <c r="R47" s="11">
        <f>Q47 - IFERROR( SUMIF('RE Purchases'!$K:$K, A47, 'RE Purchases'!$L:$L), 0 )
</f>
        <v>183969.3234</v>
      </c>
      <c r="S47" s="11">
        <f t="shared" si="9"/>
        <v>480066.25</v>
      </c>
      <c r="T47" s="11">
        <f t="array" ref="T47">IFERROR(INDEX('Cash Flow (Annual)'!M:M,MATCH(A47,'Cash Flow (Annual)'!A:A,0)),0)</f>
        <v>39661.86</v>
      </c>
      <c r="U47" s="11">
        <f>ROUND(S47*savGrow,2)</f>
        <v>14401.99</v>
      </c>
      <c r="V47" s="11">
        <f t="shared" si="10"/>
        <v>534130.1</v>
      </c>
      <c r="W47" s="11">
        <f t="shared" si="11"/>
        <v>35764577.79</v>
      </c>
      <c r="X47" s="13">
        <f>E47 + I47 + M47 + R47 + V47
+ SUMPRODUCT(
  ('RE Amortization'!$E$2:$E$1401=$A47) *
  ( VALUE('RE Amortization'!$L$2:$L$1401) - VALUE('RE Amortization'!$J$2:$J$1401) )
)
</f>
        <v>50209426.32</v>
      </c>
      <c r="Y47" s="13">
        <f>IF(X47="","", X47 / (1 + Assumptions!$B$7) ^ (A47 - 16))
</f>
        <v>15731262.78</v>
      </c>
      <c r="Z47" s="1"/>
      <c r="AA47" s="1"/>
      <c r="AB47" s="1"/>
      <c r="AC47" s="1"/>
    </row>
    <row r="48" ht="15.75" customHeight="1">
      <c r="A48" s="1">
        <v>64.0</v>
      </c>
      <c r="B48" s="11">
        <f t="shared" si="1"/>
        <v>15459185.55</v>
      </c>
      <c r="C48" s="11">
        <f t="array" ref="C48">IFERROR(INDEX('Cash Flow (Annual)'!C:C,MATCH(A48,'Cash Flow (Annual)'!A:A,0)) + INDEX('Cash Flow (Annual)'!D:D,MATCH(A48,'Cash Flow (Annual)'!A:A,0)),0)</f>
        <v>80000</v>
      </c>
      <c r="D48" s="11">
        <f>ROUND(B48*retGrow,2)</f>
        <v>1082142.99</v>
      </c>
      <c r="E48" s="11">
        <f t="shared" si="2"/>
        <v>16621328.54</v>
      </c>
      <c r="F48" s="11">
        <f t="shared" si="3"/>
        <v>1756985.74</v>
      </c>
      <c r="G48" s="11">
        <f t="array" ref="G48">IFERROR(INDEX('Cash Flow (Annual)'!J:J,MATCH(A48,'Cash Flow (Annual)'!A:A,0)),0)</f>
        <v>8000</v>
      </c>
      <c r="H48" s="11">
        <f>ROUND(F48*retGrow,2)</f>
        <v>122989</v>
      </c>
      <c r="I48" s="11">
        <f t="shared" si="4"/>
        <v>1887974.74</v>
      </c>
      <c r="J48" s="11">
        <f t="shared" si="5"/>
        <v>17830307.08</v>
      </c>
      <c r="K48" s="11">
        <f t="array" ref="K48">IFERROR(INDEX('Cash Flow (Annual)'!$K:$K, MATCH($A48, 'Cash Flow (Annual)'!$A:$A, 0)), 0)
+ IFERROR(INDEX('Cash Flow (Annual)'!$P:$P, MATCH($A48, 'Cash Flow (Annual)'!$A:$A, 0)), 0)</f>
        <v>203008.35</v>
      </c>
      <c r="L48" s="11">
        <f>ROUND( J48*etfGrow, 2 )</f>
        <v>1248121.5</v>
      </c>
      <c r="M48" s="11">
        <f t="shared" si="6"/>
        <v>19281436.93</v>
      </c>
      <c r="N48" s="11">
        <f t="shared" si="7"/>
        <v>183969.3234</v>
      </c>
      <c r="O48" s="11">
        <f t="array" ref="O48">IFERROR(INDEX('Cash Flow (Annual)'!$L:$L, MATCH($A48, 'Cash Flow (Annual)'!$A:$A, 0)), 0)
+ IFERROR(INDEX('Cash Flow (Annual)'!$Q:$Q, MATCH($A48, 'Cash Flow (Annual)'!$A:$A, 0)), 0)</f>
        <v>142105.845</v>
      </c>
      <c r="P48" s="11">
        <f>ROUND(N48*reCashYield,2)</f>
        <v>5519.08</v>
      </c>
      <c r="Q48" s="11">
        <f t="shared" si="8"/>
        <v>331594.25</v>
      </c>
      <c r="R48" s="11">
        <f>Q48 - IFERROR( SUMIF('RE Purchases'!$K:$K, A48, 'RE Purchases'!$L:$L), 0 )
</f>
        <v>331594.25</v>
      </c>
      <c r="S48" s="11">
        <f t="shared" si="9"/>
        <v>534130.1</v>
      </c>
      <c r="T48" s="11">
        <f t="array" ref="T48">IFERROR(INDEX('Cash Flow (Annual)'!M:M,MATCH(A48,'Cash Flow (Annual)'!A:A,0)),0)</f>
        <v>0</v>
      </c>
      <c r="U48" s="11">
        <f>ROUND(S48*savGrow,2)</f>
        <v>16023.9</v>
      </c>
      <c r="V48" s="11">
        <f t="shared" si="10"/>
        <v>550154</v>
      </c>
      <c r="W48" s="11">
        <f t="shared" si="11"/>
        <v>38672488.46</v>
      </c>
      <c r="X48" s="13">
        <f>E48 + I48 + M48 + R48 + V48
+ SUMPRODUCT(
  ('RE Amortization'!$E$2:$E$1401=$A48) *
  ( VALUE('RE Amortization'!$L$2:$L$1401) - VALUE('RE Amortization'!$J$2:$J$1401) )
)
</f>
        <v>54098058.05</v>
      </c>
      <c r="Y48" s="13">
        <f>IF(X48="","", X48 / (1 + Assumptions!$B$7) ^ (A48 - 16))
</f>
        <v>16536216.01</v>
      </c>
      <c r="Z48" s="1"/>
      <c r="AA48" s="1"/>
      <c r="AB48" s="1"/>
      <c r="AC48" s="1"/>
    </row>
    <row r="49" ht="15.75" customHeight="1">
      <c r="A49" s="1">
        <v>65.0</v>
      </c>
      <c r="B49" s="11">
        <f t="shared" si="1"/>
        <v>16621328.54</v>
      </c>
      <c r="C49" s="11">
        <f t="array" ref="C49">IFERROR(INDEX('Cash Flow (Annual)'!C:C,MATCH(A49,'Cash Flow (Annual)'!A:A,0)) + INDEX('Cash Flow (Annual)'!D:D,MATCH(A49,'Cash Flow (Annual)'!A:A,0)),0)</f>
        <v>80000</v>
      </c>
      <c r="D49" s="11">
        <f>ROUND(B49*retGrow,2)</f>
        <v>1163493</v>
      </c>
      <c r="E49" s="11">
        <f t="shared" si="2"/>
        <v>17864821.54</v>
      </c>
      <c r="F49" s="11">
        <f t="shared" si="3"/>
        <v>1887974.74</v>
      </c>
      <c r="G49" s="11">
        <f t="array" ref="G49">IFERROR(INDEX('Cash Flow (Annual)'!J:J,MATCH(A49,'Cash Flow (Annual)'!A:A,0)),0)</f>
        <v>8000</v>
      </c>
      <c r="H49" s="11">
        <f>ROUND(F49*retGrow,2)</f>
        <v>132158.23</v>
      </c>
      <c r="I49" s="11">
        <f t="shared" si="4"/>
        <v>2028132.97</v>
      </c>
      <c r="J49" s="11">
        <f t="shared" si="5"/>
        <v>19281436.93</v>
      </c>
      <c r="K49" s="11">
        <f t="array" ref="K49">IFERROR(INDEX('Cash Flow (Annual)'!$K:$K, MATCH($A49, 'Cash Flow (Annual)'!$A:$A, 0)), 0)
+ IFERROR(INDEX('Cash Flow (Annual)'!$P:$P, MATCH($A49, 'Cash Flow (Annual)'!$A:$A, 0)), 0)</f>
        <v>207824.9</v>
      </c>
      <c r="L49" s="11">
        <f>ROUND( J49*etfGrow, 2 )</f>
        <v>1349700.59</v>
      </c>
      <c r="M49" s="11">
        <f t="shared" si="6"/>
        <v>20838962.42</v>
      </c>
      <c r="N49" s="11">
        <f t="shared" si="7"/>
        <v>331594.25</v>
      </c>
      <c r="O49" s="11">
        <f t="array" ref="O49">IFERROR(INDEX('Cash Flow (Annual)'!$L:$L, MATCH($A49, 'Cash Flow (Annual)'!$A:$A, 0)), 0)
+ IFERROR(INDEX('Cash Flow (Annual)'!$Q:$Q, MATCH($A49, 'Cash Flow (Annual)'!$A:$A, 0)), 0)</f>
        <v>145477.43</v>
      </c>
      <c r="P49" s="11">
        <f>ROUND(N49*reCashYield,2)</f>
        <v>9947.83</v>
      </c>
      <c r="Q49" s="11">
        <f t="shared" si="8"/>
        <v>487019.51</v>
      </c>
      <c r="R49" s="11">
        <f>Q49 - IFERROR( SUMIF('RE Purchases'!$K:$K, A49, 'RE Purchases'!$L:$L), 0 )
</f>
        <v>206296.0857</v>
      </c>
      <c r="S49" s="11">
        <f t="shared" si="9"/>
        <v>550154</v>
      </c>
      <c r="T49" s="11">
        <f t="array" ref="T49">IFERROR(INDEX('Cash Flow (Annual)'!M:M,MATCH(A49,'Cash Flow (Annual)'!A:A,0)),0)</f>
        <v>0</v>
      </c>
      <c r="U49" s="11">
        <f>ROUND(S49*savGrow,2)</f>
        <v>16504.62</v>
      </c>
      <c r="V49" s="11">
        <f t="shared" si="10"/>
        <v>566658.62</v>
      </c>
      <c r="W49" s="11">
        <f t="shared" si="11"/>
        <v>41504871.64</v>
      </c>
      <c r="X49" s="13">
        <f>E49 + I49 + M49 + R49 + V49
+ SUMPRODUCT(
  ('RE Amortization'!$E$2:$E$1401=$A49) *
  ( VALUE('RE Amortization'!$L$2:$L$1401) - VALUE('RE Amortization'!$J$2:$J$1401) )
)
</f>
        <v>58146279.14</v>
      </c>
      <c r="Y49" s="13">
        <f>IF(X49="","", X49 / (1 + Assumptions!$B$7) ^ (A49 - 16))
</f>
        <v>17340137.01</v>
      </c>
      <c r="Z49" s="1"/>
      <c r="AA49" s="1"/>
      <c r="AB49" s="1"/>
      <c r="AC49" s="1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5" t="str">
        <f>ModelSheet=Balances!A:Z</f>
        <v>#NAME?</v>
      </c>
      <c r="B1" s="15" t="str">
        <f>ModelSheet=Cash Flow(Annual)!A:Z</f>
        <v>#ERROR!</v>
      </c>
    </row>
    <row r="2">
      <c r="A2" s="15" t="str">
        <f>OpenSolver_AdjNum=5</f>
        <v>#NAME?</v>
      </c>
      <c r="B2" s="15" t="str">
        <f>OpenSolver_AdjNum=2</f>
        <v>#NAME?</v>
      </c>
    </row>
    <row r="3">
      <c r="A3" s="15" t="str">
        <f t="shared" ref="A3:B3" si="1">OpenSolver_ChosenSolver=Google</f>
        <v>#NAME?</v>
      </c>
      <c r="B3" s="15" t="str">
        <f t="shared" si="1"/>
        <v>#NAME?</v>
      </c>
    </row>
    <row r="4">
      <c r="A4" s="15" t="str">
        <f t="shared" ref="A4:B4" si="2">OpenSolver_FastBuild=0</f>
        <v>#NAME?</v>
      </c>
      <c r="B4" s="15" t="str">
        <f t="shared" si="2"/>
        <v>#NAME?</v>
      </c>
    </row>
    <row r="5">
      <c r="A5" s="15" t="str">
        <f t="shared" ref="A5:B5" si="3">OpenSolver_LinearityCheck=1</f>
        <v>#NAME?</v>
      </c>
      <c r="B5" s="15" t="str">
        <f t="shared" si="3"/>
        <v>#NAME?</v>
      </c>
    </row>
    <row r="6">
      <c r="A6" s="15" t="str">
        <f>solver_adj=Assumptions!B40</f>
        <v>#NAME?</v>
      </c>
      <c r="B6" s="15" t="str">
        <f>solver_adj=Assumptions!D41</f>
        <v>#NAME?</v>
      </c>
    </row>
    <row r="7">
      <c r="A7" s="15" t="str">
        <f>solver_adj1=Assumptions!B41</f>
        <v>#NAME?</v>
      </c>
      <c r="B7" s="15" t="str">
        <f>solver_adj1=Assumptions!D43</f>
        <v>#NAME?</v>
      </c>
    </row>
    <row r="8">
      <c r="A8" s="15" t="str">
        <f>solver_adj2=Assumptions!B42</f>
        <v>#NAME?</v>
      </c>
      <c r="B8" s="15" t="str">
        <f>solver_lhs1=Assumptions!D41</f>
        <v>#NAME?</v>
      </c>
    </row>
    <row r="9">
      <c r="A9" s="15" t="str">
        <f>solver_adj3=Assumptions!B59</f>
        <v>#NAME?</v>
      </c>
      <c r="B9" s="15" t="str">
        <f>solver_lhs2=Assumptions!D43</f>
        <v>#NAME?</v>
      </c>
    </row>
    <row r="10">
      <c r="A10" s="15" t="str">
        <f>solver_adj4=Assumptions!B60</f>
        <v>#NAME?</v>
      </c>
      <c r="B10" s="15" t="str">
        <f>solver_neg=1</f>
        <v>#NAME?</v>
      </c>
    </row>
    <row r="11">
      <c r="A11" s="15" t="str">
        <f>solver_lhs1=Assumptions!D40</f>
        <v>#NAME?</v>
      </c>
      <c r="B11" s="15" t="str">
        <f>solver_num=2</f>
        <v>#NAME?</v>
      </c>
    </row>
    <row r="12">
      <c r="A12" s="15" t="str">
        <f>solver_lhs2=Assumptions!D55</f>
        <v>#NAME?</v>
      </c>
      <c r="B12" s="15" t="str">
        <f>solver_opt=Balances!Z2</f>
        <v>#NAME?</v>
      </c>
    </row>
    <row r="13">
      <c r="A13" s="15" t="str">
        <f>solver_neg=1</f>
        <v>#NAME?</v>
      </c>
      <c r="B13" s="15" t="str">
        <f>solver_rel1=2</f>
        <v>#NAME?</v>
      </c>
    </row>
    <row r="14">
      <c r="A14" s="15" t="str">
        <f>solver_num=2</f>
        <v>#NAME?</v>
      </c>
      <c r="B14" s="15" t="str">
        <f>solver_rel2=2</f>
        <v>#NAME?</v>
      </c>
    </row>
    <row r="15">
      <c r="A15" s="15" t="str">
        <f>solver_opt=Balances!Z2</f>
        <v>#NAME?</v>
      </c>
      <c r="B15" s="15" t="str">
        <f>solver_rhs1=Assumptions!D39</f>
        <v>#NAME?</v>
      </c>
    </row>
    <row r="16">
      <c r="A16" s="15" t="str">
        <f>solver_rel1=2</f>
        <v>#NAME?</v>
      </c>
      <c r="B16" s="15" t="str">
        <f>solver_rhs2=Assumptions!D45</f>
        <v>#NAME?</v>
      </c>
    </row>
    <row r="17">
      <c r="A17" s="15" t="str">
        <f>solver_rel2=2</f>
        <v>#NAME?</v>
      </c>
      <c r="B17" s="15" t="str">
        <f>solver_sho=1</f>
        <v>#NAME?</v>
      </c>
    </row>
    <row r="18">
      <c r="A18" s="15" t="str">
        <f>solver_rhs1=Assumptions!D42</f>
        <v>#NAME?</v>
      </c>
      <c r="B18" s="15" t="str">
        <f>solver_typ=1</f>
        <v>#NAME?</v>
      </c>
    </row>
    <row r="19">
      <c r="A19" s="15" t="str">
        <f>solver_rhs2=Assumptions!D57</f>
        <v>#NAME?</v>
      </c>
      <c r="B19" s="15" t="str">
        <f>solver_val=0</f>
        <v>#NAME?</v>
      </c>
    </row>
    <row r="20">
      <c r="A20" s="15" t="str">
        <f>solver_sho=1</f>
        <v>#NAME?</v>
      </c>
    </row>
    <row r="21">
      <c r="A21" s="15" t="str">
        <f>solver_typ=3</f>
        <v>#NAME?</v>
      </c>
    </row>
    <row r="22">
      <c r="A22" s="15" t="str">
        <f>solver_val=21000000</f>
        <v>#NAME?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8" max="8" width="24.38"/>
    <col customWidth="1" min="9" max="9" width="16.0"/>
    <col customWidth="1" min="10" max="10" width="4.75"/>
    <col customWidth="1" min="11" max="11" width="14.88"/>
    <col customWidth="1" min="12" max="12" width="17.25"/>
  </cols>
  <sheetData>
    <row r="1">
      <c r="A1" s="8" t="s">
        <v>131</v>
      </c>
      <c r="B1" s="8" t="s">
        <v>132</v>
      </c>
      <c r="C1" s="8" t="s">
        <v>133</v>
      </c>
      <c r="D1" s="8" t="s">
        <v>134</v>
      </c>
      <c r="E1" s="8" t="s">
        <v>135</v>
      </c>
      <c r="F1" s="8" t="s">
        <v>136</v>
      </c>
      <c r="G1" s="8" t="s">
        <v>137</v>
      </c>
      <c r="H1" s="8" t="s">
        <v>138</v>
      </c>
      <c r="I1" s="8" t="s">
        <v>139</v>
      </c>
      <c r="J1" s="8" t="s">
        <v>140</v>
      </c>
      <c r="K1" s="8" t="s">
        <v>141</v>
      </c>
      <c r="L1" s="8" t="s">
        <v>142</v>
      </c>
    </row>
    <row r="2">
      <c r="A2" s="15">
        <f>18
</f>
        <v>18</v>
      </c>
      <c r="B2" s="15">
        <f t="shared" ref="B2:B49" si="1">COUNTIF($J$2:J2,"BUY")
</f>
        <v>0</v>
      </c>
      <c r="C2" s="15">
        <f>IF(A2="","", startPrice * (1+inflation)^(A2-24))
</f>
        <v>258689.0598</v>
      </c>
      <c r="D2" s="15">
        <f>IF(C2="","", C2 * pctDown)
</f>
        <v>64672.26495</v>
      </c>
      <c r="E2" s="15">
        <f>IF(C2="","", C2 * pctClose)
</f>
        <v>7760.671794</v>
      </c>
      <c r="F2" s="15">
        <f>IF(C2="","", C2 * bufferPct)
</f>
        <v>15521.34359</v>
      </c>
      <c r="G2" s="15">
        <f t="shared" ref="G2:G49" si="2">D2+E2+F2
</f>
        <v>87954.28033</v>
      </c>
      <c r="H2" s="15">
        <f t="array" ref="H2">IFERROR( INDEX(Balances!$N:$N, MATCH(A2, Balances!$A:$A, 0) ), 0)
</f>
        <v>0</v>
      </c>
      <c r="J2" s="15" t="str">
        <f t="shared" ref="J2:J49" si="3">IF(H2&gt;=G2,"BUY","")
</f>
        <v/>
      </c>
      <c r="K2" s="15">
        <f t="shared" ref="K2:K49" si="4">A2
</f>
        <v>18</v>
      </c>
      <c r="L2" s="15">
        <f t="shared" ref="L2:L49" si="5">IF(J2="BUY", G2, 0)
</f>
        <v>0</v>
      </c>
    </row>
    <row r="3">
      <c r="A3" s="15">
        <f t="shared" ref="A3:A49" si="6">A2+1
</f>
        <v>19</v>
      </c>
      <c r="B3" s="15">
        <f t="shared" si="1"/>
        <v>0</v>
      </c>
      <c r="C3" s="15">
        <f>IF(A3="","", startPrice * (1+inflation)^(A3-24))
</f>
        <v>265156.2863</v>
      </c>
      <c r="D3" s="15">
        <f>IF(C3="","", C3 * pctDown)
</f>
        <v>66289.07157</v>
      </c>
      <c r="E3" s="15">
        <f>IF(C3="","", C3 * pctClose)
</f>
        <v>7954.688588</v>
      </c>
      <c r="F3" s="15">
        <f>IF(C3="","", C3 * bufferPct)
</f>
        <v>15909.37718</v>
      </c>
      <c r="G3" s="15">
        <f t="shared" si="2"/>
        <v>90153.13734</v>
      </c>
      <c r="H3" s="15">
        <f t="array" ref="H3">IFERROR( INDEX(Balances!$N:$N, MATCH(A3, Balances!$A:$A, 0) ), 0)
</f>
        <v>0</v>
      </c>
      <c r="I3" s="15">
        <f t="shared" ref="I3:I49" si="7">H3 - IF(J3="BUY", G3, 0)
</f>
        <v>0</v>
      </c>
      <c r="J3" s="15" t="str">
        <f t="shared" si="3"/>
        <v/>
      </c>
      <c r="K3" s="15">
        <f t="shared" si="4"/>
        <v>19</v>
      </c>
      <c r="L3" s="15">
        <f t="shared" si="5"/>
        <v>0</v>
      </c>
    </row>
    <row r="4">
      <c r="A4" s="15">
        <f t="shared" si="6"/>
        <v>20</v>
      </c>
      <c r="B4" s="15">
        <f t="shared" si="1"/>
        <v>0</v>
      </c>
      <c r="C4" s="15">
        <f>IF(A4="","", startPrice * (1+inflation)^(A4-24))
</f>
        <v>271785.1934</v>
      </c>
      <c r="D4" s="15">
        <f>IF(C4="","", C4 * pctDown)
</f>
        <v>67946.29836</v>
      </c>
      <c r="E4" s="15">
        <f>IF(C4="","", C4 * pctClose)
</f>
        <v>8153.555803</v>
      </c>
      <c r="F4" s="15">
        <f>IF(C4="","", C4 * bufferPct)
</f>
        <v>16307.11161</v>
      </c>
      <c r="G4" s="15">
        <f t="shared" si="2"/>
        <v>92406.96577</v>
      </c>
      <c r="H4" s="15">
        <f t="array" ref="H4">IFERROR( INDEX(Balances!$N:$N, MATCH(A4, Balances!$A:$A, 0) ), 0)
</f>
        <v>0</v>
      </c>
      <c r="I4" s="15">
        <f t="shared" si="7"/>
        <v>0</v>
      </c>
      <c r="J4" s="15" t="str">
        <f t="shared" si="3"/>
        <v/>
      </c>
      <c r="K4" s="15">
        <f t="shared" si="4"/>
        <v>20</v>
      </c>
      <c r="L4" s="15">
        <f t="shared" si="5"/>
        <v>0</v>
      </c>
    </row>
    <row r="5">
      <c r="A5" s="15">
        <f t="shared" si="6"/>
        <v>21</v>
      </c>
      <c r="B5" s="15">
        <f t="shared" si="1"/>
        <v>0</v>
      </c>
      <c r="C5" s="15">
        <f>IF(A5="","", startPrice * (1+inflation)^(A5-24))
</f>
        <v>278579.8233</v>
      </c>
      <c r="D5" s="15">
        <f>IF(C5="","", C5 * pctDown)
</f>
        <v>69644.95582</v>
      </c>
      <c r="E5" s="15">
        <f>IF(C5="","", C5 * pctClose)
</f>
        <v>8357.394698</v>
      </c>
      <c r="F5" s="15">
        <f>IF(C5="","", C5 * bufferPct)
</f>
        <v>16714.7894</v>
      </c>
      <c r="G5" s="15">
        <f t="shared" si="2"/>
        <v>94717.13991</v>
      </c>
      <c r="H5" s="15">
        <f t="array" ref="H5">IFERROR( INDEX(Balances!$N:$N, MATCH(A5, Balances!$A:$A, 0) ), 0)
</f>
        <v>0</v>
      </c>
      <c r="I5" s="15">
        <f t="shared" si="7"/>
        <v>0</v>
      </c>
      <c r="J5" s="15" t="str">
        <f t="shared" si="3"/>
        <v/>
      </c>
      <c r="K5" s="15">
        <f t="shared" si="4"/>
        <v>21</v>
      </c>
      <c r="L5" s="15">
        <f t="shared" si="5"/>
        <v>0</v>
      </c>
    </row>
    <row r="6">
      <c r="A6" s="15">
        <f t="shared" si="6"/>
        <v>22</v>
      </c>
      <c r="B6" s="15">
        <f t="shared" si="1"/>
        <v>0</v>
      </c>
      <c r="C6" s="15">
        <f>IF(A6="","", startPrice * (1+inflation)^(A6-24))
</f>
        <v>285544.3189</v>
      </c>
      <c r="D6" s="15">
        <f>IF(C6="","", C6 * pctDown)
</f>
        <v>71386.07971</v>
      </c>
      <c r="E6" s="15">
        <f>IF(C6="","", C6 * pctClose)
</f>
        <v>8566.329566</v>
      </c>
      <c r="F6" s="15">
        <f>IF(C6="","", C6 * bufferPct)
</f>
        <v>17132.65913</v>
      </c>
      <c r="G6" s="15">
        <f t="shared" si="2"/>
        <v>97085.06841</v>
      </c>
      <c r="H6" s="15">
        <f t="array" ref="H6">IFERROR( INDEX(Balances!$N:$N, MATCH(A6, Balances!$A:$A, 0) ), 0)
</f>
        <v>8836.24</v>
      </c>
      <c r="I6" s="15">
        <f t="shared" si="7"/>
        <v>8836.24</v>
      </c>
      <c r="J6" s="15" t="str">
        <f t="shared" si="3"/>
        <v/>
      </c>
      <c r="K6" s="15">
        <f t="shared" si="4"/>
        <v>22</v>
      </c>
      <c r="L6" s="15">
        <f t="shared" si="5"/>
        <v>0</v>
      </c>
    </row>
    <row r="7">
      <c r="A7" s="15">
        <f t="shared" si="6"/>
        <v>23</v>
      </c>
      <c r="B7" s="15">
        <f t="shared" si="1"/>
        <v>0</v>
      </c>
      <c r="C7" s="15">
        <f>IF(A7="","", startPrice * (1+inflation)^(A7-24))
</f>
        <v>292682.9268</v>
      </c>
      <c r="D7" s="15">
        <f>IF(C7="","", C7 * pctDown)
</f>
        <v>73170.73171</v>
      </c>
      <c r="E7" s="15">
        <f>IF(C7="","", C7 * pctClose)
</f>
        <v>8780.487805</v>
      </c>
      <c r="F7" s="15">
        <f>IF(C7="","", C7 * bufferPct)
</f>
        <v>17560.97561</v>
      </c>
      <c r="G7" s="15">
        <f t="shared" si="2"/>
        <v>99512.19512</v>
      </c>
      <c r="H7" s="15">
        <f t="array" ref="H7">IFERROR( INDEX(Balances!$N:$N, MATCH(A7, Balances!$A:$A, 0) ), 0)
</f>
        <v>18199.8</v>
      </c>
      <c r="I7" s="15">
        <f t="shared" si="7"/>
        <v>18199.8</v>
      </c>
      <c r="J7" s="15" t="str">
        <f t="shared" si="3"/>
        <v/>
      </c>
      <c r="K7" s="15">
        <f t="shared" si="4"/>
        <v>23</v>
      </c>
      <c r="L7" s="15">
        <f t="shared" si="5"/>
        <v>0</v>
      </c>
    </row>
    <row r="8">
      <c r="A8" s="15">
        <f t="shared" si="6"/>
        <v>24</v>
      </c>
      <c r="B8" s="15">
        <f t="shared" si="1"/>
        <v>0</v>
      </c>
      <c r="C8" s="15">
        <f>IF(A8="","", startPrice * (1+inflation)^(A8-24))
</f>
        <v>300000</v>
      </c>
      <c r="D8" s="15">
        <f>IF(C8="","", C8 * pctDown)
</f>
        <v>75000</v>
      </c>
      <c r="E8" s="15">
        <f>IF(C8="","", C8 * pctClose)
</f>
        <v>9000</v>
      </c>
      <c r="F8" s="15">
        <f>IF(C8="","", C8 * bufferPct)
</f>
        <v>18000</v>
      </c>
      <c r="G8" s="15">
        <f t="shared" si="2"/>
        <v>102000</v>
      </c>
      <c r="H8" s="15">
        <f t="array" ref="H8">IFERROR( INDEX(Balances!$N:$N, MATCH(A8, Balances!$A:$A, 0) ), 0)
</f>
        <v>28727.57</v>
      </c>
      <c r="I8" s="15">
        <f t="shared" si="7"/>
        <v>28727.57</v>
      </c>
      <c r="J8" s="15" t="str">
        <f t="shared" si="3"/>
        <v/>
      </c>
      <c r="K8" s="15">
        <f t="shared" si="4"/>
        <v>24</v>
      </c>
      <c r="L8" s="15">
        <f t="shared" si="5"/>
        <v>0</v>
      </c>
    </row>
    <row r="9">
      <c r="A9" s="15">
        <f t="shared" si="6"/>
        <v>25</v>
      </c>
      <c r="B9" s="15">
        <f t="shared" si="1"/>
        <v>0</v>
      </c>
      <c r="C9" s="15">
        <f>IF(A9="","", startPrice * (1+inflation)^(A9-24))
</f>
        <v>307500</v>
      </c>
      <c r="D9" s="15">
        <f>IF(C9="","", C9 * pctDown)
</f>
        <v>76875</v>
      </c>
      <c r="E9" s="15">
        <f>IF(C9="","", C9 * pctClose)
</f>
        <v>9225</v>
      </c>
      <c r="F9" s="15">
        <f>IF(C9="","", C9 * bufferPct)
</f>
        <v>18450</v>
      </c>
      <c r="G9" s="15">
        <f t="shared" si="2"/>
        <v>104550</v>
      </c>
      <c r="H9" s="15">
        <f t="array" ref="H9">IFERROR( INDEX(Balances!$N:$N, MATCH(A9, Balances!$A:$A, 0) ), 0)
</f>
        <v>47775.67</v>
      </c>
      <c r="I9" s="15">
        <f t="shared" si="7"/>
        <v>47775.67</v>
      </c>
      <c r="J9" s="15" t="str">
        <f t="shared" si="3"/>
        <v/>
      </c>
      <c r="K9" s="15">
        <f t="shared" si="4"/>
        <v>25</v>
      </c>
      <c r="L9" s="15">
        <f t="shared" si="5"/>
        <v>0</v>
      </c>
    </row>
    <row r="10">
      <c r="A10" s="15">
        <f t="shared" si="6"/>
        <v>26</v>
      </c>
      <c r="B10" s="15">
        <f t="shared" si="1"/>
        <v>0</v>
      </c>
      <c r="C10" s="15">
        <f>IF(A10="","", startPrice * (1+inflation)^(A10-24))
</f>
        <v>315187.5</v>
      </c>
      <c r="D10" s="15">
        <f>IF(C10="","", C10 * pctDown)
</f>
        <v>78796.875</v>
      </c>
      <c r="E10" s="15">
        <f>IF(C10="","", C10 * pctClose)
</f>
        <v>9455.625</v>
      </c>
      <c r="F10" s="15">
        <f>IF(C10="","", C10 * bufferPct)
</f>
        <v>18911.25</v>
      </c>
      <c r="G10" s="15">
        <f t="shared" si="2"/>
        <v>107163.75</v>
      </c>
      <c r="H10" s="15">
        <f t="array" ref="H10">IFERROR( INDEX(Balances!$N:$N, MATCH(A10, Balances!$A:$A, 0) ), 0)
</f>
        <v>70406.09</v>
      </c>
      <c r="I10" s="15">
        <f t="shared" si="7"/>
        <v>70406.09</v>
      </c>
      <c r="J10" s="15" t="str">
        <f t="shared" si="3"/>
        <v/>
      </c>
      <c r="K10" s="15">
        <f t="shared" si="4"/>
        <v>26</v>
      </c>
      <c r="L10" s="15">
        <f t="shared" si="5"/>
        <v>0</v>
      </c>
    </row>
    <row r="11">
      <c r="A11" s="15">
        <f t="shared" si="6"/>
        <v>27</v>
      </c>
      <c r="B11" s="15">
        <f t="shared" si="1"/>
        <v>0</v>
      </c>
      <c r="C11" s="15">
        <f>IF(A11="","", startPrice * (1+inflation)^(A11-24))
</f>
        <v>323067.1875</v>
      </c>
      <c r="D11" s="15">
        <f>IF(C11="","", C11 * pctDown)
</f>
        <v>80766.79688</v>
      </c>
      <c r="E11" s="15">
        <f>IF(C11="","", C11 * pctClose)
</f>
        <v>9692.015625</v>
      </c>
      <c r="F11" s="15">
        <f>IF(C11="","", C11 * bufferPct)
</f>
        <v>19384.03125</v>
      </c>
      <c r="G11" s="15">
        <f t="shared" si="2"/>
        <v>109842.8438</v>
      </c>
      <c r="H11" s="15">
        <f t="array" ref="H11">IFERROR( INDEX(Balances!$N:$N, MATCH(A11, Balances!$A:$A, 0) ), 0)
</f>
        <v>107293.96</v>
      </c>
      <c r="I11" s="15">
        <f t="shared" si="7"/>
        <v>107293.96</v>
      </c>
      <c r="J11" s="15" t="str">
        <f t="shared" si="3"/>
        <v/>
      </c>
      <c r="K11" s="15">
        <f t="shared" si="4"/>
        <v>27</v>
      </c>
      <c r="L11" s="15">
        <f t="shared" si="5"/>
        <v>0</v>
      </c>
    </row>
    <row r="12">
      <c r="A12" s="15">
        <f t="shared" si="6"/>
        <v>28</v>
      </c>
      <c r="B12" s="15">
        <f t="shared" si="1"/>
        <v>1</v>
      </c>
      <c r="C12" s="15">
        <f>IF(A12="","", startPrice * (1+inflation)^(A12-24))
</f>
        <v>331143.8672</v>
      </c>
      <c r="D12" s="15">
        <f>IF(C12="","", C12 * pctDown)
</f>
        <v>82785.9668</v>
      </c>
      <c r="E12" s="15">
        <f>IF(C12="","", C12 * pctClose)
</f>
        <v>9934.316016</v>
      </c>
      <c r="F12" s="15">
        <f>IF(C12="","", C12 * bufferPct)
</f>
        <v>19868.63203</v>
      </c>
      <c r="G12" s="15">
        <f t="shared" si="2"/>
        <v>112588.9148</v>
      </c>
      <c r="H12" s="15">
        <f t="array" ref="H12">IFERROR( INDEX(Balances!$N:$N, MATCH(A12, Balances!$A:$A, 0) ), 0)
</f>
        <v>146863.88</v>
      </c>
      <c r="I12" s="15">
        <f t="shared" si="7"/>
        <v>34274.96516</v>
      </c>
      <c r="J12" s="15" t="str">
        <f t="shared" si="3"/>
        <v>BUY</v>
      </c>
      <c r="K12" s="15">
        <f t="shared" si="4"/>
        <v>28</v>
      </c>
      <c r="L12" s="15">
        <f t="shared" si="5"/>
        <v>112588.9148</v>
      </c>
    </row>
    <row r="13">
      <c r="A13" s="15">
        <f t="shared" si="6"/>
        <v>29</v>
      </c>
      <c r="B13" s="15">
        <f t="shared" si="1"/>
        <v>1</v>
      </c>
      <c r="C13" s="15">
        <f>IF(A13="","", startPrice * (1+inflation)^(A13-24))
</f>
        <v>339422.4639</v>
      </c>
      <c r="D13" s="15">
        <f>IF(C13="","", C13 * pctDown)
</f>
        <v>84855.61597</v>
      </c>
      <c r="E13" s="15">
        <f>IF(C13="","", C13 * pctClose)
</f>
        <v>10182.67392</v>
      </c>
      <c r="F13" s="15">
        <f>IF(C13="","", C13 * bufferPct)
</f>
        <v>20365.34783</v>
      </c>
      <c r="G13" s="15">
        <f t="shared" si="2"/>
        <v>115403.6377</v>
      </c>
      <c r="H13" s="15">
        <f t="array" ref="H13">IFERROR( INDEX(Balances!$N:$N, MATCH(A13, Balances!$A:$A, 0) ), 0)
</f>
        <v>76599.29516</v>
      </c>
      <c r="I13" s="15">
        <f t="shared" si="7"/>
        <v>76599.29516</v>
      </c>
      <c r="J13" s="15" t="str">
        <f t="shared" si="3"/>
        <v/>
      </c>
      <c r="K13" s="15">
        <f t="shared" si="4"/>
        <v>29</v>
      </c>
      <c r="L13" s="15">
        <f t="shared" si="5"/>
        <v>0</v>
      </c>
    </row>
    <row r="14">
      <c r="A14" s="15">
        <f t="shared" si="6"/>
        <v>30</v>
      </c>
      <c r="B14" s="15">
        <f t="shared" si="1"/>
        <v>2</v>
      </c>
      <c r="C14" s="15">
        <f>IF(A14="","", startPrice * (1+inflation)^(A14-24))
</f>
        <v>347908.0255</v>
      </c>
      <c r="D14" s="15">
        <f>IF(C14="","", C14 * pctDown)
</f>
        <v>86977.00637</v>
      </c>
      <c r="E14" s="15">
        <f>IF(C14="","", C14 * pctClose)
</f>
        <v>10437.24076</v>
      </c>
      <c r="F14" s="15">
        <f>IF(C14="","", C14 * bufferPct)
</f>
        <v>20874.48153</v>
      </c>
      <c r="G14" s="15">
        <f t="shared" si="2"/>
        <v>118288.7287</v>
      </c>
      <c r="H14" s="15">
        <f t="array" ref="H14">IFERROR( INDEX(Balances!$N:$N, MATCH(A14, Balances!$A:$A, 0) ), 0)
</f>
        <v>125200.95</v>
      </c>
      <c r="I14" s="15">
        <f t="shared" si="7"/>
        <v>6912.221342</v>
      </c>
      <c r="J14" s="15" t="str">
        <f t="shared" si="3"/>
        <v>BUY</v>
      </c>
      <c r="K14" s="15">
        <f t="shared" si="4"/>
        <v>30</v>
      </c>
      <c r="L14" s="15">
        <f t="shared" si="5"/>
        <v>118288.7287</v>
      </c>
    </row>
    <row r="15">
      <c r="A15" s="15">
        <f t="shared" si="6"/>
        <v>31</v>
      </c>
      <c r="B15" s="15">
        <f t="shared" si="1"/>
        <v>2</v>
      </c>
      <c r="C15" s="15">
        <f>IF(A15="","", startPrice * (1+inflation)^(A15-24))
</f>
        <v>356605.7261</v>
      </c>
      <c r="D15" s="15">
        <f>IF(C15="","", C15 * pctDown)
</f>
        <v>89151.43153</v>
      </c>
      <c r="E15" s="15">
        <f>IF(C15="","", C15 * pctClose)
</f>
        <v>10698.17178</v>
      </c>
      <c r="F15" s="15">
        <f>IF(C15="","", C15 * bufferPct)
</f>
        <v>21396.34357</v>
      </c>
      <c r="G15" s="15">
        <f t="shared" si="2"/>
        <v>121245.9469</v>
      </c>
      <c r="H15" s="15">
        <f t="array" ref="H15">IFERROR( INDEX(Balances!$N:$N, MATCH(A15, Balances!$A:$A, 0) ), 0)
</f>
        <v>63187.07134</v>
      </c>
      <c r="I15" s="15">
        <f t="shared" si="7"/>
        <v>63187.07134</v>
      </c>
      <c r="J15" s="15" t="str">
        <f t="shared" si="3"/>
        <v/>
      </c>
      <c r="K15" s="15">
        <f t="shared" si="4"/>
        <v>31</v>
      </c>
      <c r="L15" s="15">
        <f t="shared" si="5"/>
        <v>0</v>
      </c>
    </row>
    <row r="16">
      <c r="A16" s="15">
        <f t="shared" si="6"/>
        <v>32</v>
      </c>
      <c r="B16" s="15">
        <f t="shared" si="1"/>
        <v>2</v>
      </c>
      <c r="C16" s="15">
        <f>IF(A16="","", startPrice * (1+inflation)^(A16-24))
</f>
        <v>365520.8693</v>
      </c>
      <c r="D16" s="15">
        <f>IF(C16="","", C16 * pctDown)
</f>
        <v>91380.21731</v>
      </c>
      <c r="E16" s="15">
        <f>IF(C16="","", C16 * pctClose)
</f>
        <v>10965.62608</v>
      </c>
      <c r="F16" s="15">
        <f>IF(C16="","", C16 * bufferPct)
</f>
        <v>21931.25216</v>
      </c>
      <c r="G16" s="15">
        <f t="shared" si="2"/>
        <v>124277.0955</v>
      </c>
      <c r="H16" s="15">
        <f t="array" ref="H16">IFERROR( INDEX(Balances!$N:$N, MATCH(A16, Balances!$A:$A, 0) ), 0)
</f>
        <v>119236.09</v>
      </c>
      <c r="I16" s="15">
        <f t="shared" si="7"/>
        <v>119236.09</v>
      </c>
      <c r="J16" s="15" t="str">
        <f t="shared" si="3"/>
        <v/>
      </c>
      <c r="K16" s="15">
        <f t="shared" si="4"/>
        <v>32</v>
      </c>
      <c r="L16" s="15">
        <f t="shared" si="5"/>
        <v>0</v>
      </c>
    </row>
    <row r="17">
      <c r="A17" s="15">
        <f t="shared" si="6"/>
        <v>33</v>
      </c>
      <c r="B17" s="15">
        <f t="shared" si="1"/>
        <v>3</v>
      </c>
      <c r="C17" s="15">
        <f>IF(A17="","", startPrice * (1+inflation)^(A17-24))
</f>
        <v>374658.891</v>
      </c>
      <c r="D17" s="15">
        <f>IF(C17="","", C17 * pctDown)
</f>
        <v>93664.72275</v>
      </c>
      <c r="E17" s="15">
        <f>IF(C17="","", C17 * pctClose)
</f>
        <v>11239.76673</v>
      </c>
      <c r="F17" s="15">
        <f>IF(C17="","", C17 * bufferPct)
</f>
        <v>22479.53346</v>
      </c>
      <c r="G17" s="15">
        <f t="shared" si="2"/>
        <v>127384.0229</v>
      </c>
      <c r="H17" s="15">
        <f t="array" ref="H17">IFERROR( INDEX(Balances!$N:$N, MATCH(A17, Balances!$A:$A, 0) ), 0)
</f>
        <v>177349.79</v>
      </c>
      <c r="I17" s="15">
        <f t="shared" si="7"/>
        <v>49965.76707</v>
      </c>
      <c r="J17" s="15" t="str">
        <f t="shared" si="3"/>
        <v>BUY</v>
      </c>
      <c r="K17" s="15">
        <f t="shared" si="4"/>
        <v>33</v>
      </c>
      <c r="L17" s="15">
        <f t="shared" si="5"/>
        <v>127384.0229</v>
      </c>
    </row>
    <row r="18">
      <c r="A18" s="15">
        <f t="shared" si="6"/>
        <v>34</v>
      </c>
      <c r="B18" s="15">
        <f t="shared" si="1"/>
        <v>3</v>
      </c>
      <c r="C18" s="15">
        <f>IF(A18="","", startPrice * (1+inflation)^(A18-24))
</f>
        <v>384025.3633</v>
      </c>
      <c r="D18" s="15">
        <f>IF(C18="","", C18 * pctDown)
</f>
        <v>96006.34081</v>
      </c>
      <c r="E18" s="15">
        <f>IF(C18="","", C18 * pctClose)
</f>
        <v>11520.7609</v>
      </c>
      <c r="F18" s="15">
        <f>IF(C18="","", C18 * bufferPct)
</f>
        <v>23041.5218</v>
      </c>
      <c r="G18" s="15">
        <f t="shared" si="2"/>
        <v>130568.6235</v>
      </c>
      <c r="H18" s="15">
        <f t="array" ref="H18">IFERROR( INDEX(Balances!$N:$N, MATCH(A18, Balances!$A:$A, 0) ), 0)
</f>
        <v>111484.0571</v>
      </c>
      <c r="I18" s="15">
        <f t="shared" si="7"/>
        <v>111484.0571</v>
      </c>
      <c r="J18" s="15" t="str">
        <f t="shared" si="3"/>
        <v/>
      </c>
      <c r="K18" s="15">
        <f t="shared" si="4"/>
        <v>34</v>
      </c>
      <c r="L18" s="15">
        <f t="shared" si="5"/>
        <v>0</v>
      </c>
    </row>
    <row r="19">
      <c r="A19" s="15">
        <f t="shared" si="6"/>
        <v>35</v>
      </c>
      <c r="B19" s="15">
        <f t="shared" si="1"/>
        <v>4</v>
      </c>
      <c r="C19" s="15">
        <f>IF(A19="","", startPrice * (1+inflation)^(A19-24))
</f>
        <v>393625.9973</v>
      </c>
      <c r="D19" s="15">
        <f>IF(C19="","", C19 * pctDown)
</f>
        <v>98406.49934</v>
      </c>
      <c r="E19" s="15">
        <f>IF(C19="","", C19 * pctClose)
</f>
        <v>11808.77992</v>
      </c>
      <c r="F19" s="15">
        <f>IF(C19="","", C19 * bufferPct)
</f>
        <v>23617.55984</v>
      </c>
      <c r="G19" s="15">
        <f t="shared" si="2"/>
        <v>133832.8391</v>
      </c>
      <c r="H19" s="15">
        <f t="array" ref="H19">IFERROR( INDEX(Balances!$N:$N, MATCH(A19, Balances!$A:$A, 0) ), 0)
</f>
        <v>172747.71</v>
      </c>
      <c r="I19" s="15">
        <f t="shared" si="7"/>
        <v>38914.8709</v>
      </c>
      <c r="J19" s="15" t="str">
        <f t="shared" si="3"/>
        <v>BUY</v>
      </c>
      <c r="K19" s="15">
        <f t="shared" si="4"/>
        <v>35</v>
      </c>
      <c r="L19" s="15">
        <f t="shared" si="5"/>
        <v>133832.8391</v>
      </c>
    </row>
    <row r="20">
      <c r="A20" s="15">
        <f t="shared" si="6"/>
        <v>36</v>
      </c>
      <c r="B20" s="15">
        <f t="shared" si="1"/>
        <v>4</v>
      </c>
      <c r="C20" s="15">
        <f>IF(A20="","", startPrice * (1+inflation)^(A20-24))
</f>
        <v>403466.6473</v>
      </c>
      <c r="D20" s="15">
        <f>IF(C20="","", C20 * pctDown)
</f>
        <v>100866.6618</v>
      </c>
      <c r="E20" s="15">
        <f>IF(C20="","", C20 * pctClose)
</f>
        <v>12103.99942</v>
      </c>
      <c r="F20" s="15">
        <f>IF(C20="","", C20 * bufferPct)
</f>
        <v>24207.99884</v>
      </c>
      <c r="G20" s="15">
        <f t="shared" si="2"/>
        <v>137178.6601</v>
      </c>
      <c r="H20" s="15">
        <f t="array" ref="H20">IFERROR( INDEX(Balances!$N:$N, MATCH(A20, Balances!$A:$A, 0) ), 0)
</f>
        <v>103787.9909</v>
      </c>
      <c r="I20" s="15">
        <f t="shared" si="7"/>
        <v>103787.9909</v>
      </c>
      <c r="J20" s="15" t="str">
        <f t="shared" si="3"/>
        <v/>
      </c>
      <c r="K20" s="15">
        <f t="shared" si="4"/>
        <v>36</v>
      </c>
      <c r="L20" s="15">
        <f t="shared" si="5"/>
        <v>0</v>
      </c>
    </row>
    <row r="21">
      <c r="A21" s="15">
        <f t="shared" si="6"/>
        <v>37</v>
      </c>
      <c r="B21" s="15">
        <f t="shared" si="1"/>
        <v>5</v>
      </c>
      <c r="C21" s="15">
        <f>IF(A21="","", startPrice * (1+inflation)^(A21-24))
</f>
        <v>413553.3135</v>
      </c>
      <c r="D21" s="15">
        <f>IF(C21="","", C21 * pctDown)
</f>
        <v>103388.3284</v>
      </c>
      <c r="E21" s="15">
        <f>IF(C21="","", C21 * pctClose)
</f>
        <v>12406.5994</v>
      </c>
      <c r="F21" s="15">
        <f>IF(C21="","", C21 * bufferPct)
</f>
        <v>24813.19881</v>
      </c>
      <c r="G21" s="15">
        <f t="shared" si="2"/>
        <v>140608.1266</v>
      </c>
      <c r="H21" s="15">
        <f t="array" ref="H21">IFERROR( INDEX(Balances!$N:$N, MATCH(A21, Balances!$A:$A, 0) ), 0)
</f>
        <v>178672.12</v>
      </c>
      <c r="I21" s="15">
        <f t="shared" si="7"/>
        <v>38063.99343</v>
      </c>
      <c r="J21" s="15" t="str">
        <f t="shared" si="3"/>
        <v>BUY</v>
      </c>
      <c r="K21" s="15">
        <f t="shared" si="4"/>
        <v>37</v>
      </c>
      <c r="L21" s="15">
        <f t="shared" si="5"/>
        <v>140608.1266</v>
      </c>
    </row>
    <row r="22">
      <c r="A22" s="15">
        <f t="shared" si="6"/>
        <v>38</v>
      </c>
      <c r="B22" s="15">
        <f t="shared" si="1"/>
        <v>5</v>
      </c>
      <c r="C22" s="15">
        <f>IF(A22="","", startPrice * (1+inflation)^(A22-24))
</f>
        <v>423892.1463</v>
      </c>
      <c r="D22" s="15">
        <f>IF(C22="","", C22 * pctDown)
</f>
        <v>105973.0366</v>
      </c>
      <c r="E22" s="15">
        <f>IF(C22="","", C22 * pctClose)
</f>
        <v>12716.76439</v>
      </c>
      <c r="F22" s="15">
        <f>IF(C22="","", C22 * bufferPct)
</f>
        <v>25433.52878</v>
      </c>
      <c r="G22" s="15">
        <f t="shared" si="2"/>
        <v>144123.3297</v>
      </c>
      <c r="H22" s="15">
        <f t="array" ref="H22">IFERROR( INDEX(Balances!$N:$N, MATCH(A22, Balances!$A:$A, 0) ), 0)
</f>
        <v>117386.4934</v>
      </c>
      <c r="I22" s="15">
        <f t="shared" si="7"/>
        <v>117386.4934</v>
      </c>
      <c r="J22" s="15" t="str">
        <f t="shared" si="3"/>
        <v/>
      </c>
      <c r="K22" s="15">
        <f t="shared" si="4"/>
        <v>38</v>
      </c>
      <c r="L22" s="15">
        <f t="shared" si="5"/>
        <v>0</v>
      </c>
    </row>
    <row r="23">
      <c r="A23" s="15">
        <f t="shared" si="6"/>
        <v>39</v>
      </c>
      <c r="B23" s="15">
        <f t="shared" si="1"/>
        <v>6</v>
      </c>
      <c r="C23" s="15">
        <f>IF(A23="","", startPrice * (1+inflation)^(A23-24))
</f>
        <v>434489.4499</v>
      </c>
      <c r="D23" s="15">
        <f>IF(C23="","", C23 * pctDown)
</f>
        <v>108622.3625</v>
      </c>
      <c r="E23" s="15">
        <f>IF(C23="","", C23 * pctClose)
</f>
        <v>13034.6835</v>
      </c>
      <c r="F23" s="15">
        <f>IF(C23="","", C23 * bufferPct)
</f>
        <v>26069.367</v>
      </c>
      <c r="G23" s="15">
        <f t="shared" si="2"/>
        <v>147726.413</v>
      </c>
      <c r="H23" s="15">
        <f t="array" ref="H23">IFERROR( INDEX(Balances!$N:$N, MATCH(A23, Balances!$A:$A, 0) ), 0)
</f>
        <v>197136.51</v>
      </c>
      <c r="I23" s="15">
        <f t="shared" si="7"/>
        <v>49410.09702</v>
      </c>
      <c r="J23" s="15" t="str">
        <f t="shared" si="3"/>
        <v>BUY</v>
      </c>
      <c r="K23" s="15">
        <f t="shared" si="4"/>
        <v>39</v>
      </c>
      <c r="L23" s="15">
        <f t="shared" si="5"/>
        <v>147726.413</v>
      </c>
    </row>
    <row r="24">
      <c r="A24" s="15">
        <f t="shared" si="6"/>
        <v>40</v>
      </c>
      <c r="B24" s="15">
        <f t="shared" si="1"/>
        <v>6</v>
      </c>
      <c r="C24" s="15">
        <f>IF(A24="","", startPrice * (1+inflation)^(A24-24))
</f>
        <v>445351.6862</v>
      </c>
      <c r="D24" s="15">
        <f>IF(C24="","", C24 * pctDown)
</f>
        <v>111337.9215</v>
      </c>
      <c r="E24" s="15">
        <f>IF(C24="","", C24 * pctClose)
</f>
        <v>13360.55059</v>
      </c>
      <c r="F24" s="15">
        <f>IF(C24="","", C24 * bufferPct)
</f>
        <v>26721.10117</v>
      </c>
      <c r="G24" s="15">
        <f t="shared" si="2"/>
        <v>151419.5733</v>
      </c>
      <c r="H24" s="15">
        <f t="array" ref="H24">IFERROR( INDEX(Balances!$N:$N, MATCH(A24, Balances!$A:$A, 0) ), 0)
</f>
        <v>133981.097</v>
      </c>
      <c r="I24" s="15">
        <f t="shared" si="7"/>
        <v>133981.097</v>
      </c>
      <c r="J24" s="15" t="str">
        <f t="shared" si="3"/>
        <v/>
      </c>
      <c r="K24" s="15">
        <f t="shared" si="4"/>
        <v>40</v>
      </c>
      <c r="L24" s="15">
        <f t="shared" si="5"/>
        <v>0</v>
      </c>
    </row>
    <row r="25">
      <c r="A25" s="15">
        <f t="shared" si="6"/>
        <v>41</v>
      </c>
      <c r="B25" s="15">
        <f t="shared" si="1"/>
        <v>7</v>
      </c>
      <c r="C25" s="15">
        <f>IF(A25="","", startPrice * (1+inflation)^(A25-24))
</f>
        <v>456485.4784</v>
      </c>
      <c r="D25" s="15">
        <f>IF(C25="","", C25 * pctDown)
</f>
        <v>114121.3696</v>
      </c>
      <c r="E25" s="15">
        <f>IF(C25="","", C25 * pctClose)
</f>
        <v>13694.56435</v>
      </c>
      <c r="F25" s="15">
        <f>IF(C25="","", C25 * bufferPct)
</f>
        <v>27389.1287</v>
      </c>
      <c r="G25" s="15">
        <f t="shared" si="2"/>
        <v>155205.0626</v>
      </c>
      <c r="H25" s="15">
        <f t="array" ref="H25">IFERROR( INDEX(Balances!$N:$N, MATCH(A25, Balances!$A:$A, 0) ), 0)
</f>
        <v>218966.68</v>
      </c>
      <c r="I25" s="15">
        <f t="shared" si="7"/>
        <v>63761.61736</v>
      </c>
      <c r="J25" s="15" t="str">
        <f t="shared" si="3"/>
        <v>BUY</v>
      </c>
      <c r="K25" s="15">
        <f t="shared" si="4"/>
        <v>41</v>
      </c>
      <c r="L25" s="15">
        <f t="shared" si="5"/>
        <v>155205.0626</v>
      </c>
    </row>
    <row r="26">
      <c r="A26" s="15">
        <f t="shared" si="6"/>
        <v>42</v>
      </c>
      <c r="B26" s="15">
        <f t="shared" si="1"/>
        <v>7</v>
      </c>
      <c r="C26" s="15">
        <f>IF(A26="","", startPrice * (1+inflation)^(A26-24))
</f>
        <v>467897.6153</v>
      </c>
      <c r="D26" s="15">
        <f>IF(C26="","", C26 * pctDown)
</f>
        <v>116974.4038</v>
      </c>
      <c r="E26" s="15">
        <f>IF(C26="","", C26 * pctClose)
</f>
        <v>14036.92846</v>
      </c>
      <c r="F26" s="15">
        <f>IF(C26="","", C26 * bufferPct)
</f>
        <v>28073.85692</v>
      </c>
      <c r="G26" s="15">
        <f t="shared" si="2"/>
        <v>159085.1892</v>
      </c>
      <c r="H26" s="15">
        <f t="array" ref="H26">IFERROR( INDEX(Balances!$N:$N, MATCH(A26, Balances!$A:$A, 0) ), 0)
</f>
        <v>153773.9474</v>
      </c>
      <c r="I26" s="15">
        <f t="shared" si="7"/>
        <v>153773.9474</v>
      </c>
      <c r="J26" s="15" t="str">
        <f t="shared" si="3"/>
        <v/>
      </c>
      <c r="K26" s="15">
        <f t="shared" si="4"/>
        <v>42</v>
      </c>
      <c r="L26" s="15">
        <f t="shared" si="5"/>
        <v>0</v>
      </c>
    </row>
    <row r="27">
      <c r="A27" s="15">
        <f t="shared" si="6"/>
        <v>43</v>
      </c>
      <c r="B27" s="15">
        <f t="shared" si="1"/>
        <v>8</v>
      </c>
      <c r="C27" s="15">
        <f>IF(A27="","", startPrice * (1+inflation)^(A27-24))
</f>
        <v>479595.0557</v>
      </c>
      <c r="D27" s="15">
        <f>IF(C27="","", C27 * pctDown)
</f>
        <v>119898.7639</v>
      </c>
      <c r="E27" s="15">
        <f>IF(C27="","", C27 * pctClose)
</f>
        <v>14387.85167</v>
      </c>
      <c r="F27" s="15">
        <f>IF(C27="","", C27 * bufferPct)
</f>
        <v>28775.70334</v>
      </c>
      <c r="G27" s="15">
        <f t="shared" si="2"/>
        <v>163062.3189</v>
      </c>
      <c r="H27" s="15">
        <f t="array" ref="H27">IFERROR( INDEX(Balances!$N:$N, MATCH(A27, Balances!$A:$A, 0) ), 0)
</f>
        <v>244360.26</v>
      </c>
      <c r="I27" s="15">
        <f t="shared" si="7"/>
        <v>81297.94106</v>
      </c>
      <c r="J27" s="15" t="str">
        <f t="shared" si="3"/>
        <v>BUY</v>
      </c>
      <c r="K27" s="15">
        <f t="shared" si="4"/>
        <v>43</v>
      </c>
      <c r="L27" s="15">
        <f t="shared" si="5"/>
        <v>163062.3189</v>
      </c>
    </row>
    <row r="28">
      <c r="A28" s="15">
        <f t="shared" si="6"/>
        <v>44</v>
      </c>
      <c r="B28" s="15">
        <f t="shared" si="1"/>
        <v>9</v>
      </c>
      <c r="C28" s="15">
        <f>IF(A28="","", startPrice * (1+inflation)^(A28-24))
</f>
        <v>491584.9321</v>
      </c>
      <c r="D28" s="15">
        <f>IF(C28="","", C28 * pctDown)
</f>
        <v>122896.233</v>
      </c>
      <c r="E28" s="15">
        <f>IF(C28="","", C28 * pctClose)
</f>
        <v>14747.54796</v>
      </c>
      <c r="F28" s="15">
        <f>IF(C28="","", C28 * bufferPct)
</f>
        <v>29495.09593</v>
      </c>
      <c r="G28" s="15">
        <f t="shared" si="2"/>
        <v>167138.8769</v>
      </c>
      <c r="H28" s="15">
        <f t="array" ref="H28">IFERROR( INDEX(Balances!$N:$N, MATCH(A28, Balances!$A:$A, 0) ), 0)
</f>
        <v>177151.3611</v>
      </c>
      <c r="I28" s="15">
        <f t="shared" si="7"/>
        <v>10012.48415</v>
      </c>
      <c r="J28" s="15" t="str">
        <f t="shared" si="3"/>
        <v>BUY</v>
      </c>
      <c r="K28" s="15">
        <f t="shared" si="4"/>
        <v>44</v>
      </c>
      <c r="L28" s="15">
        <f t="shared" si="5"/>
        <v>167138.8769</v>
      </c>
    </row>
    <row r="29">
      <c r="A29" s="15">
        <f t="shared" si="6"/>
        <v>45</v>
      </c>
      <c r="B29" s="15">
        <f t="shared" si="1"/>
        <v>9</v>
      </c>
      <c r="C29" s="15">
        <f>IF(A29="","", startPrice * (1+inflation)^(A29-24))
</f>
        <v>503874.5554</v>
      </c>
      <c r="D29" s="15">
        <f>IF(C29="","", C29 * pctDown)
</f>
        <v>125968.6388</v>
      </c>
      <c r="E29" s="15">
        <f>IF(C29="","", C29 * pctClose)
</f>
        <v>15116.23666</v>
      </c>
      <c r="F29" s="15">
        <f>IF(C29="","", C29 * bufferPct)
</f>
        <v>30232.47332</v>
      </c>
      <c r="G29" s="15">
        <f t="shared" si="2"/>
        <v>171317.3488</v>
      </c>
      <c r="H29" s="15">
        <f t="array" ref="H29">IFERROR( INDEX(Balances!$N:$N, MATCH(A29, Balances!$A:$A, 0) ), 0)
</f>
        <v>105857.0331</v>
      </c>
      <c r="I29" s="15">
        <f t="shared" si="7"/>
        <v>105857.0331</v>
      </c>
      <c r="J29" s="15" t="str">
        <f t="shared" si="3"/>
        <v/>
      </c>
      <c r="K29" s="15">
        <f t="shared" si="4"/>
        <v>45</v>
      </c>
      <c r="L29" s="15">
        <f t="shared" si="5"/>
        <v>0</v>
      </c>
    </row>
    <row r="30">
      <c r="A30" s="15">
        <f t="shared" si="6"/>
        <v>46</v>
      </c>
      <c r="B30" s="15">
        <f t="shared" si="1"/>
        <v>10</v>
      </c>
      <c r="C30" s="15">
        <f>IF(A30="","", startPrice * (1+inflation)^(A30-24))
</f>
        <v>516471.4193</v>
      </c>
      <c r="D30" s="15">
        <f>IF(C30="","", C30 * pctDown)
</f>
        <v>129117.8548</v>
      </c>
      <c r="E30" s="15">
        <f>IF(C30="","", C30 * pctClose)
</f>
        <v>15494.14258</v>
      </c>
      <c r="F30" s="15">
        <f>IF(C30="","", C30 * bufferPct)
</f>
        <v>30988.28516</v>
      </c>
      <c r="G30" s="15">
        <f t="shared" si="2"/>
        <v>175600.2826</v>
      </c>
      <c r="H30" s="15">
        <f t="array" ref="H30">IFERROR( INDEX(Balances!$N:$N, MATCH(A30, Balances!$A:$A, 0) ), 0)
</f>
        <v>201620.33</v>
      </c>
      <c r="I30" s="15">
        <f t="shared" si="7"/>
        <v>26020.04745</v>
      </c>
      <c r="J30" s="15" t="str">
        <f t="shared" si="3"/>
        <v>BUY</v>
      </c>
      <c r="K30" s="15">
        <f t="shared" si="4"/>
        <v>46</v>
      </c>
      <c r="L30" s="15">
        <f t="shared" si="5"/>
        <v>175600.2826</v>
      </c>
    </row>
    <row r="31">
      <c r="A31" s="15">
        <f t="shared" si="6"/>
        <v>47</v>
      </c>
      <c r="B31" s="15">
        <f t="shared" si="1"/>
        <v>10</v>
      </c>
      <c r="C31" s="15">
        <f>IF(A31="","", startPrice * (1+inflation)^(A31-24))
</f>
        <v>529383.2048</v>
      </c>
      <c r="D31" s="15">
        <f>IF(C31="","", C31 * pctDown)
</f>
        <v>132345.8012</v>
      </c>
      <c r="E31" s="15">
        <f>IF(C31="","", C31 * pctClose)
</f>
        <v>15881.49614</v>
      </c>
      <c r="F31" s="15">
        <f>IF(C31="","", C31 * bufferPct)
</f>
        <v>31762.99229</v>
      </c>
      <c r="G31" s="15">
        <f t="shared" si="2"/>
        <v>179990.2896</v>
      </c>
      <c r="H31" s="15">
        <f t="array" ref="H31">IFERROR( INDEX(Balances!$N:$N, MATCH(A31, Balances!$A:$A, 0) ), 0)
</f>
        <v>126765.2674</v>
      </c>
      <c r="I31" s="15">
        <f t="shared" si="7"/>
        <v>126765.2674</v>
      </c>
      <c r="J31" s="15" t="str">
        <f t="shared" si="3"/>
        <v/>
      </c>
      <c r="K31" s="15">
        <f t="shared" si="4"/>
        <v>47</v>
      </c>
      <c r="L31" s="15">
        <f t="shared" si="5"/>
        <v>0</v>
      </c>
    </row>
    <row r="32">
      <c r="A32" s="15">
        <f t="shared" si="6"/>
        <v>48</v>
      </c>
      <c r="B32" s="15">
        <f t="shared" si="1"/>
        <v>11</v>
      </c>
      <c r="C32" s="15">
        <f>IF(A32="","", startPrice * (1+inflation)^(A32-24))
</f>
        <v>542617.7849</v>
      </c>
      <c r="D32" s="15">
        <f>IF(C32="","", C32 * pctDown)
</f>
        <v>135654.4462</v>
      </c>
      <c r="E32" s="15">
        <f>IF(C32="","", C32 * pctClose)
</f>
        <v>16278.53355</v>
      </c>
      <c r="F32" s="15">
        <f>IF(C32="","", C32 * bufferPct)
</f>
        <v>32557.06709</v>
      </c>
      <c r="G32" s="15">
        <f t="shared" si="2"/>
        <v>184490.0469</v>
      </c>
      <c r="H32" s="15">
        <f t="array" ref="H32">IFERROR( INDEX(Balances!$N:$N, MATCH(A32, Balances!$A:$A, 0) ), 0)
</f>
        <v>227426.57</v>
      </c>
      <c r="I32" s="15">
        <f t="shared" si="7"/>
        <v>42936.52314</v>
      </c>
      <c r="J32" s="15" t="str">
        <f t="shared" si="3"/>
        <v>BUY</v>
      </c>
      <c r="K32" s="15">
        <f t="shared" si="4"/>
        <v>48</v>
      </c>
      <c r="L32" s="15">
        <f t="shared" si="5"/>
        <v>184490.0469</v>
      </c>
    </row>
    <row r="33">
      <c r="A33" s="15">
        <f t="shared" si="6"/>
        <v>49</v>
      </c>
      <c r="B33" s="15">
        <f t="shared" si="1"/>
        <v>11</v>
      </c>
      <c r="C33" s="15">
        <f>IF(A33="","", startPrice * (1+inflation)^(A33-24))
</f>
        <v>556183.2295</v>
      </c>
      <c r="D33" s="15">
        <f>IF(C33="","", C33 * pctDown)
</f>
        <v>139045.8074</v>
      </c>
      <c r="E33" s="15">
        <f>IF(C33="","", C33 * pctClose)
</f>
        <v>16685.49688</v>
      </c>
      <c r="F33" s="15">
        <f>IF(C33="","", C33 * bufferPct)
</f>
        <v>33370.99377</v>
      </c>
      <c r="G33" s="15">
        <f t="shared" si="2"/>
        <v>189102.298</v>
      </c>
      <c r="H33" s="15">
        <f t="array" ref="H33">IFERROR( INDEX(Balances!$N:$N, MATCH(A33, Balances!$A:$A, 0) ), 0)
</f>
        <v>148833.4631</v>
      </c>
      <c r="I33" s="15">
        <f t="shared" si="7"/>
        <v>148833.4631</v>
      </c>
      <c r="J33" s="15" t="str">
        <f t="shared" si="3"/>
        <v/>
      </c>
      <c r="K33" s="15">
        <f t="shared" si="4"/>
        <v>49</v>
      </c>
      <c r="L33" s="15">
        <f t="shared" si="5"/>
        <v>0</v>
      </c>
    </row>
    <row r="34">
      <c r="A34" s="15">
        <f t="shared" si="6"/>
        <v>50</v>
      </c>
      <c r="B34" s="15">
        <f t="shared" si="1"/>
        <v>12</v>
      </c>
      <c r="C34" s="15">
        <f>IF(A34="","", startPrice * (1+inflation)^(A34-24))
</f>
        <v>570087.8102</v>
      </c>
      <c r="D34" s="15">
        <f>IF(C34="","", C34 * pctDown)
</f>
        <v>142521.9526</v>
      </c>
      <c r="E34" s="15">
        <f>IF(C34="","", C34 * pctClose)
</f>
        <v>17102.63431</v>
      </c>
      <c r="F34" s="15">
        <f>IF(C34="","", C34 * bufferPct)
</f>
        <v>34205.26861</v>
      </c>
      <c r="G34" s="15">
        <f t="shared" si="2"/>
        <v>193829.8555</v>
      </c>
      <c r="H34" s="15">
        <f t="array" ref="H34">IFERROR( INDEX(Balances!$N:$N, MATCH(A34, Balances!$A:$A, 0) ), 0)
</f>
        <v>254643.79</v>
      </c>
      <c r="I34" s="15">
        <f t="shared" si="7"/>
        <v>60813.93452</v>
      </c>
      <c r="J34" s="15" t="str">
        <f t="shared" si="3"/>
        <v>BUY</v>
      </c>
      <c r="K34" s="15">
        <f t="shared" si="4"/>
        <v>50</v>
      </c>
      <c r="L34" s="15">
        <f t="shared" si="5"/>
        <v>193829.8555</v>
      </c>
    </row>
    <row r="35">
      <c r="A35" s="15">
        <f t="shared" si="6"/>
        <v>51</v>
      </c>
      <c r="B35" s="15">
        <f t="shared" si="1"/>
        <v>12</v>
      </c>
      <c r="C35" s="15">
        <f>IF(A35="","", startPrice * (1+inflation)^(A35-24))
</f>
        <v>584340.0055</v>
      </c>
      <c r="D35" s="15">
        <f>IF(C35="","", C35 * pctDown)
</f>
        <v>146085.0014</v>
      </c>
      <c r="E35" s="15">
        <f>IF(C35="","", C35 * pctClose)
</f>
        <v>17530.20016</v>
      </c>
      <c r="F35" s="15">
        <f>IF(C35="","", C35 * bufferPct)
</f>
        <v>35060.40033</v>
      </c>
      <c r="G35" s="15">
        <f t="shared" si="2"/>
        <v>198675.6019</v>
      </c>
      <c r="H35" s="15">
        <f t="array" ref="H35">IFERROR( INDEX(Balances!$N:$N, MATCH(A35, Balances!$A:$A, 0) ), 0)
</f>
        <v>171142.1945</v>
      </c>
      <c r="I35" s="15">
        <f t="shared" si="7"/>
        <v>171142.1945</v>
      </c>
      <c r="J35" s="15" t="str">
        <f t="shared" si="3"/>
        <v/>
      </c>
      <c r="K35" s="15">
        <f t="shared" si="4"/>
        <v>51</v>
      </c>
      <c r="L35" s="15">
        <f t="shared" si="5"/>
        <v>0</v>
      </c>
    </row>
    <row r="36">
      <c r="A36" s="15">
        <f t="shared" si="6"/>
        <v>52</v>
      </c>
      <c r="B36" s="15">
        <f t="shared" si="1"/>
        <v>13</v>
      </c>
      <c r="C36" s="15">
        <f>IF(A36="","", startPrice * (1+inflation)^(A36-24))
</f>
        <v>598948.5056</v>
      </c>
      <c r="D36" s="15">
        <f>IF(C36="","", C36 * pctDown)
</f>
        <v>149737.1264</v>
      </c>
      <c r="E36" s="15">
        <f>IF(C36="","", C36 * pctClose)
</f>
        <v>17968.45517</v>
      </c>
      <c r="F36" s="15">
        <f>IF(C36="","", C36 * bufferPct)
</f>
        <v>35936.91034</v>
      </c>
      <c r="G36" s="15">
        <f t="shared" si="2"/>
        <v>203642.4919</v>
      </c>
      <c r="H36" s="15">
        <f t="array" ref="H36">IFERROR( INDEX(Balances!$N:$N, MATCH(A36, Balances!$A:$A, 0) ), 0)
</f>
        <v>281351.57</v>
      </c>
      <c r="I36" s="15">
        <f t="shared" si="7"/>
        <v>77709.07809</v>
      </c>
      <c r="J36" s="15" t="str">
        <f t="shared" si="3"/>
        <v>BUY</v>
      </c>
      <c r="K36" s="15">
        <f t="shared" si="4"/>
        <v>52</v>
      </c>
      <c r="L36" s="15">
        <f t="shared" si="5"/>
        <v>203642.4919</v>
      </c>
    </row>
    <row r="37">
      <c r="A37" s="15">
        <f t="shared" si="6"/>
        <v>53</v>
      </c>
      <c r="B37" s="15">
        <f t="shared" si="1"/>
        <v>13</v>
      </c>
      <c r="C37" s="15">
        <f>IF(A37="","", startPrice * (1+inflation)^(A37-24))
</f>
        <v>613922.2183</v>
      </c>
      <c r="D37" s="15">
        <f>IF(C37="","", C37 * pctDown)
</f>
        <v>153480.5546</v>
      </c>
      <c r="E37" s="15">
        <f>IF(C37="","", C37 * pctClose)
</f>
        <v>18417.66655</v>
      </c>
      <c r="F37" s="15">
        <f>IF(C37="","", C37 * bufferPct)
</f>
        <v>36835.3331</v>
      </c>
      <c r="G37" s="15">
        <f t="shared" si="2"/>
        <v>208733.5542</v>
      </c>
      <c r="H37" s="15">
        <f t="array" ref="H37">IFERROR( INDEX(Balances!$N:$N, MATCH(A37, Balances!$A:$A, 0) ), 0)
</f>
        <v>193670.5481</v>
      </c>
      <c r="I37" s="15">
        <f t="shared" si="7"/>
        <v>193670.5481</v>
      </c>
      <c r="J37" s="15" t="str">
        <f t="shared" si="3"/>
        <v/>
      </c>
      <c r="K37" s="15">
        <f t="shared" si="4"/>
        <v>53</v>
      </c>
      <c r="L37" s="15">
        <f t="shared" si="5"/>
        <v>0</v>
      </c>
    </row>
    <row r="38">
      <c r="A38" s="15">
        <f t="shared" si="6"/>
        <v>54</v>
      </c>
      <c r="B38" s="15">
        <f t="shared" si="1"/>
        <v>14</v>
      </c>
      <c r="C38" s="15">
        <f>IF(A38="","", startPrice * (1+inflation)^(A38-24))
</f>
        <v>629270.2737</v>
      </c>
      <c r="D38" s="15">
        <f>IF(C38="","", C38 * pctDown)
</f>
        <v>157317.5684</v>
      </c>
      <c r="E38" s="15">
        <f>IF(C38="","", C38 * pctClose)
</f>
        <v>18878.10821</v>
      </c>
      <c r="F38" s="15">
        <f>IF(C38="","", C38 * bufferPct)
</f>
        <v>37756.21642</v>
      </c>
      <c r="G38" s="15">
        <f t="shared" si="2"/>
        <v>213951.8931</v>
      </c>
      <c r="H38" s="15">
        <f t="array" ref="H38">IFERROR( INDEX(Balances!$N:$N, MATCH(A38, Balances!$A:$A, 0) ), 0)
</f>
        <v>309508.56</v>
      </c>
      <c r="I38" s="15">
        <f t="shared" si="7"/>
        <v>95556.66693</v>
      </c>
      <c r="J38" s="15" t="str">
        <f t="shared" si="3"/>
        <v>BUY</v>
      </c>
      <c r="K38" s="15">
        <f t="shared" si="4"/>
        <v>54</v>
      </c>
      <c r="L38" s="15">
        <f t="shared" si="5"/>
        <v>213951.8931</v>
      </c>
    </row>
    <row r="39">
      <c r="A39" s="15">
        <f t="shared" si="6"/>
        <v>55</v>
      </c>
      <c r="B39" s="15">
        <f t="shared" si="1"/>
        <v>14</v>
      </c>
      <c r="C39" s="15">
        <f>IF(A39="","", startPrice * (1+inflation)^(A39-24))
</f>
        <v>645002.0306</v>
      </c>
      <c r="D39" s="15">
        <f>IF(C39="","", C39 * pctDown)
</f>
        <v>161250.5076</v>
      </c>
      <c r="E39" s="15">
        <f>IF(C39="","", C39 * pctClose)
</f>
        <v>19350.06092</v>
      </c>
      <c r="F39" s="15">
        <f>IF(C39="","", C39 * bufferPct)
</f>
        <v>38700.12183</v>
      </c>
      <c r="G39" s="15">
        <f t="shared" si="2"/>
        <v>219300.6904</v>
      </c>
      <c r="H39" s="15">
        <f t="array" ref="H39">IFERROR( INDEX(Balances!$N:$N, MATCH(A39, Balances!$A:$A, 0) ), 0)
</f>
        <v>217439.4469</v>
      </c>
      <c r="I39" s="15">
        <f t="shared" si="7"/>
        <v>217439.4469</v>
      </c>
      <c r="J39" s="15" t="str">
        <f t="shared" si="3"/>
        <v/>
      </c>
      <c r="K39" s="15">
        <f t="shared" si="4"/>
        <v>55</v>
      </c>
      <c r="L39" s="15">
        <f t="shared" si="5"/>
        <v>0</v>
      </c>
    </row>
    <row r="40">
      <c r="A40" s="15">
        <f t="shared" si="6"/>
        <v>56</v>
      </c>
      <c r="B40" s="15">
        <f t="shared" si="1"/>
        <v>15</v>
      </c>
      <c r="C40" s="15">
        <f>IF(A40="","", startPrice * (1+inflation)^(A40-24))
</f>
        <v>661127.0813</v>
      </c>
      <c r="D40" s="15">
        <f>IF(C40="","", C40 * pctDown)
</f>
        <v>165281.7703</v>
      </c>
      <c r="E40" s="15">
        <f>IF(C40="","", C40 * pctClose)
</f>
        <v>19833.81244</v>
      </c>
      <c r="F40" s="15">
        <f>IF(C40="","", C40 * bufferPct)
</f>
        <v>39667.62488</v>
      </c>
      <c r="G40" s="15">
        <f t="shared" si="2"/>
        <v>224783.2077</v>
      </c>
      <c r="H40" s="15">
        <f t="array" ref="H40">IFERROR( INDEX(Balances!$N:$N, MATCH(A40, Balances!$A:$A, 0) ), 0)
</f>
        <v>339194.03</v>
      </c>
      <c r="I40" s="15">
        <f t="shared" si="7"/>
        <v>114410.8223</v>
      </c>
      <c r="J40" s="15" t="str">
        <f t="shared" si="3"/>
        <v>BUY</v>
      </c>
      <c r="K40" s="15">
        <f t="shared" si="4"/>
        <v>56</v>
      </c>
      <c r="L40" s="15">
        <f t="shared" si="5"/>
        <v>224783.2077</v>
      </c>
    </row>
    <row r="41">
      <c r="A41" s="15">
        <f t="shared" si="6"/>
        <v>57</v>
      </c>
      <c r="B41" s="15">
        <f t="shared" si="1"/>
        <v>16</v>
      </c>
      <c r="C41" s="15">
        <f>IF(A41="","", startPrice * (1+inflation)^(A41-24))
</f>
        <v>677655.2584</v>
      </c>
      <c r="D41" s="15">
        <f>IF(C41="","", C41 * pctDown)
</f>
        <v>169413.8146</v>
      </c>
      <c r="E41" s="15">
        <f>IF(C41="","", C41 * pctClose)
</f>
        <v>20329.65775</v>
      </c>
      <c r="F41" s="15">
        <f>IF(C41="","", C41 * bufferPct)
</f>
        <v>40659.3155</v>
      </c>
      <c r="G41" s="15">
        <f t="shared" si="2"/>
        <v>230402.7878</v>
      </c>
      <c r="H41" s="15">
        <f t="array" ref="H41">IFERROR( INDEX(Balances!$N:$N, MATCH(A41, Balances!$A:$A, 0) ), 0)
</f>
        <v>242517.7723</v>
      </c>
      <c r="I41" s="15">
        <f t="shared" si="7"/>
        <v>12114.9845</v>
      </c>
      <c r="J41" s="15" t="str">
        <f t="shared" si="3"/>
        <v>BUY</v>
      </c>
      <c r="K41" s="15">
        <f t="shared" si="4"/>
        <v>57</v>
      </c>
      <c r="L41" s="15">
        <f t="shared" si="5"/>
        <v>230402.7878</v>
      </c>
    </row>
    <row r="42">
      <c r="A42" s="15">
        <f t="shared" si="6"/>
        <v>58</v>
      </c>
      <c r="B42" s="15">
        <f t="shared" si="1"/>
        <v>16</v>
      </c>
      <c r="C42" s="15">
        <f>IF(A42="","", startPrice * (1+inflation)^(A42-24))
</f>
        <v>694596.6398</v>
      </c>
      <c r="D42" s="15">
        <f>IF(C42="","", C42 * pctDown)
</f>
        <v>173649.16</v>
      </c>
      <c r="E42" s="15">
        <f>IF(C42="","", C42 * pctClose)
</f>
        <v>20837.89919</v>
      </c>
      <c r="F42" s="15">
        <f>IF(C42="","", C42 * bufferPct)
</f>
        <v>41675.79839</v>
      </c>
      <c r="G42" s="15">
        <f t="shared" si="2"/>
        <v>236162.8575</v>
      </c>
      <c r="H42" s="15">
        <f t="array" ref="H42">IFERROR( INDEX(Balances!$N:$N, MATCH(A42, Balances!$A:$A, 0) ), 0)
</f>
        <v>140088.8522</v>
      </c>
      <c r="I42" s="15">
        <f t="shared" si="7"/>
        <v>140088.8522</v>
      </c>
      <c r="J42" s="15" t="str">
        <f t="shared" si="3"/>
        <v/>
      </c>
      <c r="K42" s="15">
        <f t="shared" si="4"/>
        <v>58</v>
      </c>
      <c r="L42" s="15">
        <f t="shared" si="5"/>
        <v>0</v>
      </c>
    </row>
    <row r="43">
      <c r="A43" s="15">
        <f t="shared" si="6"/>
        <v>59</v>
      </c>
      <c r="B43" s="15">
        <f t="shared" si="1"/>
        <v>17</v>
      </c>
      <c r="C43" s="15">
        <f>IF(A43="","", startPrice * (1+inflation)^(A43-24))
</f>
        <v>711961.5558</v>
      </c>
      <c r="D43" s="15">
        <f>IF(C43="","", C43 * pctDown)
</f>
        <v>177990.389</v>
      </c>
      <c r="E43" s="15">
        <f>IF(C43="","", C43 * pctClose)
</f>
        <v>21358.84667</v>
      </c>
      <c r="F43" s="15">
        <f>IF(C43="","", C43 * bufferPct)
</f>
        <v>42717.69335</v>
      </c>
      <c r="G43" s="15">
        <f t="shared" si="2"/>
        <v>242066.929</v>
      </c>
      <c r="H43" s="15">
        <f t="array" ref="H43">IFERROR( INDEX(Balances!$N:$N, MATCH(A43, Balances!$A:$A, 0) ), 0)
</f>
        <v>267826.26</v>
      </c>
      <c r="I43" s="15">
        <f t="shared" si="7"/>
        <v>25759.33102</v>
      </c>
      <c r="J43" s="15" t="str">
        <f t="shared" si="3"/>
        <v>BUY</v>
      </c>
      <c r="K43" s="15">
        <f t="shared" si="4"/>
        <v>59</v>
      </c>
      <c r="L43" s="15">
        <f t="shared" si="5"/>
        <v>242066.929</v>
      </c>
    </row>
    <row r="44">
      <c r="A44" s="15">
        <f t="shared" si="6"/>
        <v>60</v>
      </c>
      <c r="B44" s="15">
        <f t="shared" si="1"/>
        <v>17</v>
      </c>
      <c r="C44" s="15">
        <f>IF(A44="","", startPrice * (1+inflation)^(A44-24))
</f>
        <v>729760.5947</v>
      </c>
      <c r="D44" s="15">
        <f>IF(C44="","", C44 * pctDown)
</f>
        <v>182440.1487</v>
      </c>
      <c r="E44" s="15">
        <f>IF(C44="","", C44 * pctClose)
</f>
        <v>21892.81784</v>
      </c>
      <c r="F44" s="15">
        <f>IF(C44="","", C44 * bufferPct)
</f>
        <v>43785.63568</v>
      </c>
      <c r="G44" s="15">
        <f t="shared" si="2"/>
        <v>248118.6022</v>
      </c>
      <c r="H44" s="15">
        <f t="array" ref="H44">IFERROR( INDEX(Balances!$N:$N, MATCH(A44, Balances!$A:$A, 0) ), 0)
</f>
        <v>160236.161</v>
      </c>
      <c r="I44" s="15">
        <f t="shared" si="7"/>
        <v>160236.161</v>
      </c>
      <c r="J44" s="15" t="str">
        <f t="shared" si="3"/>
        <v/>
      </c>
      <c r="K44" s="15">
        <f t="shared" si="4"/>
        <v>60</v>
      </c>
      <c r="L44" s="15">
        <f t="shared" si="5"/>
        <v>0</v>
      </c>
    </row>
    <row r="45">
      <c r="A45" s="15">
        <f t="shared" si="6"/>
        <v>61</v>
      </c>
      <c r="B45" s="15">
        <f t="shared" si="1"/>
        <v>18</v>
      </c>
      <c r="C45" s="15">
        <f>IF(A45="","", startPrice * (1+inflation)^(A45-24))
</f>
        <v>748004.6096</v>
      </c>
      <c r="D45" s="15">
        <f>IF(C45="","", C45 * pctDown)
</f>
        <v>187001.1524</v>
      </c>
      <c r="E45" s="15">
        <f>IF(C45="","", C45 * pctClose)
</f>
        <v>22440.13829</v>
      </c>
      <c r="F45" s="15">
        <f>IF(C45="","", C45 * bufferPct)
</f>
        <v>44880.27657</v>
      </c>
      <c r="G45" s="15">
        <f t="shared" si="2"/>
        <v>254321.5673</v>
      </c>
      <c r="H45" s="15">
        <f t="array" ref="H45">IFERROR( INDEX(Balances!$N:$N, MATCH(A45, Balances!$A:$A, 0) ), 0)
</f>
        <v>294465.27</v>
      </c>
      <c r="I45" s="15">
        <f t="shared" si="7"/>
        <v>40143.70274</v>
      </c>
      <c r="J45" s="15" t="str">
        <f t="shared" si="3"/>
        <v>BUY</v>
      </c>
      <c r="K45" s="15">
        <f t="shared" si="4"/>
        <v>61</v>
      </c>
      <c r="L45" s="15">
        <f t="shared" si="5"/>
        <v>254321.5673</v>
      </c>
    </row>
    <row r="46">
      <c r="A46" s="15">
        <f t="shared" si="6"/>
        <v>62</v>
      </c>
      <c r="B46" s="15">
        <f t="shared" si="1"/>
        <v>18</v>
      </c>
      <c r="C46" s="15">
        <f>IF(A46="","", startPrice * (1+inflation)^(A46-24))
</f>
        <v>766704.7248</v>
      </c>
      <c r="D46" s="15">
        <f>IF(C46="","", C46 * pctDown)
</f>
        <v>191676.1812</v>
      </c>
      <c r="E46" s="15">
        <f>IF(C46="","", C46 * pctClose)
</f>
        <v>23001.14174</v>
      </c>
      <c r="F46" s="15">
        <f>IF(C46="","", C46 * bufferPct)
</f>
        <v>46002.28349</v>
      </c>
      <c r="G46" s="15">
        <f t="shared" si="2"/>
        <v>260679.6064</v>
      </c>
      <c r="H46" s="15">
        <f t="array" ref="H46">IFERROR( INDEX(Balances!$N:$N, MATCH(A46, Balances!$A:$A, 0) ), 0)
</f>
        <v>181454.1927</v>
      </c>
      <c r="I46" s="15">
        <f t="shared" si="7"/>
        <v>181454.1927</v>
      </c>
      <c r="J46" s="15" t="str">
        <f t="shared" si="3"/>
        <v/>
      </c>
      <c r="K46" s="15">
        <f t="shared" si="4"/>
        <v>62</v>
      </c>
      <c r="L46" s="15">
        <f t="shared" si="5"/>
        <v>0</v>
      </c>
    </row>
    <row r="47">
      <c r="A47" s="15">
        <f t="shared" si="6"/>
        <v>63</v>
      </c>
      <c r="B47" s="15">
        <f t="shared" si="1"/>
        <v>19</v>
      </c>
      <c r="C47" s="15">
        <f>IF(A47="","", startPrice * (1+inflation)^(A47-24))
</f>
        <v>785872.3429</v>
      </c>
      <c r="D47" s="15">
        <f>IF(C47="","", C47 * pctDown)
</f>
        <v>196468.0857</v>
      </c>
      <c r="E47" s="15">
        <f>IF(C47="","", C47 * pctClose)
</f>
        <v>23576.17029</v>
      </c>
      <c r="F47" s="15">
        <f>IF(C47="","", C47 * bufferPct)
</f>
        <v>47152.34058</v>
      </c>
      <c r="G47" s="15">
        <f t="shared" si="2"/>
        <v>267196.5966</v>
      </c>
      <c r="H47" s="15">
        <f t="array" ref="H47">IFERROR( INDEX(Balances!$N:$N, MATCH(A47, Balances!$A:$A, 0) ), 0)
</f>
        <v>322505.19</v>
      </c>
      <c r="I47" s="15">
        <f t="shared" si="7"/>
        <v>55308.5934</v>
      </c>
      <c r="J47" s="15" t="str">
        <f t="shared" si="3"/>
        <v>BUY</v>
      </c>
      <c r="K47" s="15">
        <f t="shared" si="4"/>
        <v>63</v>
      </c>
      <c r="L47" s="15">
        <f t="shared" si="5"/>
        <v>267196.5966</v>
      </c>
    </row>
    <row r="48">
      <c r="A48" s="15">
        <f t="shared" si="6"/>
        <v>64</v>
      </c>
      <c r="B48" s="15">
        <f t="shared" si="1"/>
        <v>19</v>
      </c>
      <c r="C48" s="15">
        <f>IF(A48="","", startPrice * (1+inflation)^(A48-24))
</f>
        <v>805519.1515</v>
      </c>
      <c r="D48" s="15">
        <f>IF(C48="","", C48 * pctDown)
</f>
        <v>201379.7879</v>
      </c>
      <c r="E48" s="15">
        <f>IF(C48="","", C48 * pctClose)
</f>
        <v>24165.57455</v>
      </c>
      <c r="F48" s="15">
        <f>IF(C48="","", C48 * bufferPct)
</f>
        <v>48331.14909</v>
      </c>
      <c r="G48" s="15">
        <f t="shared" si="2"/>
        <v>273876.5115</v>
      </c>
      <c r="H48" s="15">
        <f t="array" ref="H48">IFERROR( INDEX(Balances!$N:$N, MATCH(A48, Balances!$A:$A, 0) ), 0)
</f>
        <v>183969.3234</v>
      </c>
      <c r="I48" s="15">
        <f t="shared" si="7"/>
        <v>183969.3234</v>
      </c>
      <c r="J48" s="15" t="str">
        <f t="shared" si="3"/>
        <v/>
      </c>
      <c r="K48" s="15">
        <f t="shared" si="4"/>
        <v>64</v>
      </c>
      <c r="L48" s="15">
        <f t="shared" si="5"/>
        <v>0</v>
      </c>
    </row>
    <row r="49">
      <c r="A49" s="15">
        <f t="shared" si="6"/>
        <v>65</v>
      </c>
      <c r="B49" s="15">
        <f t="shared" si="1"/>
        <v>20</v>
      </c>
      <c r="C49" s="15">
        <f>IF(A49="","", startPrice * (1+inflation)^(A49-24))
</f>
        <v>825657.1303</v>
      </c>
      <c r="D49" s="15">
        <f>IF(C49="","", C49 * pctDown)
</f>
        <v>206414.2826</v>
      </c>
      <c r="E49" s="15">
        <f>IF(C49="","", C49 * pctClose)
</f>
        <v>24769.71391</v>
      </c>
      <c r="F49" s="15">
        <f>IF(C49="","", C49 * bufferPct)
</f>
        <v>49539.42782</v>
      </c>
      <c r="G49" s="15">
        <f t="shared" si="2"/>
        <v>280723.4243</v>
      </c>
      <c r="H49" s="15">
        <f t="array" ref="H49">IFERROR( INDEX(Balances!$N:$N, MATCH(A49, Balances!$A:$A, 0) ), 0)
</f>
        <v>331594.25</v>
      </c>
      <c r="I49" s="15">
        <f t="shared" si="7"/>
        <v>50870.8257</v>
      </c>
      <c r="J49" s="15" t="str">
        <f t="shared" si="3"/>
        <v>BUY</v>
      </c>
      <c r="K49" s="15">
        <f t="shared" si="4"/>
        <v>65</v>
      </c>
      <c r="L49" s="15">
        <f t="shared" si="5"/>
        <v>280723.4243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8" max="8" width="13.5"/>
    <col customWidth="1" min="14" max="14" width="15.5"/>
  </cols>
  <sheetData>
    <row r="1">
      <c r="A1" s="8" t="s">
        <v>143</v>
      </c>
      <c r="B1" s="8" t="s">
        <v>144</v>
      </c>
      <c r="C1" s="8" t="s">
        <v>145</v>
      </c>
      <c r="D1" s="8" t="s">
        <v>140</v>
      </c>
      <c r="E1" s="8" t="s">
        <v>146</v>
      </c>
      <c r="F1" s="8" t="s">
        <v>135</v>
      </c>
      <c r="G1" s="8" t="s">
        <v>147</v>
      </c>
      <c r="H1" s="8" t="s">
        <v>148</v>
      </c>
      <c r="I1" s="8" t="s">
        <v>149</v>
      </c>
      <c r="J1" s="8" t="s">
        <v>150</v>
      </c>
      <c r="K1" s="8" t="s">
        <v>151</v>
      </c>
      <c r="L1" s="8" t="s">
        <v>152</v>
      </c>
      <c r="M1" s="8" t="s">
        <v>153</v>
      </c>
      <c r="N1" s="8" t="s">
        <v>154</v>
      </c>
    </row>
    <row r="2">
      <c r="A2" s="8">
        <v>1.0</v>
      </c>
      <c r="B2" s="15">
        <f t="array" ref="B2">IFERROR( INDEX('RE Purchases'!$A:$A, MATCH($A2,'RE Purchases'!$B:$B,0)), )
</f>
        <v>28</v>
      </c>
      <c r="C2" s="15">
        <f t="array" ref="C2">IFERROR( INDEX('RE Purchases'!$C:$C, MATCH($A2,'RE Purchases'!$B:$B,0)), )
</f>
        <v>331143.8672</v>
      </c>
      <c r="D2" s="15" t="str">
        <f t="array" ref="D2">IFERROR( INDEX('RE Purchases'!$J:$J, MATCH($A2,'RE Purchases'!$B:$B,0)), )
</f>
        <v>BUY</v>
      </c>
      <c r="E2" s="15">
        <f t="array" ref="E2">IFERROR( INDEX('RE Purchases'!$D:$D, MATCH($A2,'RE Purchases'!$B:$B,0)), )
</f>
        <v>82785.9668</v>
      </c>
      <c r="F2" s="15">
        <f t="array" ref="F2">IFERROR( INDEX('RE Purchases'!$E:$E, MATCH($A2,'RE Purchases'!$B:$B,0)), )
</f>
        <v>9934.316016</v>
      </c>
      <c r="G2" s="15">
        <f t="shared" ref="G2:G36" si="1">IF(C2="",, C2 - E2)
</f>
        <v>248357.9004</v>
      </c>
      <c r="H2" s="15">
        <f>IF(C2="",, C2 * rent_price_ratio)
</f>
        <v>39737.26406</v>
      </c>
      <c r="I2" s="15">
        <f>IF(H2="",, H2 * vacancy_rate)
</f>
        <v>1986.863203</v>
      </c>
      <c r="J2" s="15">
        <f>IF(H2="",, H2 * property_operating_expense)
</f>
        <v>9934.316016</v>
      </c>
      <c r="K2" s="15">
        <f>IF(H2="",, H2 * property_mgmt_fee)
</f>
        <v>3178.981125</v>
      </c>
      <c r="L2" s="15">
        <f t="shared" ref="L2:L36" si="2">IF(H2="",, H2 - I2 - J2 - K2)
</f>
        <v>24637.10372</v>
      </c>
      <c r="M2" s="16">
        <f>IF(G2="",, -PMT(mortRate/12, mortTerm*12, G2) * 12)
</f>
        <v>18837.49047</v>
      </c>
      <c r="N2" s="16">
        <f t="shared" ref="N2:N36" si="3">IF(D2="BUY", L2 - M2, 0)
</f>
        <v>5799.613252</v>
      </c>
    </row>
    <row r="3">
      <c r="A3" s="8">
        <v>2.0</v>
      </c>
      <c r="B3" s="15">
        <f t="array" ref="B3">IFERROR( INDEX('RE Purchases'!$A:$A, MATCH($A3,'RE Purchases'!$B:$B,0)), )
</f>
        <v>30</v>
      </c>
      <c r="C3" s="15">
        <f t="array" ref="C3">IFERROR( INDEX('RE Purchases'!$C:$C, MATCH($A3,'RE Purchases'!$B:$B,0)), )
</f>
        <v>347908.0255</v>
      </c>
      <c r="D3" s="15" t="str">
        <f t="array" ref="D3">IFERROR( INDEX('RE Purchases'!$J:$J, MATCH($A3,'RE Purchases'!$B:$B,0)), )
</f>
        <v>BUY</v>
      </c>
      <c r="E3" s="15">
        <f t="array" ref="E3">IFERROR( INDEX('RE Purchases'!$D:$D, MATCH($A3,'RE Purchases'!$B:$B,0)), )
</f>
        <v>86977.00637</v>
      </c>
      <c r="F3" s="15">
        <f t="array" ref="F3">IFERROR( INDEX('RE Purchases'!$E:$E, MATCH($A3,'RE Purchases'!$B:$B,0)), )
</f>
        <v>10437.24076</v>
      </c>
      <c r="G3" s="15">
        <f t="shared" si="1"/>
        <v>260931.0191</v>
      </c>
      <c r="H3" s="15">
        <f>IF(C3="",, C3 * rent_price_ratio)
</f>
        <v>41748.96306</v>
      </c>
      <c r="I3" s="15">
        <f>IF(H3="",, H3 * vacancy_rate)
</f>
        <v>2087.448153</v>
      </c>
      <c r="J3" s="15">
        <f>IF(H3="",, H3 * property_operating_expense)
</f>
        <v>10437.24076</v>
      </c>
      <c r="K3" s="15">
        <f>IF(H3="",, H3 * property_mgmt_fee)
</f>
        <v>3339.917044</v>
      </c>
      <c r="L3" s="15">
        <f t="shared" si="2"/>
        <v>25884.35709</v>
      </c>
      <c r="M3" s="16">
        <f>IF(G3="",, -PMT(mortRate/12, mortTerm*12, G3) * 12)
</f>
        <v>19791.13842</v>
      </c>
      <c r="N3" s="16">
        <f t="shared" si="3"/>
        <v>6093.218673</v>
      </c>
    </row>
    <row r="4">
      <c r="A4" s="8">
        <v>3.0</v>
      </c>
      <c r="B4" s="15">
        <f t="array" ref="B4">IFERROR( INDEX('RE Purchases'!$A:$A, MATCH($A4,'RE Purchases'!$B:$B,0)), )
</f>
        <v>33</v>
      </c>
      <c r="C4" s="15">
        <f t="array" ref="C4">IFERROR( INDEX('RE Purchases'!$C:$C, MATCH($A4,'RE Purchases'!$B:$B,0)), )
</f>
        <v>374658.891</v>
      </c>
      <c r="D4" s="15" t="str">
        <f t="array" ref="D4">IFERROR( INDEX('RE Purchases'!$J:$J, MATCH($A4,'RE Purchases'!$B:$B,0)), )
</f>
        <v>BUY</v>
      </c>
      <c r="E4" s="15">
        <f t="array" ref="E4">IFERROR( INDEX('RE Purchases'!$D:$D, MATCH($A4,'RE Purchases'!$B:$B,0)), )
</f>
        <v>93664.72275</v>
      </c>
      <c r="F4" s="15">
        <f t="array" ref="F4">IFERROR( INDEX('RE Purchases'!$E:$E, MATCH($A4,'RE Purchases'!$B:$B,0)), )
</f>
        <v>11239.76673</v>
      </c>
      <c r="G4" s="15">
        <f t="shared" si="1"/>
        <v>280994.1682</v>
      </c>
      <c r="H4" s="15">
        <f>IF(C4="",, C4 * rent_price_ratio)
</f>
        <v>44959.06692</v>
      </c>
      <c r="I4" s="15">
        <f>IF(H4="",, H4 * vacancy_rate)
</f>
        <v>2247.953346</v>
      </c>
      <c r="J4" s="15">
        <f>IF(H4="",, H4 * property_operating_expense)
</f>
        <v>11239.76673</v>
      </c>
      <c r="K4" s="15">
        <f>IF(H4="",, H4 * property_mgmt_fee)
</f>
        <v>3596.725353</v>
      </c>
      <c r="L4" s="15">
        <f t="shared" si="2"/>
        <v>27874.62149</v>
      </c>
      <c r="M4" s="16">
        <f>IF(G4="",, -PMT(mortRate/12, mortTerm*12, G4) * 12)
</f>
        <v>21312.89142</v>
      </c>
      <c r="N4" s="16">
        <f t="shared" si="3"/>
        <v>6561.730065</v>
      </c>
    </row>
    <row r="5">
      <c r="A5" s="8">
        <v>4.0</v>
      </c>
      <c r="B5" s="15">
        <f t="array" ref="B5">IFERROR( INDEX('RE Purchases'!$A:$A, MATCH($A5,'RE Purchases'!$B:$B,0)), )
</f>
        <v>35</v>
      </c>
      <c r="C5" s="15">
        <f t="array" ref="C5">IFERROR( INDEX('RE Purchases'!$C:$C, MATCH($A5,'RE Purchases'!$B:$B,0)), )
</f>
        <v>393625.9973</v>
      </c>
      <c r="D5" s="15" t="str">
        <f t="array" ref="D5">IFERROR( INDEX('RE Purchases'!$J:$J, MATCH($A5,'RE Purchases'!$B:$B,0)), )
</f>
        <v>BUY</v>
      </c>
      <c r="E5" s="15">
        <f t="array" ref="E5">IFERROR( INDEX('RE Purchases'!$D:$D, MATCH($A5,'RE Purchases'!$B:$B,0)), )
</f>
        <v>98406.49934</v>
      </c>
      <c r="F5" s="15">
        <f t="array" ref="F5">IFERROR( INDEX('RE Purchases'!$E:$E, MATCH($A5,'RE Purchases'!$B:$B,0)), )
</f>
        <v>11808.77992</v>
      </c>
      <c r="G5" s="15">
        <f t="shared" si="1"/>
        <v>295219.498</v>
      </c>
      <c r="H5" s="15">
        <f>IF(C5="",, C5 * rent_price_ratio)
</f>
        <v>47235.11968</v>
      </c>
      <c r="I5" s="15">
        <f>IF(H5="",, H5 * vacancy_rate)
</f>
        <v>2361.755984</v>
      </c>
      <c r="J5" s="15">
        <f>IF(H5="",, H5 * property_operating_expense)
</f>
        <v>11808.77992</v>
      </c>
      <c r="K5" s="15">
        <f>IF(H5="",, H5 * property_mgmt_fee)
</f>
        <v>3778.809574</v>
      </c>
      <c r="L5" s="15">
        <f t="shared" si="2"/>
        <v>29285.7742</v>
      </c>
      <c r="M5" s="16">
        <f>IF(G5="",, -PMT(mortRate/12, mortTerm*12, G5) * 12)
</f>
        <v>22391.85655</v>
      </c>
      <c r="N5" s="16">
        <f t="shared" si="3"/>
        <v>6893.91765</v>
      </c>
    </row>
    <row r="6">
      <c r="A6" s="8">
        <v>5.0</v>
      </c>
      <c r="B6" s="15">
        <f t="array" ref="B6">IFERROR( INDEX('RE Purchases'!$A:$A, MATCH($A6,'RE Purchases'!$B:$B,0)), )
</f>
        <v>37</v>
      </c>
      <c r="C6" s="15">
        <f t="array" ref="C6">IFERROR( INDEX('RE Purchases'!$C:$C, MATCH($A6,'RE Purchases'!$B:$B,0)), )
</f>
        <v>413553.3135</v>
      </c>
      <c r="D6" s="15" t="str">
        <f t="array" ref="D6">IFERROR( INDEX('RE Purchases'!$J:$J, MATCH($A6,'RE Purchases'!$B:$B,0)), )
</f>
        <v>BUY</v>
      </c>
      <c r="E6" s="15">
        <f t="array" ref="E6">IFERROR( INDEX('RE Purchases'!$D:$D, MATCH($A6,'RE Purchases'!$B:$B,0)), )
</f>
        <v>103388.3284</v>
      </c>
      <c r="F6" s="15">
        <f t="array" ref="F6">IFERROR( INDEX('RE Purchases'!$E:$E, MATCH($A6,'RE Purchases'!$B:$B,0)), )
</f>
        <v>12406.5994</v>
      </c>
      <c r="G6" s="15">
        <f t="shared" si="1"/>
        <v>310164.9851</v>
      </c>
      <c r="H6" s="15">
        <f>IF(C6="",, C6 * rent_price_ratio)
</f>
        <v>49626.39761</v>
      </c>
      <c r="I6" s="15">
        <f>IF(H6="",, H6 * vacancy_rate)
</f>
        <v>2481.319881</v>
      </c>
      <c r="J6" s="15">
        <f>IF(H6="",, H6 * property_operating_expense)
</f>
        <v>12406.5994</v>
      </c>
      <c r="K6" s="15">
        <f>IF(H6="",, H6 * property_mgmt_fee)
</f>
        <v>3970.111809</v>
      </c>
      <c r="L6" s="15">
        <f t="shared" si="2"/>
        <v>30768.36652</v>
      </c>
      <c r="M6" s="16">
        <f>IF(G6="",, -PMT(mortRate/12, mortTerm*12, G6) * 12)
</f>
        <v>23525.44429</v>
      </c>
      <c r="N6" s="16">
        <f t="shared" si="3"/>
        <v>7242.922231</v>
      </c>
    </row>
    <row r="7">
      <c r="A7" s="8">
        <v>6.0</v>
      </c>
      <c r="B7" s="15">
        <f t="array" ref="B7">IFERROR( INDEX('RE Purchases'!$A:$A, MATCH($A7,'RE Purchases'!$B:$B,0)), )
</f>
        <v>39</v>
      </c>
      <c r="C7" s="15">
        <f t="array" ref="C7">IFERROR( INDEX('RE Purchases'!$C:$C, MATCH($A7,'RE Purchases'!$B:$B,0)), )
</f>
        <v>434489.4499</v>
      </c>
      <c r="D7" s="15" t="str">
        <f t="array" ref="D7">IFERROR( INDEX('RE Purchases'!$J:$J, MATCH($A7,'RE Purchases'!$B:$B,0)), )
</f>
        <v>BUY</v>
      </c>
      <c r="E7" s="15">
        <f t="array" ref="E7">IFERROR( INDEX('RE Purchases'!$D:$D, MATCH($A7,'RE Purchases'!$B:$B,0)), )
</f>
        <v>108622.3625</v>
      </c>
      <c r="F7" s="15">
        <f t="array" ref="F7">IFERROR( INDEX('RE Purchases'!$E:$E, MATCH($A7,'RE Purchases'!$B:$B,0)), )
</f>
        <v>13034.6835</v>
      </c>
      <c r="G7" s="15">
        <f t="shared" si="1"/>
        <v>325867.0875</v>
      </c>
      <c r="H7" s="15">
        <f>IF(C7="",, C7 * rent_price_ratio)
</f>
        <v>52138.73399</v>
      </c>
      <c r="I7" s="15">
        <f>IF(H7="",, H7 * vacancy_rate)
</f>
        <v>2606.9367</v>
      </c>
      <c r="J7" s="15">
        <f>IF(H7="",, H7 * property_operating_expense)
</f>
        <v>13034.6835</v>
      </c>
      <c r="K7" s="15">
        <f>IF(H7="",, H7 * property_mgmt_fee)
</f>
        <v>4171.09872</v>
      </c>
      <c r="L7" s="15">
        <f t="shared" si="2"/>
        <v>32326.01508</v>
      </c>
      <c r="M7" s="16">
        <f>IF(G7="",, -PMT(mortRate/12, mortTerm*12, G7) * 12)
</f>
        <v>24716.41991</v>
      </c>
      <c r="N7" s="16">
        <f t="shared" si="3"/>
        <v>7609.595169</v>
      </c>
    </row>
    <row r="8">
      <c r="A8" s="8">
        <v>7.0</v>
      </c>
      <c r="B8" s="15">
        <f t="array" ref="B8">IFERROR( INDEX('RE Purchases'!$A:$A, MATCH($A8,'RE Purchases'!$B:$B,0)), )
</f>
        <v>41</v>
      </c>
      <c r="C8" s="15">
        <f t="array" ref="C8">IFERROR( INDEX('RE Purchases'!$C:$C, MATCH($A8,'RE Purchases'!$B:$B,0)), )
</f>
        <v>456485.4784</v>
      </c>
      <c r="D8" s="15" t="str">
        <f t="array" ref="D8">IFERROR( INDEX('RE Purchases'!$J:$J, MATCH($A8,'RE Purchases'!$B:$B,0)), )
</f>
        <v>BUY</v>
      </c>
      <c r="E8" s="15">
        <f t="array" ref="E8">IFERROR( INDEX('RE Purchases'!$D:$D, MATCH($A8,'RE Purchases'!$B:$B,0)), )
</f>
        <v>114121.3696</v>
      </c>
      <c r="F8" s="15">
        <f t="array" ref="F8">IFERROR( INDEX('RE Purchases'!$E:$E, MATCH($A8,'RE Purchases'!$B:$B,0)), )
</f>
        <v>13694.56435</v>
      </c>
      <c r="G8" s="15">
        <f t="shared" si="1"/>
        <v>342364.1088</v>
      </c>
      <c r="H8" s="15">
        <f>IF(C8="",, C8 * rent_price_ratio)
</f>
        <v>54778.2574</v>
      </c>
      <c r="I8" s="15">
        <f>IF(H8="",, H8 * vacancy_rate)
</f>
        <v>2738.91287</v>
      </c>
      <c r="J8" s="15">
        <f>IF(H8="",, H8 * property_operating_expense)
</f>
        <v>13694.56435</v>
      </c>
      <c r="K8" s="15">
        <f>IF(H8="",, H8 * property_mgmt_fee)
</f>
        <v>4382.260592</v>
      </c>
      <c r="L8" s="15">
        <f t="shared" si="2"/>
        <v>33962.51959</v>
      </c>
      <c r="M8" s="16">
        <f>IF(G8="",, -PMT(mortRate/12, mortTerm*12, G8) * 12)
</f>
        <v>25967.68867</v>
      </c>
      <c r="N8" s="16">
        <f t="shared" si="3"/>
        <v>7994.830924</v>
      </c>
    </row>
    <row r="9">
      <c r="A9" s="8">
        <v>8.0</v>
      </c>
      <c r="B9" s="15">
        <f t="array" ref="B9">IFERROR( INDEX('RE Purchases'!$A:$A, MATCH($A9,'RE Purchases'!$B:$B,0)), )
</f>
        <v>43</v>
      </c>
      <c r="C9" s="15">
        <f t="array" ref="C9">IFERROR( INDEX('RE Purchases'!$C:$C, MATCH($A9,'RE Purchases'!$B:$B,0)), )
</f>
        <v>479595.0557</v>
      </c>
      <c r="D9" s="15" t="str">
        <f t="array" ref="D9">IFERROR( INDEX('RE Purchases'!$J:$J, MATCH($A9,'RE Purchases'!$B:$B,0)), )
</f>
        <v>BUY</v>
      </c>
      <c r="E9" s="15">
        <f t="array" ref="E9">IFERROR( INDEX('RE Purchases'!$D:$D, MATCH($A9,'RE Purchases'!$B:$B,0)), )
</f>
        <v>119898.7639</v>
      </c>
      <c r="F9" s="15">
        <f t="array" ref="F9">IFERROR( INDEX('RE Purchases'!$E:$E, MATCH($A9,'RE Purchases'!$B:$B,0)), )
</f>
        <v>14387.85167</v>
      </c>
      <c r="G9" s="15">
        <f t="shared" si="1"/>
        <v>359696.2918</v>
      </c>
      <c r="H9" s="15">
        <f>IF(C9="",, C9 * rent_price_ratio)
</f>
        <v>57551.40668</v>
      </c>
      <c r="I9" s="15">
        <f>IF(H9="",, H9 * vacancy_rate)
</f>
        <v>2877.570334</v>
      </c>
      <c r="J9" s="15">
        <f>IF(H9="",, H9 * property_operating_expense)
</f>
        <v>14387.85167</v>
      </c>
      <c r="K9" s="15">
        <f>IF(H9="",, H9 * property_mgmt_fee)
</f>
        <v>4604.112535</v>
      </c>
      <c r="L9" s="15">
        <f t="shared" si="2"/>
        <v>35681.87214</v>
      </c>
      <c r="M9" s="16">
        <f>IF(G9="",, -PMT(mortRate/12, mortTerm*12, G9) * 12)
</f>
        <v>27282.3029</v>
      </c>
      <c r="N9" s="16">
        <f t="shared" si="3"/>
        <v>8399.56924</v>
      </c>
    </row>
    <row r="10">
      <c r="A10" s="8">
        <v>9.0</v>
      </c>
      <c r="B10" s="15">
        <f t="array" ref="B10">IFERROR( INDEX('RE Purchases'!$A:$A, MATCH($A10,'RE Purchases'!$B:$B,0)), )
</f>
        <v>44</v>
      </c>
      <c r="C10" s="15">
        <f t="array" ref="C10">IFERROR( INDEX('RE Purchases'!$C:$C, MATCH($A10,'RE Purchases'!$B:$B,0)), )
</f>
        <v>491584.9321</v>
      </c>
      <c r="D10" s="15" t="str">
        <f t="array" ref="D10">IFERROR( INDEX('RE Purchases'!$J:$J, MATCH($A10,'RE Purchases'!$B:$B,0)), )
</f>
        <v>BUY</v>
      </c>
      <c r="E10" s="15">
        <f t="array" ref="E10">IFERROR( INDEX('RE Purchases'!$D:$D, MATCH($A10,'RE Purchases'!$B:$B,0)), )
</f>
        <v>122896.233</v>
      </c>
      <c r="F10" s="15">
        <f t="array" ref="F10">IFERROR( INDEX('RE Purchases'!$E:$E, MATCH($A10,'RE Purchases'!$B:$B,0)), )
</f>
        <v>14747.54796</v>
      </c>
      <c r="G10" s="15">
        <f t="shared" si="1"/>
        <v>368688.6991</v>
      </c>
      <c r="H10" s="15">
        <f>IF(C10="",, C10 * rent_price_ratio)
</f>
        <v>58990.19185</v>
      </c>
      <c r="I10" s="15">
        <f>IF(H10="",, H10 * vacancy_rate)
</f>
        <v>2949.509593</v>
      </c>
      <c r="J10" s="15">
        <f>IF(H10="",, H10 * property_operating_expense)
</f>
        <v>14747.54796</v>
      </c>
      <c r="K10" s="15">
        <f>IF(H10="",, H10 * property_mgmt_fee)
</f>
        <v>4719.215348</v>
      </c>
      <c r="L10" s="15">
        <f t="shared" si="2"/>
        <v>36573.91895</v>
      </c>
      <c r="M10" s="16">
        <f>IF(G10="",, -PMT(mortRate/12, mortTerm*12, G10) * 12)
</f>
        <v>27964.36048</v>
      </c>
      <c r="N10" s="16">
        <f t="shared" si="3"/>
        <v>8609.558471</v>
      </c>
    </row>
    <row r="11">
      <c r="A11" s="8">
        <v>10.0</v>
      </c>
      <c r="B11" s="15">
        <f t="array" ref="B11">IFERROR( INDEX('RE Purchases'!$A:$A, MATCH($A11,'RE Purchases'!$B:$B,0)), )
</f>
        <v>46</v>
      </c>
      <c r="C11" s="15">
        <f t="array" ref="C11">IFERROR( INDEX('RE Purchases'!$C:$C, MATCH($A11,'RE Purchases'!$B:$B,0)), )
</f>
        <v>516471.4193</v>
      </c>
      <c r="D11" s="15" t="str">
        <f t="array" ref="D11">IFERROR( INDEX('RE Purchases'!$J:$J, MATCH($A11,'RE Purchases'!$B:$B,0)), )
</f>
        <v>BUY</v>
      </c>
      <c r="E11" s="15">
        <f t="array" ref="E11">IFERROR( INDEX('RE Purchases'!$D:$D, MATCH($A11,'RE Purchases'!$B:$B,0)), )
</f>
        <v>129117.8548</v>
      </c>
      <c r="F11" s="15">
        <f t="array" ref="F11">IFERROR( INDEX('RE Purchases'!$E:$E, MATCH($A11,'RE Purchases'!$B:$B,0)), )
</f>
        <v>15494.14258</v>
      </c>
      <c r="G11" s="15">
        <f t="shared" si="1"/>
        <v>387353.5645</v>
      </c>
      <c r="H11" s="15">
        <f>IF(C11="",, C11 * rent_price_ratio)
</f>
        <v>61976.57031</v>
      </c>
      <c r="I11" s="15">
        <f>IF(H11="",, H11 * vacancy_rate)
</f>
        <v>3098.828516</v>
      </c>
      <c r="J11" s="15">
        <f>IF(H11="",, H11 * property_operating_expense)
</f>
        <v>15494.14258</v>
      </c>
      <c r="K11" s="15">
        <f>IF(H11="",, H11 * property_mgmt_fee)
</f>
        <v>4958.125625</v>
      </c>
      <c r="L11" s="15">
        <f t="shared" si="2"/>
        <v>38425.47359</v>
      </c>
      <c r="M11" s="16">
        <f>IF(G11="",, -PMT(mortRate/12, mortTerm*12, G11) * 12)
</f>
        <v>29380.05623</v>
      </c>
      <c r="N11" s="16">
        <f t="shared" si="3"/>
        <v>9045.417369</v>
      </c>
    </row>
    <row r="12">
      <c r="A12" s="8">
        <v>11.0</v>
      </c>
      <c r="B12" s="15">
        <f t="array" ref="B12">IFERROR( INDEX('RE Purchases'!$A:$A, MATCH($A12,'RE Purchases'!$B:$B,0)), )
</f>
        <v>48</v>
      </c>
      <c r="C12" s="15">
        <f t="array" ref="C12">IFERROR( INDEX('RE Purchases'!$C:$C, MATCH($A12,'RE Purchases'!$B:$B,0)), )
</f>
        <v>542617.7849</v>
      </c>
      <c r="D12" s="15" t="str">
        <f t="array" ref="D12">IFERROR( INDEX('RE Purchases'!$J:$J, MATCH($A12,'RE Purchases'!$B:$B,0)), )
</f>
        <v>BUY</v>
      </c>
      <c r="E12" s="15">
        <f t="array" ref="E12">IFERROR( INDEX('RE Purchases'!$D:$D, MATCH($A12,'RE Purchases'!$B:$B,0)), )
</f>
        <v>135654.4462</v>
      </c>
      <c r="F12" s="15">
        <f t="array" ref="F12">IFERROR( INDEX('RE Purchases'!$E:$E, MATCH($A12,'RE Purchases'!$B:$B,0)), )
</f>
        <v>16278.53355</v>
      </c>
      <c r="G12" s="15">
        <f t="shared" si="1"/>
        <v>406963.3387</v>
      </c>
      <c r="H12" s="15">
        <f>IF(C12="",, C12 * rent_price_ratio)
</f>
        <v>65114.13418</v>
      </c>
      <c r="I12" s="15">
        <f>IF(H12="",, H12 * vacancy_rate)
</f>
        <v>3255.706709</v>
      </c>
      <c r="J12" s="15">
        <f>IF(H12="",, H12 * property_operating_expense)
</f>
        <v>16278.53355</v>
      </c>
      <c r="K12" s="15">
        <f>IF(H12="",, H12 * property_mgmt_fee)
</f>
        <v>5209.130735</v>
      </c>
      <c r="L12" s="15">
        <f t="shared" si="2"/>
        <v>40370.76319</v>
      </c>
      <c r="M12" s="16">
        <f>IF(G12="",, -PMT(mortRate/12, mortTerm*12, G12) * 12)
</f>
        <v>30867.42157</v>
      </c>
      <c r="N12" s="16">
        <f t="shared" si="3"/>
        <v>9503.341623</v>
      </c>
    </row>
    <row r="13">
      <c r="A13" s="8">
        <v>12.0</v>
      </c>
      <c r="B13" s="15">
        <f t="array" ref="B13">IFERROR( INDEX('RE Purchases'!$A:$A, MATCH($A13,'RE Purchases'!$B:$B,0)), )
</f>
        <v>50</v>
      </c>
      <c r="C13" s="15">
        <f t="array" ref="C13">IFERROR( INDEX('RE Purchases'!$C:$C, MATCH($A13,'RE Purchases'!$B:$B,0)), )
</f>
        <v>570087.8102</v>
      </c>
      <c r="D13" s="15" t="str">
        <f t="array" ref="D13">IFERROR( INDEX('RE Purchases'!$J:$J, MATCH($A13,'RE Purchases'!$B:$B,0)), )
</f>
        <v>BUY</v>
      </c>
      <c r="E13" s="15">
        <f t="array" ref="E13">IFERROR( INDEX('RE Purchases'!$D:$D, MATCH($A13,'RE Purchases'!$B:$B,0)), )
</f>
        <v>142521.9526</v>
      </c>
      <c r="F13" s="15">
        <f t="array" ref="F13">IFERROR( INDEX('RE Purchases'!$E:$E, MATCH($A13,'RE Purchases'!$B:$B,0)), )
</f>
        <v>17102.63431</v>
      </c>
      <c r="G13" s="15">
        <f t="shared" si="1"/>
        <v>427565.8577</v>
      </c>
      <c r="H13" s="15">
        <f>IF(C13="",, C13 * rent_price_ratio)
</f>
        <v>68410.53723</v>
      </c>
      <c r="I13" s="15">
        <f>IF(H13="",, H13 * vacancy_rate)
</f>
        <v>3420.526861</v>
      </c>
      <c r="J13" s="15">
        <f>IF(H13="",, H13 * property_operating_expense)
</f>
        <v>17102.63431</v>
      </c>
      <c r="K13" s="15">
        <f>IF(H13="",, H13 * property_mgmt_fee)
</f>
        <v>5472.842978</v>
      </c>
      <c r="L13" s="15">
        <f t="shared" si="2"/>
        <v>42414.53308</v>
      </c>
      <c r="M13" s="16">
        <f>IF(G13="",, -PMT(mortRate/12, mortTerm*12, G13) * 12)
</f>
        <v>32430.08479</v>
      </c>
      <c r="N13" s="16">
        <f t="shared" si="3"/>
        <v>9984.448293</v>
      </c>
    </row>
    <row r="14">
      <c r="A14" s="8">
        <v>13.0</v>
      </c>
      <c r="B14" s="15">
        <f t="array" ref="B14">IFERROR( INDEX('RE Purchases'!$A:$A, MATCH($A14,'RE Purchases'!$B:$B,0)), )
</f>
        <v>52</v>
      </c>
      <c r="C14" s="15">
        <f t="array" ref="C14">IFERROR( INDEX('RE Purchases'!$C:$C, MATCH($A14,'RE Purchases'!$B:$B,0)), )
</f>
        <v>598948.5056</v>
      </c>
      <c r="D14" s="15" t="str">
        <f t="array" ref="D14">IFERROR( INDEX('RE Purchases'!$J:$J, MATCH($A14,'RE Purchases'!$B:$B,0)), )
</f>
        <v>BUY</v>
      </c>
      <c r="E14" s="15">
        <f t="array" ref="E14">IFERROR( INDEX('RE Purchases'!$D:$D, MATCH($A14,'RE Purchases'!$B:$B,0)), )
</f>
        <v>149737.1264</v>
      </c>
      <c r="F14" s="15">
        <f t="array" ref="F14">IFERROR( INDEX('RE Purchases'!$E:$E, MATCH($A14,'RE Purchases'!$B:$B,0)), )
</f>
        <v>17968.45517</v>
      </c>
      <c r="G14" s="15">
        <f t="shared" si="1"/>
        <v>449211.3792</v>
      </c>
      <c r="H14" s="15">
        <f>IF(C14="",, C14 * rent_price_ratio)
</f>
        <v>71873.82068</v>
      </c>
      <c r="I14" s="15">
        <f>IF(H14="",, H14 * vacancy_rate)
</f>
        <v>3593.691034</v>
      </c>
      <c r="J14" s="15">
        <f>IF(H14="",, H14 * property_operating_expense)
</f>
        <v>17968.45517</v>
      </c>
      <c r="K14" s="15">
        <f>IF(H14="",, H14 * property_mgmt_fee)
</f>
        <v>5749.905654</v>
      </c>
      <c r="L14" s="15">
        <f t="shared" si="2"/>
        <v>44561.76882</v>
      </c>
      <c r="M14" s="16">
        <f>IF(G14="",, -PMT(mortRate/12, mortTerm*12, G14) * 12)
</f>
        <v>34071.85783</v>
      </c>
      <c r="N14" s="16">
        <f t="shared" si="3"/>
        <v>10489.91099</v>
      </c>
    </row>
    <row r="15">
      <c r="A15" s="8">
        <v>14.0</v>
      </c>
      <c r="B15" s="15">
        <f t="array" ref="B15">IFERROR( INDEX('RE Purchases'!$A:$A, MATCH($A15,'RE Purchases'!$B:$B,0)), )
</f>
        <v>54</v>
      </c>
      <c r="C15" s="15">
        <f t="array" ref="C15">IFERROR( INDEX('RE Purchases'!$C:$C, MATCH($A15,'RE Purchases'!$B:$B,0)), )
</f>
        <v>629270.2737</v>
      </c>
      <c r="D15" s="15" t="str">
        <f t="array" ref="D15">IFERROR( INDEX('RE Purchases'!$J:$J, MATCH($A15,'RE Purchases'!$B:$B,0)), )
</f>
        <v>BUY</v>
      </c>
      <c r="E15" s="15">
        <f t="array" ref="E15">IFERROR( INDEX('RE Purchases'!$D:$D, MATCH($A15,'RE Purchases'!$B:$B,0)), )
</f>
        <v>157317.5684</v>
      </c>
      <c r="F15" s="15">
        <f t="array" ref="F15">IFERROR( INDEX('RE Purchases'!$E:$E, MATCH($A15,'RE Purchases'!$B:$B,0)), )
</f>
        <v>18878.10821</v>
      </c>
      <c r="G15" s="15">
        <f t="shared" si="1"/>
        <v>471952.7053</v>
      </c>
      <c r="H15" s="15">
        <f>IF(C15="",, C15 * rent_price_ratio)
</f>
        <v>75512.43285</v>
      </c>
      <c r="I15" s="15">
        <f>IF(H15="",, H15 * vacancy_rate)
</f>
        <v>3775.621642</v>
      </c>
      <c r="J15" s="15">
        <f>IF(H15="",, H15 * property_operating_expense)
</f>
        <v>18878.10821</v>
      </c>
      <c r="K15" s="15">
        <f>IF(H15="",, H15 * property_mgmt_fee)
</f>
        <v>6040.994628</v>
      </c>
      <c r="L15" s="15">
        <f t="shared" si="2"/>
        <v>46817.70837</v>
      </c>
      <c r="M15" s="16">
        <f>IF(G15="",, -PMT(mortRate/12, mortTerm*12, G15) * 12)
</f>
        <v>35796.74563</v>
      </c>
      <c r="N15" s="16">
        <f t="shared" si="3"/>
        <v>11020.96273</v>
      </c>
    </row>
    <row r="16">
      <c r="A16" s="8">
        <v>15.0</v>
      </c>
      <c r="B16" s="15">
        <f t="array" ref="B16">IFERROR( INDEX('RE Purchases'!$A:$A, MATCH($A16,'RE Purchases'!$B:$B,0)), )
</f>
        <v>56</v>
      </c>
      <c r="C16" s="15">
        <f t="array" ref="C16">IFERROR( INDEX('RE Purchases'!$C:$C, MATCH($A16,'RE Purchases'!$B:$B,0)), )
</f>
        <v>661127.0813</v>
      </c>
      <c r="D16" s="15" t="str">
        <f t="array" ref="D16">IFERROR( INDEX('RE Purchases'!$J:$J, MATCH($A16,'RE Purchases'!$B:$B,0)), )
</f>
        <v>BUY</v>
      </c>
      <c r="E16" s="15">
        <f t="array" ref="E16">IFERROR( INDEX('RE Purchases'!$D:$D, MATCH($A16,'RE Purchases'!$B:$B,0)), )
</f>
        <v>165281.7703</v>
      </c>
      <c r="F16" s="15">
        <f t="array" ref="F16">IFERROR( INDEX('RE Purchases'!$E:$E, MATCH($A16,'RE Purchases'!$B:$B,0)), )
</f>
        <v>19833.81244</v>
      </c>
      <c r="G16" s="15">
        <f t="shared" si="1"/>
        <v>495845.311</v>
      </c>
      <c r="H16" s="15">
        <f>IF(C16="",, C16 * rent_price_ratio)
</f>
        <v>79335.24976</v>
      </c>
      <c r="I16" s="15">
        <f>IF(H16="",, H16 * vacancy_rate)
</f>
        <v>3966.762488</v>
      </c>
      <c r="J16" s="15">
        <f>IF(H16="",, H16 * property_operating_expense)
</f>
        <v>19833.81244</v>
      </c>
      <c r="K16" s="15">
        <f>IF(H16="",, H16 * property_mgmt_fee)
</f>
        <v>6346.819981</v>
      </c>
      <c r="L16" s="15">
        <f t="shared" si="2"/>
        <v>49187.85485</v>
      </c>
      <c r="M16" s="16">
        <f>IF(G16="",, -PMT(mortRate/12, mortTerm*12, G16) * 12)
</f>
        <v>37608.95588</v>
      </c>
      <c r="N16" s="16">
        <f t="shared" si="3"/>
        <v>11578.89897</v>
      </c>
    </row>
    <row r="17">
      <c r="A17" s="8">
        <v>16.0</v>
      </c>
      <c r="B17" s="15">
        <f t="array" ref="B17">IFERROR( INDEX('RE Purchases'!$A:$A, MATCH($A17,'RE Purchases'!$B:$B,0)), )
</f>
        <v>57</v>
      </c>
      <c r="C17" s="15">
        <f t="array" ref="C17">IFERROR( INDEX('RE Purchases'!$C:$C, MATCH($A17,'RE Purchases'!$B:$B,0)), )
</f>
        <v>677655.2584</v>
      </c>
      <c r="D17" s="15" t="str">
        <f t="array" ref="D17">IFERROR( INDEX('RE Purchases'!$J:$J, MATCH($A17,'RE Purchases'!$B:$B,0)), )
</f>
        <v>BUY</v>
      </c>
      <c r="E17" s="15">
        <f t="array" ref="E17">IFERROR( INDEX('RE Purchases'!$D:$D, MATCH($A17,'RE Purchases'!$B:$B,0)), )
</f>
        <v>169413.8146</v>
      </c>
      <c r="F17" s="15">
        <f t="array" ref="F17">IFERROR( INDEX('RE Purchases'!$E:$E, MATCH($A17,'RE Purchases'!$B:$B,0)), )
</f>
        <v>20329.65775</v>
      </c>
      <c r="G17" s="15">
        <f t="shared" si="1"/>
        <v>508241.4438</v>
      </c>
      <c r="H17" s="15">
        <f>IF(C17="",, C17 * rent_price_ratio)
</f>
        <v>81318.631</v>
      </c>
      <c r="I17" s="15">
        <f>IF(H17="",, H17 * vacancy_rate)
</f>
        <v>4065.93155</v>
      </c>
      <c r="J17" s="15">
        <f>IF(H17="",, H17 * property_operating_expense)
</f>
        <v>20329.65775</v>
      </c>
      <c r="K17" s="15">
        <f>IF(H17="",, H17 * property_mgmt_fee)
</f>
        <v>6505.49048</v>
      </c>
      <c r="L17" s="15">
        <f t="shared" si="2"/>
        <v>50417.55122</v>
      </c>
      <c r="M17" s="16">
        <f>IF(G17="",, -PMT(mortRate/12, mortTerm*12, G17) * 12)
</f>
        <v>38549.17978</v>
      </c>
      <c r="N17" s="16">
        <f t="shared" si="3"/>
        <v>11868.37144</v>
      </c>
    </row>
    <row r="18">
      <c r="A18" s="8">
        <v>17.0</v>
      </c>
      <c r="B18" s="15">
        <f t="array" ref="B18">IFERROR( INDEX('RE Purchases'!$A:$A, MATCH($A18,'RE Purchases'!$B:$B,0)), )
</f>
        <v>59</v>
      </c>
      <c r="C18" s="15">
        <f t="array" ref="C18">IFERROR( INDEX('RE Purchases'!$C:$C, MATCH($A18,'RE Purchases'!$B:$B,0)), )
</f>
        <v>711961.5558</v>
      </c>
      <c r="D18" s="15" t="str">
        <f t="array" ref="D18">IFERROR( INDEX('RE Purchases'!$J:$J, MATCH($A18,'RE Purchases'!$B:$B,0)), )
</f>
        <v>BUY</v>
      </c>
      <c r="E18" s="15">
        <f t="array" ref="E18">IFERROR( INDEX('RE Purchases'!$D:$D, MATCH($A18,'RE Purchases'!$B:$B,0)), )
</f>
        <v>177990.389</v>
      </c>
      <c r="F18" s="15">
        <f t="array" ref="F18">IFERROR( INDEX('RE Purchases'!$E:$E, MATCH($A18,'RE Purchases'!$B:$B,0)), )
</f>
        <v>21358.84667</v>
      </c>
      <c r="G18" s="15">
        <f t="shared" si="1"/>
        <v>533971.1669</v>
      </c>
      <c r="H18" s="15">
        <f>IF(C18="",, C18 * rent_price_ratio)
</f>
        <v>85435.3867</v>
      </c>
      <c r="I18" s="15">
        <f>IF(H18="",, H18 * vacancy_rate)
</f>
        <v>4271.769335</v>
      </c>
      <c r="J18" s="15">
        <f>IF(H18="",, H18 * property_operating_expense)
</f>
        <v>21358.84667</v>
      </c>
      <c r="K18" s="15">
        <f>IF(H18="",, H18 * property_mgmt_fee)
</f>
        <v>6834.830936</v>
      </c>
      <c r="L18" s="15">
        <f t="shared" si="2"/>
        <v>52969.93975</v>
      </c>
      <c r="M18" s="16">
        <f>IF(G18="",, -PMT(mortRate/12, mortTerm*12, G18) * 12)
</f>
        <v>40500.73201</v>
      </c>
      <c r="N18" s="16">
        <f t="shared" si="3"/>
        <v>12469.20775</v>
      </c>
    </row>
    <row r="19">
      <c r="A19" s="8">
        <v>18.0</v>
      </c>
      <c r="B19" s="15">
        <f t="array" ref="B19">IFERROR( INDEX('RE Purchases'!$A:$A, MATCH($A19,'RE Purchases'!$B:$B,0)), )
</f>
        <v>61</v>
      </c>
      <c r="C19" s="15">
        <f t="array" ref="C19">IFERROR( INDEX('RE Purchases'!$C:$C, MATCH($A19,'RE Purchases'!$B:$B,0)), )
</f>
        <v>748004.6096</v>
      </c>
      <c r="D19" s="15" t="str">
        <f t="array" ref="D19">IFERROR( INDEX('RE Purchases'!$J:$J, MATCH($A19,'RE Purchases'!$B:$B,0)), )
</f>
        <v>BUY</v>
      </c>
      <c r="E19" s="15">
        <f t="array" ref="E19">IFERROR( INDEX('RE Purchases'!$D:$D, MATCH($A19,'RE Purchases'!$B:$B,0)), )
</f>
        <v>187001.1524</v>
      </c>
      <c r="F19" s="15">
        <f t="array" ref="F19">IFERROR( INDEX('RE Purchases'!$E:$E, MATCH($A19,'RE Purchases'!$B:$B,0)), )
</f>
        <v>22440.13829</v>
      </c>
      <c r="G19" s="15">
        <f t="shared" si="1"/>
        <v>561003.4572</v>
      </c>
      <c r="H19" s="15">
        <f>IF(C19="",, C19 * rent_price_ratio)
</f>
        <v>89760.55315</v>
      </c>
      <c r="I19" s="15">
        <f>IF(H19="",, H19 * vacancy_rate)
</f>
        <v>4488.027657</v>
      </c>
      <c r="J19" s="15">
        <f>IF(H19="",, H19 * property_operating_expense)
</f>
        <v>22440.13829</v>
      </c>
      <c r="K19" s="15">
        <f>IF(H19="",, H19 * property_mgmt_fee)
</f>
        <v>7180.844252</v>
      </c>
      <c r="L19" s="15">
        <f t="shared" si="2"/>
        <v>55651.54295</v>
      </c>
      <c r="M19" s="16">
        <f>IF(G19="",, -PMT(mortRate/12, mortTerm*12, G19) * 12)
</f>
        <v>42551.08156</v>
      </c>
      <c r="N19" s="16">
        <f t="shared" si="3"/>
        <v>13100.46139</v>
      </c>
    </row>
    <row r="20">
      <c r="A20" s="8">
        <v>19.0</v>
      </c>
      <c r="B20" s="15">
        <f t="array" ref="B20">IFERROR( INDEX('RE Purchases'!$A:$A, MATCH($A20,'RE Purchases'!$B:$B,0)), )
</f>
        <v>63</v>
      </c>
      <c r="C20" s="15">
        <f t="array" ref="C20">IFERROR( INDEX('RE Purchases'!$C:$C, MATCH($A20,'RE Purchases'!$B:$B,0)), )
</f>
        <v>785872.3429</v>
      </c>
      <c r="D20" s="15" t="str">
        <f t="array" ref="D20">IFERROR( INDEX('RE Purchases'!$J:$J, MATCH($A20,'RE Purchases'!$B:$B,0)), )
</f>
        <v>BUY</v>
      </c>
      <c r="E20" s="15">
        <f t="array" ref="E20">IFERROR( INDEX('RE Purchases'!$D:$D, MATCH($A20,'RE Purchases'!$B:$B,0)), )
</f>
        <v>196468.0857</v>
      </c>
      <c r="F20" s="15">
        <f t="array" ref="F20">IFERROR( INDEX('RE Purchases'!$E:$E, MATCH($A20,'RE Purchases'!$B:$B,0)), )
</f>
        <v>23576.17029</v>
      </c>
      <c r="G20" s="15">
        <f t="shared" si="1"/>
        <v>589404.2572</v>
      </c>
      <c r="H20" s="15">
        <f>IF(C20="",, C20 * rent_price_ratio)
</f>
        <v>94304.68115</v>
      </c>
      <c r="I20" s="15">
        <f>IF(H20="",, H20 * vacancy_rate)
</f>
        <v>4715.234058</v>
      </c>
      <c r="J20" s="15">
        <f>IF(H20="",, H20 * property_operating_expense)
</f>
        <v>23576.17029</v>
      </c>
      <c r="K20" s="15">
        <f>IF(H20="",, H20 * property_mgmt_fee)
</f>
        <v>7544.374492</v>
      </c>
      <c r="L20" s="15">
        <f t="shared" si="2"/>
        <v>58468.90231</v>
      </c>
      <c r="M20" s="16">
        <f>IF(G20="",, -PMT(mortRate/12, mortTerm*12, G20) * 12)
</f>
        <v>44705.23007</v>
      </c>
      <c r="N20" s="16">
        <f t="shared" si="3"/>
        <v>13763.67225</v>
      </c>
    </row>
    <row r="21">
      <c r="A21" s="8">
        <v>20.0</v>
      </c>
      <c r="B21" s="15">
        <f t="array" ref="B21">IFERROR( INDEX('RE Purchases'!$A:$A, MATCH($A21,'RE Purchases'!$B:$B,0)), )
</f>
        <v>65</v>
      </c>
      <c r="C21" s="15">
        <f t="array" ref="C21">IFERROR( INDEX('RE Purchases'!$C:$C, MATCH($A21,'RE Purchases'!$B:$B,0)), )
</f>
        <v>825657.1303</v>
      </c>
      <c r="D21" s="15" t="str">
        <f t="array" ref="D21">IFERROR( INDEX('RE Purchases'!$J:$J, MATCH($A21,'RE Purchases'!$B:$B,0)), )
</f>
        <v>BUY</v>
      </c>
      <c r="E21" s="15">
        <f t="array" ref="E21">IFERROR( INDEX('RE Purchases'!$D:$D, MATCH($A21,'RE Purchases'!$B:$B,0)), )
</f>
        <v>206414.2826</v>
      </c>
      <c r="F21" s="15">
        <f t="array" ref="F21">IFERROR( INDEX('RE Purchases'!$E:$E, MATCH($A21,'RE Purchases'!$B:$B,0)), )
</f>
        <v>24769.71391</v>
      </c>
      <c r="G21" s="15">
        <f t="shared" si="1"/>
        <v>619242.8477</v>
      </c>
      <c r="H21" s="15">
        <f>IF(C21="",, C21 * rent_price_ratio)
</f>
        <v>99078.85564</v>
      </c>
      <c r="I21" s="15">
        <f>IF(H21="",, H21 * vacancy_rate)
</f>
        <v>4953.942782</v>
      </c>
      <c r="J21" s="15">
        <f>IF(H21="",, H21 * property_operating_expense)
</f>
        <v>24769.71391</v>
      </c>
      <c r="K21" s="15">
        <f>IF(H21="",, H21 * property_mgmt_fee)
</f>
        <v>7926.308451</v>
      </c>
      <c r="L21" s="15">
        <f t="shared" si="2"/>
        <v>61428.89049</v>
      </c>
      <c r="M21" s="16">
        <f>IF(G21="",, -PMT(mortRate/12, mortTerm*12, G21) * 12)
</f>
        <v>46968.43234</v>
      </c>
      <c r="N21" s="16">
        <f t="shared" si="3"/>
        <v>14460.45816</v>
      </c>
    </row>
    <row r="22">
      <c r="A22" s="8">
        <v>21.0</v>
      </c>
      <c r="B22" s="15" t="str">
        <f t="array" ref="B22">IFERROR( INDEX('RE Purchases'!$A:$A, MATCH($A22,'RE Purchases'!$B:$B,0)), )
</f>
        <v/>
      </c>
      <c r="C22" s="15" t="str">
        <f t="array" ref="C22">IFERROR( INDEX('RE Purchases'!$C:$C, MATCH($A22,'RE Purchases'!$B:$B,0)), )
</f>
        <v/>
      </c>
      <c r="D22" s="15" t="str">
        <f t="array" ref="D22">IFERROR( INDEX('RE Purchases'!$J:$J, MATCH($A22,'RE Purchases'!$B:$B,0)), )
</f>
        <v/>
      </c>
      <c r="E22" s="15" t="str">
        <f t="array" ref="E22">IFERROR( INDEX('RE Purchases'!$D:$D, MATCH($A22,'RE Purchases'!$B:$B,0)), )
</f>
        <v/>
      </c>
      <c r="F22" s="15" t="str">
        <f t="array" ref="F22">IFERROR( INDEX('RE Purchases'!$E:$E, MATCH($A22,'RE Purchases'!$B:$B,0)), )
</f>
        <v/>
      </c>
      <c r="G22" s="15" t="str">
        <f t="shared" si="1"/>
        <v/>
      </c>
      <c r="H22" s="15" t="str">
        <f>IF(C22="",, C22 * rent_price_ratio)
</f>
        <v/>
      </c>
      <c r="I22" s="15" t="str">
        <f>IF(H22="",, H22 * vacancy_rate)
</f>
        <v/>
      </c>
      <c r="J22" s="15" t="str">
        <f>IF(H22="",, H22 * property_operating_expense)
</f>
        <v/>
      </c>
      <c r="K22" s="15" t="str">
        <f>IF(H22="",, H22 * property_mgmt_fee)
</f>
        <v/>
      </c>
      <c r="L22" s="15" t="str">
        <f t="shared" si="2"/>
        <v/>
      </c>
      <c r="M22" s="15" t="str">
        <f>IF(G22="",, -PMT(mortRate/12, mortTerm*12, G22) * 12)
</f>
        <v/>
      </c>
      <c r="N22" s="15">
        <f t="shared" si="3"/>
        <v>0</v>
      </c>
    </row>
    <row r="23">
      <c r="A23" s="8">
        <v>22.0</v>
      </c>
      <c r="B23" s="15" t="str">
        <f t="array" ref="B23">IFERROR( INDEX('RE Purchases'!$A:$A, MATCH($A23,'RE Purchases'!$B:$B,0)), )
</f>
        <v/>
      </c>
      <c r="C23" s="15" t="str">
        <f t="array" ref="C23">IFERROR( INDEX('RE Purchases'!$C:$C, MATCH($A23,'RE Purchases'!$B:$B,0)), )
</f>
        <v/>
      </c>
      <c r="D23" s="15" t="str">
        <f t="array" ref="D23">IFERROR( INDEX('RE Purchases'!$J:$J, MATCH($A23,'RE Purchases'!$B:$B,0)), )
</f>
        <v/>
      </c>
      <c r="E23" s="15" t="str">
        <f t="array" ref="E23">IFERROR( INDEX('RE Purchases'!$D:$D, MATCH($A23,'RE Purchases'!$B:$B,0)), )
</f>
        <v/>
      </c>
      <c r="F23" s="15" t="str">
        <f t="array" ref="F23">IFERROR( INDEX('RE Purchases'!$E:$E, MATCH($A23,'RE Purchases'!$B:$B,0)), )
</f>
        <v/>
      </c>
      <c r="G23" s="15" t="str">
        <f t="shared" si="1"/>
        <v/>
      </c>
      <c r="H23" s="15" t="str">
        <f>IF(C23="",, C23 * rent_price_ratio)
</f>
        <v/>
      </c>
      <c r="I23" s="15" t="str">
        <f>IF(H23="",, H23 * vacancy_rate)
</f>
        <v/>
      </c>
      <c r="J23" s="15" t="str">
        <f>IF(H23="",, H23 * property_operating_expense)
</f>
        <v/>
      </c>
      <c r="K23" s="15" t="str">
        <f>IF(H23="",, H23 * property_mgmt_fee)
</f>
        <v/>
      </c>
      <c r="L23" s="15" t="str">
        <f t="shared" si="2"/>
        <v/>
      </c>
      <c r="M23" s="15" t="str">
        <f>IF(G23="",, -PMT(mortRate/12, mortTerm*12, G23) * 12)
</f>
        <v/>
      </c>
      <c r="N23" s="15">
        <f t="shared" si="3"/>
        <v>0</v>
      </c>
    </row>
    <row r="24">
      <c r="A24" s="8">
        <v>23.0</v>
      </c>
      <c r="B24" s="15" t="str">
        <f t="array" ref="B24">IFERROR( INDEX('RE Purchases'!$A:$A, MATCH($A24,'RE Purchases'!$B:$B,0)), )
</f>
        <v/>
      </c>
      <c r="C24" s="15" t="str">
        <f t="array" ref="C24">IFERROR( INDEX('RE Purchases'!$C:$C, MATCH($A24,'RE Purchases'!$B:$B,0)), )
</f>
        <v/>
      </c>
      <c r="D24" s="15" t="str">
        <f t="array" ref="D24">IFERROR( INDEX('RE Purchases'!$J:$J, MATCH($A24,'RE Purchases'!$B:$B,0)), )
</f>
        <v/>
      </c>
      <c r="E24" s="15" t="str">
        <f t="array" ref="E24">IFERROR( INDEX('RE Purchases'!$D:$D, MATCH($A24,'RE Purchases'!$B:$B,0)), )
</f>
        <v/>
      </c>
      <c r="F24" s="15" t="str">
        <f t="array" ref="F24">IFERROR( INDEX('RE Purchases'!$E:$E, MATCH($A24,'RE Purchases'!$B:$B,0)), )
</f>
        <v/>
      </c>
      <c r="G24" s="15" t="str">
        <f t="shared" si="1"/>
        <v/>
      </c>
      <c r="H24" s="15" t="str">
        <f>IF(C24="",, C24 * rent_price_ratio)
</f>
        <v/>
      </c>
      <c r="I24" s="15" t="str">
        <f>IF(H24="",, H24 * vacancy_rate)
</f>
        <v/>
      </c>
      <c r="J24" s="15" t="str">
        <f>IF(H24="",, H24 * property_operating_expense)
</f>
        <v/>
      </c>
      <c r="K24" s="15" t="str">
        <f>IF(H24="",, H24 * property_mgmt_fee)
</f>
        <v/>
      </c>
      <c r="L24" s="15" t="str">
        <f t="shared" si="2"/>
        <v/>
      </c>
      <c r="M24" s="15" t="str">
        <f>IF(G24="",, -PMT(mortRate/12, mortTerm*12, G24) * 12)
</f>
        <v/>
      </c>
      <c r="N24" s="15">
        <f t="shared" si="3"/>
        <v>0</v>
      </c>
    </row>
    <row r="25">
      <c r="A25" s="8">
        <v>24.0</v>
      </c>
      <c r="B25" s="15" t="str">
        <f t="array" ref="B25">IFERROR( INDEX('RE Purchases'!$A:$A, MATCH($A25,'RE Purchases'!$B:$B,0)), )
</f>
        <v/>
      </c>
      <c r="C25" s="15" t="str">
        <f t="array" ref="C25">IFERROR( INDEX('RE Purchases'!$C:$C, MATCH($A25,'RE Purchases'!$B:$B,0)), )
</f>
        <v/>
      </c>
      <c r="D25" s="15" t="str">
        <f t="array" ref="D25">IFERROR( INDEX('RE Purchases'!$J:$J, MATCH($A25,'RE Purchases'!$B:$B,0)), )
</f>
        <v/>
      </c>
      <c r="E25" s="15" t="str">
        <f t="array" ref="E25">IFERROR( INDEX('RE Purchases'!$D:$D, MATCH($A25,'RE Purchases'!$B:$B,0)), )
</f>
        <v/>
      </c>
      <c r="F25" s="15" t="str">
        <f t="array" ref="F25">IFERROR( INDEX('RE Purchases'!$E:$E, MATCH($A25,'RE Purchases'!$B:$B,0)), )
</f>
        <v/>
      </c>
      <c r="G25" s="15" t="str">
        <f t="shared" si="1"/>
        <v/>
      </c>
      <c r="H25" s="15" t="str">
        <f>IF(C25="",, C25 * rent_price_ratio)
</f>
        <v/>
      </c>
      <c r="I25" s="15" t="str">
        <f>IF(H25="",, H25 * vacancy_rate)
</f>
        <v/>
      </c>
      <c r="J25" s="15" t="str">
        <f>IF(H25="",, H25 * property_operating_expense)
</f>
        <v/>
      </c>
      <c r="K25" s="15" t="str">
        <f>IF(H25="",, H25 * property_mgmt_fee)
</f>
        <v/>
      </c>
      <c r="L25" s="15" t="str">
        <f t="shared" si="2"/>
        <v/>
      </c>
      <c r="M25" s="15" t="str">
        <f>IF(G25="",, -PMT(mortRate/12, mortTerm*12, G25) * 12)
</f>
        <v/>
      </c>
      <c r="N25" s="15">
        <f t="shared" si="3"/>
        <v>0</v>
      </c>
    </row>
    <row r="26">
      <c r="A26" s="8">
        <v>25.0</v>
      </c>
      <c r="B26" s="15" t="str">
        <f t="array" ref="B26">IFERROR( INDEX('RE Purchases'!$A:$A, MATCH($A26,'RE Purchases'!$B:$B,0)), )
</f>
        <v/>
      </c>
      <c r="C26" s="15" t="str">
        <f t="array" ref="C26">IFERROR( INDEX('RE Purchases'!$C:$C, MATCH($A26,'RE Purchases'!$B:$B,0)), )
</f>
        <v/>
      </c>
      <c r="D26" s="15" t="str">
        <f t="array" ref="D26">IFERROR( INDEX('RE Purchases'!$J:$J, MATCH($A26,'RE Purchases'!$B:$B,0)), )
</f>
        <v/>
      </c>
      <c r="E26" s="15" t="str">
        <f t="array" ref="E26">IFERROR( INDEX('RE Purchases'!$D:$D, MATCH($A26,'RE Purchases'!$B:$B,0)), )
</f>
        <v/>
      </c>
      <c r="F26" s="15" t="str">
        <f t="array" ref="F26">IFERROR( INDEX('RE Purchases'!$E:$E, MATCH($A26,'RE Purchases'!$B:$B,0)), )
</f>
        <v/>
      </c>
      <c r="G26" s="15" t="str">
        <f t="shared" si="1"/>
        <v/>
      </c>
      <c r="H26" s="15" t="str">
        <f>IF(C26="",, C26 * rent_price_ratio)
</f>
        <v/>
      </c>
      <c r="I26" s="15" t="str">
        <f>IF(H26="",, H26 * vacancy_rate)
</f>
        <v/>
      </c>
      <c r="J26" s="15" t="str">
        <f>IF(H26="",, H26 * property_operating_expense)
</f>
        <v/>
      </c>
      <c r="K26" s="15" t="str">
        <f>IF(H26="",, H26 * property_mgmt_fee)
</f>
        <v/>
      </c>
      <c r="L26" s="15" t="str">
        <f t="shared" si="2"/>
        <v/>
      </c>
      <c r="M26" s="15" t="str">
        <f>IF(G26="",, -PMT(mortRate/12, mortTerm*12, G26) * 12)
</f>
        <v/>
      </c>
      <c r="N26" s="15">
        <f t="shared" si="3"/>
        <v>0</v>
      </c>
    </row>
    <row r="27">
      <c r="A27" s="8">
        <v>26.0</v>
      </c>
      <c r="B27" s="15" t="str">
        <f t="array" ref="B27">IFERROR( INDEX('RE Purchases'!$A:$A, MATCH($A27,'RE Purchases'!$B:$B,0)), )
</f>
        <v/>
      </c>
      <c r="C27" s="15" t="str">
        <f t="array" ref="C27">IFERROR( INDEX('RE Purchases'!$C:$C, MATCH($A27,'RE Purchases'!$B:$B,0)), )
</f>
        <v/>
      </c>
      <c r="D27" s="15" t="str">
        <f t="array" ref="D27">IFERROR( INDEX('RE Purchases'!$J:$J, MATCH($A27,'RE Purchases'!$B:$B,0)), )
</f>
        <v/>
      </c>
      <c r="E27" s="15" t="str">
        <f t="array" ref="E27">IFERROR( INDEX('RE Purchases'!$D:$D, MATCH($A27,'RE Purchases'!$B:$B,0)), )
</f>
        <v/>
      </c>
      <c r="F27" s="15" t="str">
        <f t="array" ref="F27">IFERROR( INDEX('RE Purchases'!$E:$E, MATCH($A27,'RE Purchases'!$B:$B,0)), )
</f>
        <v/>
      </c>
      <c r="G27" s="15" t="str">
        <f t="shared" si="1"/>
        <v/>
      </c>
      <c r="H27" s="15" t="str">
        <f>IF(C27="",, C27 * rent_price_ratio)
</f>
        <v/>
      </c>
      <c r="I27" s="15" t="str">
        <f>IF(H27="",, H27 * vacancy_rate)
</f>
        <v/>
      </c>
      <c r="J27" s="15" t="str">
        <f>IF(H27="",, H27 * property_operating_expense)
</f>
        <v/>
      </c>
      <c r="K27" s="15" t="str">
        <f>IF(H27="",, H27 * property_mgmt_fee)
</f>
        <v/>
      </c>
      <c r="L27" s="15" t="str">
        <f t="shared" si="2"/>
        <v/>
      </c>
      <c r="M27" s="15" t="str">
        <f>IF(G27="",, -PMT(mortRate/12, mortTerm*12, G27) * 12)
</f>
        <v/>
      </c>
      <c r="N27" s="15">
        <f t="shared" si="3"/>
        <v>0</v>
      </c>
    </row>
    <row r="28">
      <c r="A28" s="8">
        <v>27.0</v>
      </c>
      <c r="B28" s="15" t="str">
        <f t="array" ref="B28">IFERROR( INDEX('RE Purchases'!$A:$A, MATCH($A28,'RE Purchases'!$B:$B,0)), )
</f>
        <v/>
      </c>
      <c r="C28" s="15" t="str">
        <f t="array" ref="C28">IFERROR( INDEX('RE Purchases'!$C:$C, MATCH($A28,'RE Purchases'!$B:$B,0)), )
</f>
        <v/>
      </c>
      <c r="D28" s="15" t="str">
        <f t="array" ref="D28">IFERROR( INDEX('RE Purchases'!$J:$J, MATCH($A28,'RE Purchases'!$B:$B,0)), )
</f>
        <v/>
      </c>
      <c r="E28" s="15" t="str">
        <f t="array" ref="E28">IFERROR( INDEX('RE Purchases'!$D:$D, MATCH($A28,'RE Purchases'!$B:$B,0)), )
</f>
        <v/>
      </c>
      <c r="F28" s="15" t="str">
        <f t="array" ref="F28">IFERROR( INDEX('RE Purchases'!$E:$E, MATCH($A28,'RE Purchases'!$B:$B,0)), )
</f>
        <v/>
      </c>
      <c r="G28" s="15" t="str">
        <f t="shared" si="1"/>
        <v/>
      </c>
      <c r="H28" s="15" t="str">
        <f>IF(C28="",, C28 * rent_price_ratio)
</f>
        <v/>
      </c>
      <c r="I28" s="15" t="str">
        <f>IF(H28="",, H28 * vacancy_rate)
</f>
        <v/>
      </c>
      <c r="J28" s="15" t="str">
        <f>IF(H28="",, H28 * property_operating_expense)
</f>
        <v/>
      </c>
      <c r="K28" s="15" t="str">
        <f>IF(H28="",, H28 * property_mgmt_fee)
</f>
        <v/>
      </c>
      <c r="L28" s="15" t="str">
        <f t="shared" si="2"/>
        <v/>
      </c>
      <c r="M28" s="15" t="str">
        <f>IF(G28="",, -PMT(mortRate/12, mortTerm*12, G28) * 12)
</f>
        <v/>
      </c>
      <c r="N28" s="15">
        <f t="shared" si="3"/>
        <v>0</v>
      </c>
    </row>
    <row r="29">
      <c r="A29" s="8">
        <v>28.0</v>
      </c>
      <c r="B29" s="15" t="str">
        <f t="array" ref="B29">IFERROR( INDEX('RE Purchases'!$A:$A, MATCH($A29,'RE Purchases'!$B:$B,0)), )
</f>
        <v/>
      </c>
      <c r="C29" s="15" t="str">
        <f t="array" ref="C29">IFERROR( INDEX('RE Purchases'!$C:$C, MATCH($A29,'RE Purchases'!$B:$B,0)), )
</f>
        <v/>
      </c>
      <c r="D29" s="15" t="str">
        <f t="array" ref="D29">IFERROR( INDEX('RE Purchases'!$J:$J, MATCH($A29,'RE Purchases'!$B:$B,0)), )
</f>
        <v/>
      </c>
      <c r="E29" s="15" t="str">
        <f t="array" ref="E29">IFERROR( INDEX('RE Purchases'!$D:$D, MATCH($A29,'RE Purchases'!$B:$B,0)), )
</f>
        <v/>
      </c>
      <c r="F29" s="15" t="str">
        <f t="array" ref="F29">IFERROR( INDEX('RE Purchases'!$E:$E, MATCH($A29,'RE Purchases'!$B:$B,0)), )
</f>
        <v/>
      </c>
      <c r="G29" s="15" t="str">
        <f t="shared" si="1"/>
        <v/>
      </c>
      <c r="H29" s="15" t="str">
        <f>IF(C29="",, C29 * rent_price_ratio)
</f>
        <v/>
      </c>
      <c r="I29" s="15" t="str">
        <f>IF(H29="",, H29 * vacancy_rate)
</f>
        <v/>
      </c>
      <c r="J29" s="15" t="str">
        <f>IF(H29="",, H29 * property_operating_expense)
</f>
        <v/>
      </c>
      <c r="K29" s="15" t="str">
        <f>IF(H29="",, H29 * property_mgmt_fee)
</f>
        <v/>
      </c>
      <c r="L29" s="15" t="str">
        <f t="shared" si="2"/>
        <v/>
      </c>
      <c r="M29" s="15" t="str">
        <f>IF(G29="",, -PMT(mortRate/12, mortTerm*12, G29) * 12)
</f>
        <v/>
      </c>
      <c r="N29" s="15">
        <f t="shared" si="3"/>
        <v>0</v>
      </c>
    </row>
    <row r="30">
      <c r="A30" s="8">
        <v>29.0</v>
      </c>
      <c r="B30" s="15" t="str">
        <f t="array" ref="B30">IFERROR( INDEX('RE Purchases'!$A:$A, MATCH($A30,'RE Purchases'!$B:$B,0)), )
</f>
        <v/>
      </c>
      <c r="C30" s="15" t="str">
        <f t="array" ref="C30">IFERROR( INDEX('RE Purchases'!$C:$C, MATCH($A30,'RE Purchases'!$B:$B,0)), )
</f>
        <v/>
      </c>
      <c r="D30" s="15" t="str">
        <f t="array" ref="D30">IFERROR( INDEX('RE Purchases'!$J:$J, MATCH($A30,'RE Purchases'!$B:$B,0)), )
</f>
        <v/>
      </c>
      <c r="E30" s="15" t="str">
        <f t="array" ref="E30">IFERROR( INDEX('RE Purchases'!$D:$D, MATCH($A30,'RE Purchases'!$B:$B,0)), )
</f>
        <v/>
      </c>
      <c r="F30" s="15" t="str">
        <f t="array" ref="F30">IFERROR( INDEX('RE Purchases'!$E:$E, MATCH($A30,'RE Purchases'!$B:$B,0)), )
</f>
        <v/>
      </c>
      <c r="G30" s="15" t="str">
        <f t="shared" si="1"/>
        <v/>
      </c>
      <c r="H30" s="15" t="str">
        <f>IF(C30="",, C30 * rent_price_ratio)
</f>
        <v/>
      </c>
      <c r="I30" s="15" t="str">
        <f>IF(H30="",, H30 * vacancy_rate)
</f>
        <v/>
      </c>
      <c r="J30" s="15" t="str">
        <f>IF(H30="",, H30 * property_operating_expense)
</f>
        <v/>
      </c>
      <c r="K30" s="15" t="str">
        <f>IF(H30="",, H30 * property_mgmt_fee)
</f>
        <v/>
      </c>
      <c r="L30" s="15" t="str">
        <f t="shared" si="2"/>
        <v/>
      </c>
      <c r="M30" s="15" t="str">
        <f>IF(G30="",, -PMT(mortRate/12, mortTerm*12, G30) * 12)
</f>
        <v/>
      </c>
      <c r="N30" s="15">
        <f t="shared" si="3"/>
        <v>0</v>
      </c>
    </row>
    <row r="31">
      <c r="A31" s="8">
        <v>30.0</v>
      </c>
      <c r="B31" s="15" t="str">
        <f t="array" ref="B31">IFERROR( INDEX('RE Purchases'!$A:$A, MATCH($A31,'RE Purchases'!$B:$B,0)), )
</f>
        <v/>
      </c>
      <c r="C31" s="15" t="str">
        <f t="array" ref="C31">IFERROR( INDEX('RE Purchases'!$C:$C, MATCH($A31,'RE Purchases'!$B:$B,0)), )
</f>
        <v/>
      </c>
      <c r="D31" s="15" t="str">
        <f t="array" ref="D31">IFERROR( INDEX('RE Purchases'!$J:$J, MATCH($A31,'RE Purchases'!$B:$B,0)), )
</f>
        <v/>
      </c>
      <c r="E31" s="15" t="str">
        <f t="array" ref="E31">IFERROR( INDEX('RE Purchases'!$D:$D, MATCH($A31,'RE Purchases'!$B:$B,0)), )
</f>
        <v/>
      </c>
      <c r="F31" s="15" t="str">
        <f t="array" ref="F31">IFERROR( INDEX('RE Purchases'!$E:$E, MATCH($A31,'RE Purchases'!$B:$B,0)), )
</f>
        <v/>
      </c>
      <c r="G31" s="15" t="str">
        <f t="shared" si="1"/>
        <v/>
      </c>
      <c r="H31" s="15" t="str">
        <f>IF(C31="",, C31 * rent_price_ratio)
</f>
        <v/>
      </c>
      <c r="I31" s="15" t="str">
        <f>IF(H31="",, H31 * vacancy_rate)
</f>
        <v/>
      </c>
      <c r="J31" s="15" t="str">
        <f>IF(H31="",, H31 * property_operating_expense)
</f>
        <v/>
      </c>
      <c r="K31" s="15" t="str">
        <f>IF(H31="",, H31 * property_mgmt_fee)
</f>
        <v/>
      </c>
      <c r="L31" s="15" t="str">
        <f t="shared" si="2"/>
        <v/>
      </c>
      <c r="M31" s="15" t="str">
        <f>IF(G31="",, -PMT(mortRate/12, mortTerm*12, G31) * 12)
</f>
        <v/>
      </c>
      <c r="N31" s="15">
        <f t="shared" si="3"/>
        <v>0</v>
      </c>
    </row>
    <row r="32">
      <c r="A32" s="8">
        <v>31.0</v>
      </c>
      <c r="B32" s="15" t="str">
        <f t="array" ref="B32">IFERROR( INDEX('RE Purchases'!$A:$A, MATCH($A32,'RE Purchases'!$B:$B,0)), )
</f>
        <v/>
      </c>
      <c r="C32" s="15" t="str">
        <f t="array" ref="C32">IFERROR( INDEX('RE Purchases'!$C:$C, MATCH($A32,'RE Purchases'!$B:$B,0)), )
</f>
        <v/>
      </c>
      <c r="D32" s="15" t="str">
        <f t="array" ref="D32">IFERROR( INDEX('RE Purchases'!$J:$J, MATCH($A32,'RE Purchases'!$B:$B,0)), )
</f>
        <v/>
      </c>
      <c r="E32" s="15" t="str">
        <f t="array" ref="E32">IFERROR( INDEX('RE Purchases'!$D:$D, MATCH($A32,'RE Purchases'!$B:$B,0)), )
</f>
        <v/>
      </c>
      <c r="F32" s="15" t="str">
        <f t="array" ref="F32">IFERROR( INDEX('RE Purchases'!$E:$E, MATCH($A32,'RE Purchases'!$B:$B,0)), )
</f>
        <v/>
      </c>
      <c r="G32" s="15" t="str">
        <f t="shared" si="1"/>
        <v/>
      </c>
      <c r="H32" s="15" t="str">
        <f>IF(C32="",, C32 * rent_price_ratio)
</f>
        <v/>
      </c>
      <c r="I32" s="15" t="str">
        <f>IF(H32="",, H32 * vacancy_rate)
</f>
        <v/>
      </c>
      <c r="J32" s="15" t="str">
        <f>IF(H32="",, H32 * property_operating_expense)
</f>
        <v/>
      </c>
      <c r="K32" s="15" t="str">
        <f>IF(H32="",, H32 * property_mgmt_fee)
</f>
        <v/>
      </c>
      <c r="L32" s="15" t="str">
        <f t="shared" si="2"/>
        <v/>
      </c>
      <c r="M32" s="15" t="str">
        <f>IF(G32="",, -PMT(mortRate/12, mortTerm*12, G32) * 12)
</f>
        <v/>
      </c>
      <c r="N32" s="15">
        <f t="shared" si="3"/>
        <v>0</v>
      </c>
    </row>
    <row r="33">
      <c r="A33" s="8">
        <v>32.0</v>
      </c>
      <c r="B33" s="15" t="str">
        <f t="array" ref="B33">IFERROR( INDEX('RE Purchases'!$A:$A, MATCH($A33,'RE Purchases'!$B:$B,0)), )
</f>
        <v/>
      </c>
      <c r="C33" s="15" t="str">
        <f t="array" ref="C33">IFERROR( INDEX('RE Purchases'!$C:$C, MATCH($A33,'RE Purchases'!$B:$B,0)), )
</f>
        <v/>
      </c>
      <c r="D33" s="15" t="str">
        <f t="array" ref="D33">IFERROR( INDEX('RE Purchases'!$J:$J, MATCH($A33,'RE Purchases'!$B:$B,0)), )
</f>
        <v/>
      </c>
      <c r="E33" s="15" t="str">
        <f t="array" ref="E33">IFERROR( INDEX('RE Purchases'!$D:$D, MATCH($A33,'RE Purchases'!$B:$B,0)), )
</f>
        <v/>
      </c>
      <c r="F33" s="15" t="str">
        <f t="array" ref="F33">IFERROR( INDEX('RE Purchases'!$E:$E, MATCH($A33,'RE Purchases'!$B:$B,0)), )
</f>
        <v/>
      </c>
      <c r="G33" s="15" t="str">
        <f t="shared" si="1"/>
        <v/>
      </c>
      <c r="H33" s="15" t="str">
        <f>IF(C33="",, C33 * rent_price_ratio)
</f>
        <v/>
      </c>
      <c r="I33" s="15" t="str">
        <f>IF(H33="",, H33 * vacancy_rate)
</f>
        <v/>
      </c>
      <c r="J33" s="15" t="str">
        <f>IF(H33="",, H33 * property_operating_expense)
</f>
        <v/>
      </c>
      <c r="K33" s="15" t="str">
        <f>IF(H33="",, H33 * property_mgmt_fee)
</f>
        <v/>
      </c>
      <c r="L33" s="15" t="str">
        <f t="shared" si="2"/>
        <v/>
      </c>
      <c r="M33" s="15" t="str">
        <f>IF(G33="",, -PMT(mortRate/12, mortTerm*12, G33) * 12)
</f>
        <v/>
      </c>
      <c r="N33" s="15">
        <f t="shared" si="3"/>
        <v>0</v>
      </c>
    </row>
    <row r="34">
      <c r="A34" s="8">
        <v>33.0</v>
      </c>
      <c r="B34" s="15" t="str">
        <f t="array" ref="B34">IFERROR( INDEX('RE Purchases'!$A:$A, MATCH($A34,'RE Purchases'!$B:$B,0)), )
</f>
        <v/>
      </c>
      <c r="C34" s="15" t="str">
        <f t="array" ref="C34">IFERROR( INDEX('RE Purchases'!$C:$C, MATCH($A34,'RE Purchases'!$B:$B,0)), )
</f>
        <v/>
      </c>
      <c r="D34" s="15" t="str">
        <f t="array" ref="D34">IFERROR( INDEX('RE Purchases'!$J:$J, MATCH($A34,'RE Purchases'!$B:$B,0)), )
</f>
        <v/>
      </c>
      <c r="E34" s="15" t="str">
        <f t="array" ref="E34">IFERROR( INDEX('RE Purchases'!$D:$D, MATCH($A34,'RE Purchases'!$B:$B,0)), )
</f>
        <v/>
      </c>
      <c r="F34" s="15" t="str">
        <f t="array" ref="F34">IFERROR( INDEX('RE Purchases'!$E:$E, MATCH($A34,'RE Purchases'!$B:$B,0)), )
</f>
        <v/>
      </c>
      <c r="G34" s="15" t="str">
        <f t="shared" si="1"/>
        <v/>
      </c>
      <c r="H34" s="15" t="str">
        <f>IF(C34="",, C34 * rent_price_ratio)
</f>
        <v/>
      </c>
      <c r="I34" s="15" t="str">
        <f>IF(H34="",, H34 * vacancy_rate)
</f>
        <v/>
      </c>
      <c r="J34" s="15" t="str">
        <f>IF(H34="",, H34 * property_operating_expense)
</f>
        <v/>
      </c>
      <c r="K34" s="15" t="str">
        <f>IF(H34="",, H34 * property_mgmt_fee)
</f>
        <v/>
      </c>
      <c r="L34" s="15" t="str">
        <f t="shared" si="2"/>
        <v/>
      </c>
      <c r="M34" s="15" t="str">
        <f>IF(G34="",, -PMT(mortRate/12, mortTerm*12, G34) * 12)
</f>
        <v/>
      </c>
      <c r="N34" s="15">
        <f t="shared" si="3"/>
        <v>0</v>
      </c>
    </row>
    <row r="35">
      <c r="A35" s="8">
        <v>34.0</v>
      </c>
      <c r="B35" s="15" t="str">
        <f t="array" ref="B35">IFERROR( INDEX('RE Purchases'!$A:$A, MATCH($A35,'RE Purchases'!$B:$B,0)), )
</f>
        <v/>
      </c>
      <c r="C35" s="15" t="str">
        <f t="array" ref="C35">IFERROR( INDEX('RE Purchases'!$C:$C, MATCH($A35,'RE Purchases'!$B:$B,0)), )
</f>
        <v/>
      </c>
      <c r="D35" s="15" t="str">
        <f t="array" ref="D35">IFERROR( INDEX('RE Purchases'!$J:$J, MATCH($A35,'RE Purchases'!$B:$B,0)), )
</f>
        <v/>
      </c>
      <c r="E35" s="15" t="str">
        <f t="array" ref="E35">IFERROR( INDEX('RE Purchases'!$D:$D, MATCH($A35,'RE Purchases'!$B:$B,0)), )
</f>
        <v/>
      </c>
      <c r="F35" s="15" t="str">
        <f t="array" ref="F35">IFERROR( INDEX('RE Purchases'!$E:$E, MATCH($A35,'RE Purchases'!$B:$B,0)), )
</f>
        <v/>
      </c>
      <c r="G35" s="15" t="str">
        <f t="shared" si="1"/>
        <v/>
      </c>
      <c r="H35" s="15" t="str">
        <f>IF(C35="",, C35 * rent_price_ratio)
</f>
        <v/>
      </c>
      <c r="I35" s="15" t="str">
        <f>IF(H35="",, H35 * vacancy_rate)
</f>
        <v/>
      </c>
      <c r="J35" s="15" t="str">
        <f>IF(H35="",, H35 * property_operating_expense)
</f>
        <v/>
      </c>
      <c r="K35" s="15" t="str">
        <f>IF(H35="",, H35 * property_mgmt_fee)
</f>
        <v/>
      </c>
      <c r="L35" s="15" t="str">
        <f t="shared" si="2"/>
        <v/>
      </c>
      <c r="M35" s="15" t="str">
        <f>IF(G35="",, -PMT(mortRate/12, mortTerm*12, G35) * 12)
</f>
        <v/>
      </c>
      <c r="N35" s="15">
        <f t="shared" si="3"/>
        <v>0</v>
      </c>
    </row>
    <row r="36">
      <c r="A36" s="8">
        <v>35.0</v>
      </c>
      <c r="B36" s="15" t="str">
        <f t="array" ref="B36">IFERROR( INDEX('RE Purchases'!$A:$A, MATCH($A36,'RE Purchases'!$B:$B,0)), )
</f>
        <v/>
      </c>
      <c r="C36" s="15" t="str">
        <f t="array" ref="C36">IFERROR( INDEX('RE Purchases'!$C:$C, MATCH($A36,'RE Purchases'!$B:$B,0)), )
</f>
        <v/>
      </c>
      <c r="D36" s="15" t="str">
        <f t="array" ref="D36">IFERROR( INDEX('RE Purchases'!$J:$J, MATCH($A36,'RE Purchases'!$B:$B,0)), )
</f>
        <v/>
      </c>
      <c r="E36" s="15" t="str">
        <f t="array" ref="E36">IFERROR( INDEX('RE Purchases'!$D:$D, MATCH($A36,'RE Purchases'!$B:$B,0)), )
</f>
        <v/>
      </c>
      <c r="F36" s="15" t="str">
        <f t="array" ref="F36">IFERROR( INDEX('RE Purchases'!$E:$E, MATCH($A36,'RE Purchases'!$B:$B,0)), )
</f>
        <v/>
      </c>
      <c r="G36" s="15" t="str">
        <f t="shared" si="1"/>
        <v/>
      </c>
      <c r="H36" s="15" t="str">
        <f>IF(C36="",, C36 * rent_price_ratio)
</f>
        <v/>
      </c>
      <c r="I36" s="15" t="str">
        <f>IF(H36="",, H36 * vacancy_rate)
</f>
        <v/>
      </c>
      <c r="J36" s="15" t="str">
        <f>IF(H36="",, H36 * property_operating_expense)
</f>
        <v/>
      </c>
      <c r="K36" s="15" t="str">
        <f>IF(H36="",, H36 * property_mgmt_fee)
</f>
        <v/>
      </c>
      <c r="L36" s="15" t="str">
        <f t="shared" si="2"/>
        <v/>
      </c>
      <c r="M36" s="15" t="str">
        <f>IF(G36="",, -PMT(mortRate/12, mortTerm*12, G36) * 12)
</f>
        <v/>
      </c>
      <c r="N36" s="15">
        <f t="shared" si="3"/>
        <v>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8" t="s">
        <v>132</v>
      </c>
      <c r="B1" s="8" t="s">
        <v>144</v>
      </c>
      <c r="C1" s="8" t="s">
        <v>147</v>
      </c>
      <c r="D1" s="8" t="s">
        <v>155</v>
      </c>
      <c r="E1" s="8" t="s">
        <v>79</v>
      </c>
      <c r="F1" s="8" t="s">
        <v>156</v>
      </c>
      <c r="G1" s="8" t="s">
        <v>157</v>
      </c>
      <c r="H1" s="8" t="s">
        <v>158</v>
      </c>
      <c r="I1" s="8" t="s">
        <v>159</v>
      </c>
      <c r="J1" s="8" t="s">
        <v>160</v>
      </c>
      <c r="K1" s="12" t="s">
        <v>161</v>
      </c>
      <c r="L1" s="8" t="s">
        <v>162</v>
      </c>
    </row>
    <row r="2">
      <c r="A2" s="15">
        <f>IFERROR(__xludf.DUMMYFUNCTION("IFERROR(INDEX(FILTER('RE Portfolio'!A$2:A2000,'RE Portfolio'!D$2:D2000=""BUY""), INT((ROW()-2)/amortYears)+1), )
"),1.0)</f>
        <v>1</v>
      </c>
      <c r="B2" s="15">
        <f>IFERROR(__xludf.DUMMYFUNCTION("IFERROR(INDEX(FILTER('RE Portfolio'!B$2:B2000,'RE Portfolio'!D$2:D2000=""BUY""), INT((ROW()-2)/amortYears)+1), )
"),28.0)</f>
        <v>28</v>
      </c>
      <c r="C2" s="15">
        <f>IFERROR(__xludf.DUMMYFUNCTION("IFERROR(INDEX(FILTER('RE Portfolio'!G$2:G2000,'RE Portfolio'!D$2:D2000=""BUY""), INT((ROW()-2)/amortYears)+1), )
"),248357.9003906249)</f>
        <v>248357.9004</v>
      </c>
      <c r="D2" s="15">
        <f>MOD(ROW()-2, amortYears)+1</f>
        <v>1</v>
      </c>
      <c r="E2" s="15">
        <f t="shared" ref="E2:E1401" si="1">IF(A2="","", B2 + D2 - 1)
</f>
        <v>28</v>
      </c>
      <c r="F2" s="15">
        <f t="shared" ref="F2:F1401" si="2">IF(D2=1, C2, J1)
</f>
        <v>248357.9004</v>
      </c>
      <c r="G2" s="16">
        <f>IF(D2&lt;=mortTerm, -PMT(mortRate/12, mortTerm*12, C2)*12, 0)
</f>
        <v>18837.49047</v>
      </c>
      <c r="H2" s="16">
        <f>IF(D2&lt;=mortTerm, G2 - I2, 0)
</f>
        <v>16061.53096</v>
      </c>
      <c r="I2" s="16">
        <f>IF(D2&lt;=mortTerm, F2 - J2, 0)
</f>
        <v>2775.959507</v>
      </c>
      <c r="J2" s="16">
        <f>IF(D2&lt;=mortTerm,
   F2*(1+mortRate/12)^12 - (-PMT(mortRate/12, mortTerm*12, C2))*(((1+mortRate/12)^12 - 1)/(mortRate/12)),
   0
)
</f>
        <v>245581.9409</v>
      </c>
      <c r="K2" s="13">
        <f>IFERROR(__xludf.DUMMYFUNCTION("IF(A2="""","""",
   IF(F2&gt;0,
      INDEX(FILTER('RE Portfolio'!L$2:L2000,'RE Portfolio'!D$2:D2000=""BUY""), INT((ROW()-2)/amortYears)+1) - G2,
      INDEX(FILTER('RE Portfolio'!L$2:L2000,'RE Portfolio'!D$2:D2000=""BUY""), INT((ROW()-2)/amortYears)+1)
   )"&amp;"
)
"),5799.61325249818)</f>
        <v>5799.613252</v>
      </c>
      <c r="L2" s="15">
        <f>IFERROR(__xludf.DUMMYFUNCTION("IF(A2="""","""",
  INDEX(FILTER('RE Portfolio'!C$2:C2000,'RE Portfolio'!D$2:D2000=""BUY""), INT((ROW()-2)/amortYears)+1)
  * (1 + VALUE(Assumptions!$B$11))^(D2-1)
)
"),331143.8671874999)</f>
        <v>331143.8672</v>
      </c>
    </row>
    <row r="3">
      <c r="A3" s="15">
        <f>IFERROR(__xludf.DUMMYFUNCTION("IFERROR(INDEX(FILTER('RE Portfolio'!A$2:A2000,'RE Portfolio'!D$2:D2000=""BUY""), INT((ROW()-2)/amortYears)+1), )
"),1.0)</f>
        <v>1</v>
      </c>
      <c r="B3" s="15">
        <f>IFERROR(__xludf.DUMMYFUNCTION("IFERROR(INDEX(FILTER('RE Portfolio'!B$2:B2000,'RE Portfolio'!D$2:D2000=""BUY""), INT((ROW()-2)/amortYears)+1), )
"),28.0)</f>
        <v>28</v>
      </c>
      <c r="C3" s="15">
        <f>IFERROR(__xludf.DUMMYFUNCTION("IFERROR(INDEX(FILTER('RE Portfolio'!G$2:G2000,'RE Portfolio'!D$2:D2000=""BUY""), INT((ROW()-2)/amortYears)+1), )
"),248357.9003906249)</f>
        <v>248357.9004</v>
      </c>
      <c r="D3" s="15">
        <f>MOD(ROW()-2, amortYears)+1</f>
        <v>2</v>
      </c>
      <c r="E3" s="15">
        <f t="shared" si="1"/>
        <v>29</v>
      </c>
      <c r="F3" s="16">
        <f t="shared" si="2"/>
        <v>245581.9409</v>
      </c>
      <c r="G3" s="16">
        <f>IF(D3&lt;=mortTerm, -PMT(mortRate/12, mortTerm*12, C3)*12, 0)
</f>
        <v>18837.49047</v>
      </c>
      <c r="H3" s="16">
        <f>IF(D3&lt;=mortTerm, G3 - I3, 0)
</f>
        <v>15875.61981</v>
      </c>
      <c r="I3" s="16">
        <f>IF(D3&lt;=mortTerm, F3 - J3, 0)
</f>
        <v>2961.870656</v>
      </c>
      <c r="J3" s="16">
        <f>IF(D3&lt;=mortTerm,
   F3*(1+mortRate/12)^12 - (-PMT(mortRate/12, mortTerm*12, C3))*(((1+mortRate/12)^12 - 1)/(mortRate/12)),
   0
)
</f>
        <v>242620.0702</v>
      </c>
      <c r="K3" s="13">
        <f>IFERROR(__xludf.DUMMYFUNCTION("IF(A3="""","""",
   IF(F3&gt;0,
      INDEX(FILTER('RE Portfolio'!L$2:L2000,'RE Portfolio'!D$2:D2000=""BUY""), INT((ROW()-2)/amortYears)+1) - G3,
      INDEX(FILTER('RE Portfolio'!L$2:L2000,'RE Portfolio'!D$2:D2000=""BUY""), INT((ROW()-2)/amortYears)+1)
   )"&amp;"
)
"),5799.61325249818)</f>
        <v>5799.613252</v>
      </c>
      <c r="L3" s="15">
        <f>IFERROR(__xludf.DUMMYFUNCTION("IF(A3="""","""",
  INDEX(FILTER('RE Portfolio'!C$2:C2000,'RE Portfolio'!D$2:D2000=""BUY""), INT((ROW()-2)/amortYears)+1)
  * (1 + VALUE(Assumptions!$B$11))^(D3-1)
)
"),344389.6218749999)</f>
        <v>344389.6219</v>
      </c>
    </row>
    <row r="4">
      <c r="A4" s="15">
        <f>IFERROR(__xludf.DUMMYFUNCTION("IFERROR(INDEX(FILTER('RE Portfolio'!A$2:A2000,'RE Portfolio'!D$2:D2000=""BUY""), INT((ROW()-2)/amortYears)+1), )
"),1.0)</f>
        <v>1</v>
      </c>
      <c r="B4" s="15">
        <f>IFERROR(__xludf.DUMMYFUNCTION("IFERROR(INDEX(FILTER('RE Portfolio'!B$2:B2000,'RE Portfolio'!D$2:D2000=""BUY""), INT((ROW()-2)/amortYears)+1), )
"),28.0)</f>
        <v>28</v>
      </c>
      <c r="C4" s="15">
        <f>IFERROR(__xludf.DUMMYFUNCTION("IFERROR(INDEX(FILTER('RE Portfolio'!G$2:G2000,'RE Portfolio'!D$2:D2000=""BUY""), INT((ROW()-2)/amortYears)+1), )
"),248357.9003906249)</f>
        <v>248357.9004</v>
      </c>
      <c r="D4" s="15">
        <f>MOD(ROW()-2, amortYears)+1</f>
        <v>3</v>
      </c>
      <c r="E4" s="15">
        <f t="shared" si="1"/>
        <v>30</v>
      </c>
      <c r="F4" s="16">
        <f t="shared" si="2"/>
        <v>242620.0702</v>
      </c>
      <c r="G4" s="16">
        <f>IF(D4&lt;=mortTerm, -PMT(mortRate/12, mortTerm*12, C4)*12, 0)
</f>
        <v>18837.49047</v>
      </c>
      <c r="H4" s="16">
        <f>IF(D4&lt;=mortTerm, G4 - I4, 0)
</f>
        <v>15677.25785</v>
      </c>
      <c r="I4" s="16">
        <f>IF(D4&lt;=mortTerm, F4 - J4, 0)
</f>
        <v>3160.232619</v>
      </c>
      <c r="J4" s="16">
        <f>IF(D4&lt;=mortTerm,
   F4*(1+mortRate/12)^12 - (-PMT(mortRate/12, mortTerm*12, C4))*(((1+mortRate/12)^12 - 1)/(mortRate/12)),
   0
)
</f>
        <v>239459.8376</v>
      </c>
      <c r="K4" s="13">
        <f>IFERROR(__xludf.DUMMYFUNCTION("IF(A4="""","""",
   IF(F4&gt;0,
      INDEX(FILTER('RE Portfolio'!L$2:L2000,'RE Portfolio'!D$2:D2000=""BUY""), INT((ROW()-2)/amortYears)+1) - G4,
      INDEX(FILTER('RE Portfolio'!L$2:L2000,'RE Portfolio'!D$2:D2000=""BUY""), INT((ROW()-2)/amortYears)+1)
   )"&amp;"
)
"),5799.61325249818)</f>
        <v>5799.613252</v>
      </c>
      <c r="L4" s="15">
        <f>IFERROR(__xludf.DUMMYFUNCTION("IF(A4="""","""",
  INDEX(FILTER('RE Portfolio'!C$2:C2000,'RE Portfolio'!D$2:D2000=""BUY""), INT((ROW()-2)/amortYears)+1)
  * (1 + VALUE(Assumptions!$B$11))^(D4-1)
)
"),358165.2067499999)</f>
        <v>358165.2068</v>
      </c>
    </row>
    <row r="5">
      <c r="A5" s="15">
        <f>IFERROR(__xludf.DUMMYFUNCTION("IFERROR(INDEX(FILTER('RE Portfolio'!A$2:A2000,'RE Portfolio'!D$2:D2000=""BUY""), INT((ROW()-2)/amortYears)+1), )
"),1.0)</f>
        <v>1</v>
      </c>
      <c r="B5" s="15">
        <f>IFERROR(__xludf.DUMMYFUNCTION("IFERROR(INDEX(FILTER('RE Portfolio'!B$2:B2000,'RE Portfolio'!D$2:D2000=""BUY""), INT((ROW()-2)/amortYears)+1), )
"),28.0)</f>
        <v>28</v>
      </c>
      <c r="C5" s="15">
        <f>IFERROR(__xludf.DUMMYFUNCTION("IFERROR(INDEX(FILTER('RE Portfolio'!G$2:G2000,'RE Portfolio'!D$2:D2000=""BUY""), INT((ROW()-2)/amortYears)+1), )
"),248357.9003906249)</f>
        <v>248357.9004</v>
      </c>
      <c r="D5" s="15">
        <f>MOD(ROW()-2, amortYears)+1</f>
        <v>4</v>
      </c>
      <c r="E5" s="15">
        <f t="shared" si="1"/>
        <v>31</v>
      </c>
      <c r="F5" s="16">
        <f t="shared" si="2"/>
        <v>239459.8376</v>
      </c>
      <c r="G5" s="16">
        <f>IF(D5&lt;=mortTerm, -PMT(mortRate/12, mortTerm*12, C5)*12, 0)
</f>
        <v>18837.49047</v>
      </c>
      <c r="H5" s="16">
        <f>IF(D5&lt;=mortTerm, G5 - I5, 0)
</f>
        <v>15465.61122</v>
      </c>
      <c r="I5" s="16">
        <f>IF(D5&lt;=mortTerm, F5 - J5, 0)
</f>
        <v>3371.879251</v>
      </c>
      <c r="J5" s="16">
        <f>IF(D5&lt;=mortTerm,
   F5*(1+mortRate/12)^12 - (-PMT(mortRate/12, mortTerm*12, C5))*(((1+mortRate/12)^12 - 1)/(mortRate/12)),
   0
)
</f>
        <v>236087.9584</v>
      </c>
      <c r="K5" s="13">
        <f>IFERROR(__xludf.DUMMYFUNCTION("IF(A5="""","""",
   IF(F5&gt;0,
      INDEX(FILTER('RE Portfolio'!L$2:L2000,'RE Portfolio'!D$2:D2000=""BUY""), INT((ROW()-2)/amortYears)+1) - G5,
      INDEX(FILTER('RE Portfolio'!L$2:L2000,'RE Portfolio'!D$2:D2000=""BUY""), INT((ROW()-2)/amortYears)+1)
   )"&amp;"
)
"),5799.61325249818)</f>
        <v>5799.613252</v>
      </c>
      <c r="L5" s="15">
        <f>IFERROR(__xludf.DUMMYFUNCTION("IF(A5="""","""",
  INDEX(FILTER('RE Portfolio'!C$2:C2000,'RE Portfolio'!D$2:D2000=""BUY""), INT((ROW()-2)/amortYears)+1)
  * (1 + VALUE(Assumptions!$B$11))^(D5-1)
)
"),372491.8150199999)</f>
        <v>372491.815</v>
      </c>
    </row>
    <row r="6">
      <c r="A6" s="15">
        <f>IFERROR(__xludf.DUMMYFUNCTION("IFERROR(INDEX(FILTER('RE Portfolio'!A$2:A2000,'RE Portfolio'!D$2:D2000=""BUY""), INT((ROW()-2)/amortYears)+1), )
"),1.0)</f>
        <v>1</v>
      </c>
      <c r="B6" s="15">
        <f>IFERROR(__xludf.DUMMYFUNCTION("IFERROR(INDEX(FILTER('RE Portfolio'!B$2:B2000,'RE Portfolio'!D$2:D2000=""BUY""), INT((ROW()-2)/amortYears)+1), )
"),28.0)</f>
        <v>28</v>
      </c>
      <c r="C6" s="15">
        <f>IFERROR(__xludf.DUMMYFUNCTION("IFERROR(INDEX(FILTER('RE Portfolio'!G$2:G2000,'RE Portfolio'!D$2:D2000=""BUY""), INT((ROW()-2)/amortYears)+1), )
"),248357.9003906249)</f>
        <v>248357.9004</v>
      </c>
      <c r="D6" s="15">
        <f>MOD(ROW()-2, amortYears)+1</f>
        <v>5</v>
      </c>
      <c r="E6" s="15">
        <f t="shared" si="1"/>
        <v>32</v>
      </c>
      <c r="F6" s="16">
        <f t="shared" si="2"/>
        <v>236087.9584</v>
      </c>
      <c r="G6" s="16">
        <f>IF(D6&lt;=mortTerm, -PMT(mortRate/12, mortTerm*12, C6)*12, 0)
</f>
        <v>18837.49047</v>
      </c>
      <c r="H6" s="16">
        <f>IF(D6&lt;=mortTerm, G6 - I6, 0)
</f>
        <v>15239.79022</v>
      </c>
      <c r="I6" s="16">
        <f>IF(D6&lt;=mortTerm, F6 - J6, 0)
</f>
        <v>3597.700249</v>
      </c>
      <c r="J6" s="16">
        <f>IF(D6&lt;=mortTerm,
   F6*(1+mortRate/12)^12 - (-PMT(mortRate/12, mortTerm*12, C6))*(((1+mortRate/12)^12 - 1)/(mortRate/12)),
   0
)
</f>
        <v>232490.2581</v>
      </c>
      <c r="K6" s="13">
        <f>IFERROR(__xludf.DUMMYFUNCTION("IF(A6="""","""",
   IF(F6&gt;0,
      INDEX(FILTER('RE Portfolio'!L$2:L2000,'RE Portfolio'!D$2:D2000=""BUY""), INT((ROW()-2)/amortYears)+1) - G6,
      INDEX(FILTER('RE Portfolio'!L$2:L2000,'RE Portfolio'!D$2:D2000=""BUY""), INT((ROW()-2)/amortYears)+1)
   )"&amp;"
)
"),5799.61325249818)</f>
        <v>5799.613252</v>
      </c>
      <c r="L6" s="15">
        <f>IFERROR(__xludf.DUMMYFUNCTION("IF(A6="""","""",
  INDEX(FILTER('RE Portfolio'!C$2:C2000,'RE Portfolio'!D$2:D2000=""BUY""), INT((ROW()-2)/amortYears)+1)
  * (1 + VALUE(Assumptions!$B$11))^(D6-1)
)
"),387391.4876207999)</f>
        <v>387391.4876</v>
      </c>
    </row>
    <row r="7">
      <c r="A7" s="15">
        <f>IFERROR(__xludf.DUMMYFUNCTION("IFERROR(INDEX(FILTER('RE Portfolio'!A$2:A2000,'RE Portfolio'!D$2:D2000=""BUY""), INT((ROW()-2)/amortYears)+1), )
"),1.0)</f>
        <v>1</v>
      </c>
      <c r="B7" s="15">
        <f>IFERROR(__xludf.DUMMYFUNCTION("IFERROR(INDEX(FILTER('RE Portfolio'!B$2:B2000,'RE Portfolio'!D$2:D2000=""BUY""), INT((ROW()-2)/amortYears)+1), )
"),28.0)</f>
        <v>28</v>
      </c>
      <c r="C7" s="15">
        <f>IFERROR(__xludf.DUMMYFUNCTION("IFERROR(INDEX(FILTER('RE Portfolio'!G$2:G2000,'RE Portfolio'!D$2:D2000=""BUY""), INT((ROW()-2)/amortYears)+1), )
"),248357.9003906249)</f>
        <v>248357.9004</v>
      </c>
      <c r="D7" s="15">
        <f>MOD(ROW()-2, amortYears)+1</f>
        <v>6</v>
      </c>
      <c r="E7" s="15">
        <f t="shared" si="1"/>
        <v>33</v>
      </c>
      <c r="F7" s="16">
        <f t="shared" si="2"/>
        <v>232490.2581</v>
      </c>
      <c r="G7" s="16">
        <f>IF(D7&lt;=mortTerm, -PMT(mortRate/12, mortTerm*12, C7)*12, 0)
</f>
        <v>18837.49047</v>
      </c>
      <c r="H7" s="16">
        <f>IF(D7&lt;=mortTerm, G7 - I7, 0)
</f>
        <v>14998.84557</v>
      </c>
      <c r="I7" s="16">
        <f>IF(D7&lt;=mortTerm, F7 - J7, 0)
</f>
        <v>3838.644897</v>
      </c>
      <c r="J7" s="16">
        <f>IF(D7&lt;=mortTerm,
   F7*(1+mortRate/12)^12 - (-PMT(mortRate/12, mortTerm*12, C7))*(((1+mortRate/12)^12 - 1)/(mortRate/12)),
   0
)
</f>
        <v>228651.6132</v>
      </c>
      <c r="K7" s="13">
        <f>IFERROR(__xludf.DUMMYFUNCTION("IF(A7="""","""",
   IF(F7&gt;0,
      INDEX(FILTER('RE Portfolio'!L$2:L2000,'RE Portfolio'!D$2:D2000=""BUY""), INT((ROW()-2)/amortYears)+1) - G7,
      INDEX(FILTER('RE Portfolio'!L$2:L2000,'RE Portfolio'!D$2:D2000=""BUY""), INT((ROW()-2)/amortYears)+1)
   )"&amp;"
)
"),5799.61325249818)</f>
        <v>5799.613252</v>
      </c>
      <c r="L7" s="15">
        <f>IFERROR(__xludf.DUMMYFUNCTION("IF(A7="""","""",
  INDEX(FILTER('RE Portfolio'!C$2:C2000,'RE Portfolio'!D$2:D2000=""BUY""), INT((ROW()-2)/amortYears)+1)
  * (1 + VALUE(Assumptions!$B$11))^(D7-1)
)
"),402887.1471256319)</f>
        <v>402887.1471</v>
      </c>
    </row>
    <row r="8">
      <c r="A8" s="15">
        <f>IFERROR(__xludf.DUMMYFUNCTION("IFERROR(INDEX(FILTER('RE Portfolio'!A$2:A2000,'RE Portfolio'!D$2:D2000=""BUY""), INT((ROW()-2)/amortYears)+1), )
"),1.0)</f>
        <v>1</v>
      </c>
      <c r="B8" s="15">
        <f>IFERROR(__xludf.DUMMYFUNCTION("IFERROR(INDEX(FILTER('RE Portfolio'!B$2:B2000,'RE Portfolio'!D$2:D2000=""BUY""), INT((ROW()-2)/amortYears)+1), )
"),28.0)</f>
        <v>28</v>
      </c>
      <c r="C8" s="15">
        <f>IFERROR(__xludf.DUMMYFUNCTION("IFERROR(INDEX(FILTER('RE Portfolio'!G$2:G2000,'RE Portfolio'!D$2:D2000=""BUY""), INT((ROW()-2)/amortYears)+1), )
"),248357.9003906249)</f>
        <v>248357.9004</v>
      </c>
      <c r="D8" s="15">
        <f>MOD(ROW()-2, amortYears)+1</f>
        <v>7</v>
      </c>
      <c r="E8" s="15">
        <f t="shared" si="1"/>
        <v>34</v>
      </c>
      <c r="F8" s="16">
        <f t="shared" si="2"/>
        <v>228651.6132</v>
      </c>
      <c r="G8" s="16">
        <f>IF(D8&lt;=mortTerm, -PMT(mortRate/12, mortTerm*12, C8)*12, 0)
</f>
        <v>18837.49047</v>
      </c>
      <c r="H8" s="16">
        <f>IF(D8&lt;=mortTerm, G8 - I8, 0)
</f>
        <v>14741.76441</v>
      </c>
      <c r="I8" s="16">
        <f>IF(D8&lt;=mortTerm, F8 - J8, 0)
</f>
        <v>4095.726055</v>
      </c>
      <c r="J8" s="16">
        <f>IF(D8&lt;=mortTerm,
   F8*(1+mortRate/12)^12 - (-PMT(mortRate/12, mortTerm*12, C8))*(((1+mortRate/12)^12 - 1)/(mortRate/12)),
   0
)
</f>
        <v>224555.8872</v>
      </c>
      <c r="K8" s="13">
        <f>IFERROR(__xludf.DUMMYFUNCTION("IF(A8="""","""",
   IF(F8&gt;0,
      INDEX(FILTER('RE Portfolio'!L$2:L2000,'RE Portfolio'!D$2:D2000=""BUY""), INT((ROW()-2)/amortYears)+1) - G8,
      INDEX(FILTER('RE Portfolio'!L$2:L2000,'RE Portfolio'!D$2:D2000=""BUY""), INT((ROW()-2)/amortYears)+1)
   )"&amp;"
)
"),5799.61325249818)</f>
        <v>5799.613252</v>
      </c>
      <c r="L8" s="15">
        <f>IFERROR(__xludf.DUMMYFUNCTION("IF(A8="""","""",
  INDEX(FILTER('RE Portfolio'!C$2:C2000,'RE Portfolio'!D$2:D2000=""BUY""), INT((ROW()-2)/amortYears)+1)
  * (1 + VALUE(Assumptions!$B$11))^(D8-1)
)
"),419002.6330106573)</f>
        <v>419002.633</v>
      </c>
    </row>
    <row r="9">
      <c r="A9" s="15">
        <f>IFERROR(__xludf.DUMMYFUNCTION("IFERROR(INDEX(FILTER('RE Portfolio'!A$2:A2000,'RE Portfolio'!D$2:D2000=""BUY""), INT((ROW()-2)/amortYears)+1), )
"),1.0)</f>
        <v>1</v>
      </c>
      <c r="B9" s="15">
        <f>IFERROR(__xludf.DUMMYFUNCTION("IFERROR(INDEX(FILTER('RE Portfolio'!B$2:B2000,'RE Portfolio'!D$2:D2000=""BUY""), INT((ROW()-2)/amortYears)+1), )
"),28.0)</f>
        <v>28</v>
      </c>
      <c r="C9" s="15">
        <f>IFERROR(__xludf.DUMMYFUNCTION("IFERROR(INDEX(FILTER('RE Portfolio'!G$2:G2000,'RE Portfolio'!D$2:D2000=""BUY""), INT((ROW()-2)/amortYears)+1), )
"),248357.9003906249)</f>
        <v>248357.9004</v>
      </c>
      <c r="D9" s="15">
        <f>MOD(ROW()-2, amortYears)+1</f>
        <v>8</v>
      </c>
      <c r="E9" s="15">
        <f t="shared" si="1"/>
        <v>35</v>
      </c>
      <c r="F9" s="16">
        <f t="shared" si="2"/>
        <v>224555.8872</v>
      </c>
      <c r="G9" s="16">
        <f>IF(D9&lt;=mortTerm, -PMT(mortRate/12, mortTerm*12, C9)*12, 0)
</f>
        <v>18837.49047</v>
      </c>
      <c r="H9" s="16">
        <f>IF(D9&lt;=mortTerm, G9 - I9, 0)
</f>
        <v>14467.46605</v>
      </c>
      <c r="I9" s="16">
        <f>IF(D9&lt;=mortTerm, F9 - J9, 0)
</f>
        <v>4370.024415</v>
      </c>
      <c r="J9" s="16">
        <f>IF(D9&lt;=mortTerm,
   F9*(1+mortRate/12)^12 - (-PMT(mortRate/12, mortTerm*12, C9))*(((1+mortRate/12)^12 - 1)/(mortRate/12)),
   0
)
</f>
        <v>220185.8627</v>
      </c>
      <c r="K9" s="13">
        <f>IFERROR(__xludf.DUMMYFUNCTION("IF(A9="""","""",
   IF(F9&gt;0,
      INDEX(FILTER('RE Portfolio'!L$2:L2000,'RE Portfolio'!D$2:D2000=""BUY""), INT((ROW()-2)/amortYears)+1) - G9,
      INDEX(FILTER('RE Portfolio'!L$2:L2000,'RE Portfolio'!D$2:D2000=""BUY""), INT((ROW()-2)/amortYears)+1)
   )"&amp;"
)
"),5799.61325249818)</f>
        <v>5799.613252</v>
      </c>
      <c r="L9" s="15">
        <f>IFERROR(__xludf.DUMMYFUNCTION("IF(A9="""","""",
  INDEX(FILTER('RE Portfolio'!C$2:C2000,'RE Portfolio'!D$2:D2000=""BUY""), INT((ROW()-2)/amortYears)+1)
  * (1 + VALUE(Assumptions!$B$11))^(D9-1)
)
"),435762.7383310835)</f>
        <v>435762.7383</v>
      </c>
    </row>
    <row r="10">
      <c r="A10" s="15">
        <f>IFERROR(__xludf.DUMMYFUNCTION("IFERROR(INDEX(FILTER('RE Portfolio'!A$2:A2000,'RE Portfolio'!D$2:D2000=""BUY""), INT((ROW()-2)/amortYears)+1), )
"),1.0)</f>
        <v>1</v>
      </c>
      <c r="B10" s="15">
        <f>IFERROR(__xludf.DUMMYFUNCTION("IFERROR(INDEX(FILTER('RE Portfolio'!B$2:B2000,'RE Portfolio'!D$2:D2000=""BUY""), INT((ROW()-2)/amortYears)+1), )
"),28.0)</f>
        <v>28</v>
      </c>
      <c r="C10" s="15">
        <f>IFERROR(__xludf.DUMMYFUNCTION("IFERROR(INDEX(FILTER('RE Portfolio'!G$2:G2000,'RE Portfolio'!D$2:D2000=""BUY""), INT((ROW()-2)/amortYears)+1), )
"),248357.9003906249)</f>
        <v>248357.9004</v>
      </c>
      <c r="D10" s="15">
        <f>MOD(ROW()-2, amortYears)+1</f>
        <v>9</v>
      </c>
      <c r="E10" s="15">
        <f t="shared" si="1"/>
        <v>36</v>
      </c>
      <c r="F10" s="16">
        <f t="shared" si="2"/>
        <v>220185.8627</v>
      </c>
      <c r="G10" s="16">
        <f>IF(D10&lt;=mortTerm, -PMT(mortRate/12, mortTerm*12, C10)*12, 0)
</f>
        <v>18837.49047</v>
      </c>
      <c r="H10" s="16">
        <f>IF(D10&lt;=mortTerm, G10 - I10, 0)
</f>
        <v>14174.79742</v>
      </c>
      <c r="I10" s="16">
        <f>IF(D10&lt;=mortTerm, F10 - J10, 0)
</f>
        <v>4662.693043</v>
      </c>
      <c r="J10" s="16">
        <f>IF(D10&lt;=mortTerm,
   F10*(1+mortRate/12)^12 - (-PMT(mortRate/12, mortTerm*12, C10))*(((1+mortRate/12)^12 - 1)/(mortRate/12)),
   0
)
</f>
        <v>215523.1697</v>
      </c>
      <c r="K10" s="13">
        <f>IFERROR(__xludf.DUMMYFUNCTION("IF(A10="""","""",
   IF(F10&gt;0,
      INDEX(FILTER('RE Portfolio'!L$2:L2000,'RE Portfolio'!D$2:D2000=""BUY""), INT((ROW()-2)/amortYears)+1) - G10,
      INDEX(FILTER('RE Portfolio'!L$2:L2000,'RE Portfolio'!D$2:D2000=""BUY""), INT((ROW()-2)/amortYears)+1)
 "&amp;"  )
)
"),5799.61325249818)</f>
        <v>5799.613252</v>
      </c>
      <c r="L10" s="15">
        <f>IFERROR(__xludf.DUMMYFUNCTION("IF(A10="""","""",
  INDEX(FILTER('RE Portfolio'!C$2:C2000,'RE Portfolio'!D$2:D2000=""BUY""), INT((ROW()-2)/amortYears)+1)
  * (1 + VALUE(Assumptions!$B$11))^(D10-1)
)
"),453193.24786432687)</f>
        <v>453193.2479</v>
      </c>
    </row>
    <row r="11">
      <c r="A11" s="15">
        <f>IFERROR(__xludf.DUMMYFUNCTION("IFERROR(INDEX(FILTER('RE Portfolio'!A$2:A2000,'RE Portfolio'!D$2:D2000=""BUY""), INT((ROW()-2)/amortYears)+1), )
"),1.0)</f>
        <v>1</v>
      </c>
      <c r="B11" s="15">
        <f>IFERROR(__xludf.DUMMYFUNCTION("IFERROR(INDEX(FILTER('RE Portfolio'!B$2:B2000,'RE Portfolio'!D$2:D2000=""BUY""), INT((ROW()-2)/amortYears)+1), )
"),28.0)</f>
        <v>28</v>
      </c>
      <c r="C11" s="15">
        <f>IFERROR(__xludf.DUMMYFUNCTION("IFERROR(INDEX(FILTER('RE Portfolio'!G$2:G2000,'RE Portfolio'!D$2:D2000=""BUY""), INT((ROW()-2)/amortYears)+1), )
"),248357.9003906249)</f>
        <v>248357.9004</v>
      </c>
      <c r="D11" s="15">
        <f>MOD(ROW()-2, amortYears)+1</f>
        <v>10</v>
      </c>
      <c r="E11" s="15">
        <f t="shared" si="1"/>
        <v>37</v>
      </c>
      <c r="F11" s="16">
        <f t="shared" si="2"/>
        <v>215523.1697</v>
      </c>
      <c r="G11" s="16">
        <f>IF(D11&lt;=mortTerm, -PMT(mortRate/12, mortTerm*12, C11)*12, 0)
</f>
        <v>18837.49047</v>
      </c>
      <c r="H11" s="16">
        <f>IF(D11&lt;=mortTerm, G11 - I11, 0)
</f>
        <v>13862.52823</v>
      </c>
      <c r="I11" s="16">
        <f>IF(D11&lt;=mortTerm, F11 - J11, 0)
</f>
        <v>4974.962231</v>
      </c>
      <c r="J11" s="16">
        <f>IF(D11&lt;=mortTerm,
   F11*(1+mortRate/12)^12 - (-PMT(mortRate/12, mortTerm*12, C11))*(((1+mortRate/12)^12 - 1)/(mortRate/12)),
   0
)
</f>
        <v>210548.2075</v>
      </c>
      <c r="K11" s="13">
        <f>IFERROR(__xludf.DUMMYFUNCTION("IF(A11="""","""",
   IF(F11&gt;0,
      INDEX(FILTER('RE Portfolio'!L$2:L2000,'RE Portfolio'!D$2:D2000=""BUY""), INT((ROW()-2)/amortYears)+1) - G11,
      INDEX(FILTER('RE Portfolio'!L$2:L2000,'RE Portfolio'!D$2:D2000=""BUY""), INT((ROW()-2)/amortYears)+1)
 "&amp;"  )
)
"),5799.61325249818)</f>
        <v>5799.613252</v>
      </c>
      <c r="L11" s="15">
        <f>IFERROR(__xludf.DUMMYFUNCTION("IF(A11="""","""",
  INDEX(FILTER('RE Portfolio'!C$2:C2000,'RE Portfolio'!D$2:D2000=""BUY""), INT((ROW()-2)/amortYears)+1)
  * (1 + VALUE(Assumptions!$B$11))^(D11-1)
)
"),471320.97777889995)</f>
        <v>471320.9778</v>
      </c>
    </row>
    <row r="12">
      <c r="A12" s="15">
        <f>IFERROR(__xludf.DUMMYFUNCTION("IFERROR(INDEX(FILTER('RE Portfolio'!A$2:A2000,'RE Portfolio'!D$2:D2000=""BUY""), INT((ROW()-2)/amortYears)+1), )
"),1.0)</f>
        <v>1</v>
      </c>
      <c r="B12" s="15">
        <f>IFERROR(__xludf.DUMMYFUNCTION("IFERROR(INDEX(FILTER('RE Portfolio'!B$2:B2000,'RE Portfolio'!D$2:D2000=""BUY""), INT((ROW()-2)/amortYears)+1), )
"),28.0)</f>
        <v>28</v>
      </c>
      <c r="C12" s="15">
        <f>IFERROR(__xludf.DUMMYFUNCTION("IFERROR(INDEX(FILTER('RE Portfolio'!G$2:G2000,'RE Portfolio'!D$2:D2000=""BUY""), INT((ROW()-2)/amortYears)+1), )
"),248357.9003906249)</f>
        <v>248357.9004</v>
      </c>
      <c r="D12" s="15">
        <f>MOD(ROW()-2, amortYears)+1</f>
        <v>11</v>
      </c>
      <c r="E12" s="15">
        <f t="shared" si="1"/>
        <v>38</v>
      </c>
      <c r="F12" s="16">
        <f t="shared" si="2"/>
        <v>210548.2075</v>
      </c>
      <c r="G12" s="16">
        <f>IF(D12&lt;=mortTerm, -PMT(mortRate/12, mortTerm*12, C12)*12, 0)
</f>
        <v>18837.49047</v>
      </c>
      <c r="H12" s="16">
        <f>IF(D12&lt;=mortTerm, G12 - I12, 0)
</f>
        <v>13529.3458</v>
      </c>
      <c r="I12" s="16">
        <f>IF(D12&lt;=mortTerm, F12 - J12, 0)
</f>
        <v>5308.144666</v>
      </c>
      <c r="J12" s="16">
        <f>IF(D12&lt;=mortTerm,
   F12*(1+mortRate/12)^12 - (-PMT(mortRate/12, mortTerm*12, C12))*(((1+mortRate/12)^12 - 1)/(mortRate/12)),
   0
)
</f>
        <v>205240.0628</v>
      </c>
      <c r="K12" s="13">
        <f>IFERROR(__xludf.DUMMYFUNCTION("IF(A12="""","""",
   IF(F12&gt;0,
      INDEX(FILTER('RE Portfolio'!L$2:L2000,'RE Portfolio'!D$2:D2000=""BUY""), INT((ROW()-2)/amortYears)+1) - G12,
      INDEX(FILTER('RE Portfolio'!L$2:L2000,'RE Portfolio'!D$2:D2000=""BUY""), INT((ROW()-2)/amortYears)+1)
 "&amp;"  )
)
"),5799.61325249818)</f>
        <v>5799.613252</v>
      </c>
      <c r="L12" s="15">
        <f>IFERROR(__xludf.DUMMYFUNCTION("IF(A12="""","""",
  INDEX(FILTER('RE Portfolio'!C$2:C2000,'RE Portfolio'!D$2:D2000=""BUY""), INT((ROW()-2)/amortYears)+1)
  * (1 + VALUE(Assumptions!$B$11))^(D12-1)
)
"),490173.81689005595)</f>
        <v>490173.8169</v>
      </c>
    </row>
    <row r="13">
      <c r="A13" s="15">
        <f>IFERROR(__xludf.DUMMYFUNCTION("IFERROR(INDEX(FILTER('RE Portfolio'!A$2:A2000,'RE Portfolio'!D$2:D2000=""BUY""), INT((ROW()-2)/amortYears)+1), )
"),1.0)</f>
        <v>1</v>
      </c>
      <c r="B13" s="15">
        <f>IFERROR(__xludf.DUMMYFUNCTION("IFERROR(INDEX(FILTER('RE Portfolio'!B$2:B2000,'RE Portfolio'!D$2:D2000=""BUY""), INT((ROW()-2)/amortYears)+1), )
"),28.0)</f>
        <v>28</v>
      </c>
      <c r="C13" s="15">
        <f>IFERROR(__xludf.DUMMYFUNCTION("IFERROR(INDEX(FILTER('RE Portfolio'!G$2:G2000,'RE Portfolio'!D$2:D2000=""BUY""), INT((ROW()-2)/amortYears)+1), )
"),248357.9003906249)</f>
        <v>248357.9004</v>
      </c>
      <c r="D13" s="15">
        <f>MOD(ROW()-2, amortYears)+1</f>
        <v>12</v>
      </c>
      <c r="E13" s="15">
        <f t="shared" si="1"/>
        <v>39</v>
      </c>
      <c r="F13" s="16">
        <f t="shared" si="2"/>
        <v>205240.0628</v>
      </c>
      <c r="G13" s="16">
        <f>IF(D13&lt;=mortTerm, -PMT(mortRate/12, mortTerm*12, C13)*12, 0)
</f>
        <v>18837.49047</v>
      </c>
      <c r="H13" s="16">
        <f>IF(D13&lt;=mortTerm, G13 - I13, 0)
</f>
        <v>13173.84952</v>
      </c>
      <c r="I13" s="16">
        <f>IF(D13&lt;=mortTerm, F13 - J13, 0)
</f>
        <v>5663.640944</v>
      </c>
      <c r="J13" s="16">
        <f>IF(D13&lt;=mortTerm,
   F13*(1+mortRate/12)^12 - (-PMT(mortRate/12, mortTerm*12, C13))*(((1+mortRate/12)^12 - 1)/(mortRate/12)),
   0
)
</f>
        <v>199576.4219</v>
      </c>
      <c r="K13" s="13">
        <f>IFERROR(__xludf.DUMMYFUNCTION("IF(A13="""","""",
   IF(F13&gt;0,
      INDEX(FILTER('RE Portfolio'!L$2:L2000,'RE Portfolio'!D$2:D2000=""BUY""), INT((ROW()-2)/amortYears)+1) - G13,
      INDEX(FILTER('RE Portfolio'!L$2:L2000,'RE Portfolio'!D$2:D2000=""BUY""), INT((ROW()-2)/amortYears)+1)
 "&amp;"  )
)
"),5799.61325249818)</f>
        <v>5799.613252</v>
      </c>
      <c r="L13" s="15">
        <f>IFERROR(__xludf.DUMMYFUNCTION("IF(A13="""","""",
  INDEX(FILTER('RE Portfolio'!C$2:C2000,'RE Portfolio'!D$2:D2000=""BUY""), INT((ROW()-2)/amortYears)+1)
  * (1 + VALUE(Assumptions!$B$11))^(D13-1)
)
"),509780.76956565824)</f>
        <v>509780.7696</v>
      </c>
    </row>
    <row r="14">
      <c r="A14" s="15">
        <f>IFERROR(__xludf.DUMMYFUNCTION("IFERROR(INDEX(FILTER('RE Portfolio'!A$2:A2000,'RE Portfolio'!D$2:D2000=""BUY""), INT((ROW()-2)/amortYears)+1), )
"),1.0)</f>
        <v>1</v>
      </c>
      <c r="B14" s="15">
        <f>IFERROR(__xludf.DUMMYFUNCTION("IFERROR(INDEX(FILTER('RE Portfolio'!B$2:B2000,'RE Portfolio'!D$2:D2000=""BUY""), INT((ROW()-2)/amortYears)+1), )
"),28.0)</f>
        <v>28</v>
      </c>
      <c r="C14" s="15">
        <f>IFERROR(__xludf.DUMMYFUNCTION("IFERROR(INDEX(FILTER('RE Portfolio'!G$2:G2000,'RE Portfolio'!D$2:D2000=""BUY""), INT((ROW()-2)/amortYears)+1), )
"),248357.9003906249)</f>
        <v>248357.9004</v>
      </c>
      <c r="D14" s="15">
        <f>MOD(ROW()-2, amortYears)+1</f>
        <v>13</v>
      </c>
      <c r="E14" s="15">
        <f t="shared" si="1"/>
        <v>40</v>
      </c>
      <c r="F14" s="16">
        <f t="shared" si="2"/>
        <v>199576.4219</v>
      </c>
      <c r="G14" s="16">
        <f>IF(D14&lt;=mortTerm, -PMT(mortRate/12, mortTerm*12, C14)*12, 0)
</f>
        <v>18837.49047</v>
      </c>
      <c r="H14" s="16">
        <f>IF(D14&lt;=mortTerm, G14 - I14, 0)
</f>
        <v>12794.545</v>
      </c>
      <c r="I14" s="16">
        <f>IF(D14&lt;=mortTerm, F14 - J14, 0)
</f>
        <v>6042.945468</v>
      </c>
      <c r="J14" s="16">
        <f>IF(D14&lt;=mortTerm,
   F14*(1+mortRate/12)^12 - (-PMT(mortRate/12, mortTerm*12, C14))*(((1+mortRate/12)^12 - 1)/(mortRate/12)),
   0
)
</f>
        <v>193533.4764</v>
      </c>
      <c r="K14" s="13">
        <f>IFERROR(__xludf.DUMMYFUNCTION("IF(A14="""","""",
   IF(F14&gt;0,
      INDEX(FILTER('RE Portfolio'!L$2:L2000,'RE Portfolio'!D$2:D2000=""BUY""), INT((ROW()-2)/amortYears)+1) - G14,
      INDEX(FILTER('RE Portfolio'!L$2:L2000,'RE Portfolio'!D$2:D2000=""BUY""), INT((ROW()-2)/amortYears)+1)
 "&amp;"  )
)
"),5799.61325249818)</f>
        <v>5799.613252</v>
      </c>
      <c r="L14" s="15">
        <f>IFERROR(__xludf.DUMMYFUNCTION("IF(A14="""","""",
  INDEX(FILTER('RE Portfolio'!C$2:C2000,'RE Portfolio'!D$2:D2000=""BUY""), INT((ROW()-2)/amortYears)+1)
  * (1 + VALUE(Assumptions!$B$11))^(D14-1)
)
"),530172.0003482846)</f>
        <v>530172.0003</v>
      </c>
    </row>
    <row r="15">
      <c r="A15" s="15">
        <f>IFERROR(__xludf.DUMMYFUNCTION("IFERROR(INDEX(FILTER('RE Portfolio'!A$2:A2000,'RE Portfolio'!D$2:D2000=""BUY""), INT((ROW()-2)/amortYears)+1), )
"),1.0)</f>
        <v>1</v>
      </c>
      <c r="B15" s="15">
        <f>IFERROR(__xludf.DUMMYFUNCTION("IFERROR(INDEX(FILTER('RE Portfolio'!B$2:B2000,'RE Portfolio'!D$2:D2000=""BUY""), INT((ROW()-2)/amortYears)+1), )
"),28.0)</f>
        <v>28</v>
      </c>
      <c r="C15" s="15">
        <f>IFERROR(__xludf.DUMMYFUNCTION("IFERROR(INDEX(FILTER('RE Portfolio'!G$2:G2000,'RE Portfolio'!D$2:D2000=""BUY""), INT((ROW()-2)/amortYears)+1), )
"),248357.9003906249)</f>
        <v>248357.9004</v>
      </c>
      <c r="D15" s="15">
        <f>MOD(ROW()-2, amortYears)+1</f>
        <v>14</v>
      </c>
      <c r="E15" s="15">
        <f t="shared" si="1"/>
        <v>41</v>
      </c>
      <c r="F15" s="16">
        <f t="shared" si="2"/>
        <v>193533.4764</v>
      </c>
      <c r="G15" s="16">
        <f>IF(D15&lt;=mortTerm, -PMT(mortRate/12, mortTerm*12, C15)*12, 0)
</f>
        <v>18837.49047</v>
      </c>
      <c r="H15" s="16">
        <f>IF(D15&lt;=mortTerm, G15 - I15, 0)
</f>
        <v>12389.83775</v>
      </c>
      <c r="I15" s="16">
        <f>IF(D15&lt;=mortTerm, F15 - J15, 0)
</f>
        <v>6447.652717</v>
      </c>
      <c r="J15" s="16">
        <f>IF(D15&lt;=mortTerm,
   F15*(1+mortRate/12)^12 - (-PMT(mortRate/12, mortTerm*12, C15))*(((1+mortRate/12)^12 - 1)/(mortRate/12)),
   0
)
</f>
        <v>187085.8237</v>
      </c>
      <c r="K15" s="13">
        <f>IFERROR(__xludf.DUMMYFUNCTION("IF(A15="""","""",
   IF(F15&gt;0,
      INDEX(FILTER('RE Portfolio'!L$2:L2000,'RE Portfolio'!D$2:D2000=""BUY""), INT((ROW()-2)/amortYears)+1) - G15,
      INDEX(FILTER('RE Portfolio'!L$2:L2000,'RE Portfolio'!D$2:D2000=""BUY""), INT((ROW()-2)/amortYears)+1)
 "&amp;"  )
)
"),5799.61325249818)</f>
        <v>5799.613252</v>
      </c>
      <c r="L15" s="15">
        <f>IFERROR(__xludf.DUMMYFUNCTION("IF(A15="""","""",
  INDEX(FILTER('RE Portfolio'!C$2:C2000,'RE Portfolio'!D$2:D2000=""BUY""), INT((ROW()-2)/amortYears)+1)
  * (1 + VALUE(Assumptions!$B$11))^(D15-1)
)
"),551378.880362216)</f>
        <v>551378.8804</v>
      </c>
    </row>
    <row r="16">
      <c r="A16" s="15">
        <f>IFERROR(__xludf.DUMMYFUNCTION("IFERROR(INDEX(FILTER('RE Portfolio'!A$2:A2000,'RE Portfolio'!D$2:D2000=""BUY""), INT((ROW()-2)/amortYears)+1), )
"),1.0)</f>
        <v>1</v>
      </c>
      <c r="B16" s="15">
        <f>IFERROR(__xludf.DUMMYFUNCTION("IFERROR(INDEX(FILTER('RE Portfolio'!B$2:B2000,'RE Portfolio'!D$2:D2000=""BUY""), INT((ROW()-2)/amortYears)+1), )
"),28.0)</f>
        <v>28</v>
      </c>
      <c r="C16" s="15">
        <f>IFERROR(__xludf.DUMMYFUNCTION("IFERROR(INDEX(FILTER('RE Portfolio'!G$2:G2000,'RE Portfolio'!D$2:D2000=""BUY""), INT((ROW()-2)/amortYears)+1), )
"),248357.9003906249)</f>
        <v>248357.9004</v>
      </c>
      <c r="D16" s="15">
        <f>MOD(ROW()-2, amortYears)+1</f>
        <v>15</v>
      </c>
      <c r="E16" s="15">
        <f t="shared" si="1"/>
        <v>42</v>
      </c>
      <c r="F16" s="16">
        <f t="shared" si="2"/>
        <v>187085.8237</v>
      </c>
      <c r="G16" s="16">
        <f>IF(D16&lt;=mortTerm, -PMT(mortRate/12, mortTerm*12, C16)*12, 0)
</f>
        <v>18837.49047</v>
      </c>
      <c r="H16" s="16">
        <f>IF(D16&lt;=mortTerm, G16 - I16, 0)
</f>
        <v>11958.02651</v>
      </c>
      <c r="I16" s="16">
        <f>IF(D16&lt;=mortTerm, F16 - J16, 0)
</f>
        <v>6879.463961</v>
      </c>
      <c r="J16" s="16">
        <f>IF(D16&lt;=mortTerm,
   F16*(1+mortRate/12)^12 - (-PMT(mortRate/12, mortTerm*12, C16))*(((1+mortRate/12)^12 - 1)/(mortRate/12)),
   0
)
</f>
        <v>180206.3597</v>
      </c>
      <c r="K16" s="13">
        <f>IFERROR(__xludf.DUMMYFUNCTION("IF(A16="""","""",
   IF(F16&gt;0,
      INDEX(FILTER('RE Portfolio'!L$2:L2000,'RE Portfolio'!D$2:D2000=""BUY""), INT((ROW()-2)/amortYears)+1) - G16,
      INDEX(FILTER('RE Portfolio'!L$2:L2000,'RE Portfolio'!D$2:D2000=""BUY""), INT((ROW()-2)/amortYears)+1)
 "&amp;"  )
)
"),5799.61325249818)</f>
        <v>5799.613252</v>
      </c>
      <c r="L16" s="15">
        <f>IFERROR(__xludf.DUMMYFUNCTION("IF(A16="""","""",
  INDEX(FILTER('RE Portfolio'!C$2:C2000,'RE Portfolio'!D$2:D2000=""BUY""), INT((ROW()-2)/amortYears)+1)
  * (1 + VALUE(Assumptions!$B$11))^(D16-1)
)
"),573434.0355767047)</f>
        <v>573434.0356</v>
      </c>
    </row>
    <row r="17">
      <c r="A17" s="15">
        <f>IFERROR(__xludf.DUMMYFUNCTION("IFERROR(INDEX(FILTER('RE Portfolio'!A$2:A2000,'RE Portfolio'!D$2:D2000=""BUY""), INT((ROW()-2)/amortYears)+1), )
"),1.0)</f>
        <v>1</v>
      </c>
      <c r="B17" s="15">
        <f>IFERROR(__xludf.DUMMYFUNCTION("IFERROR(INDEX(FILTER('RE Portfolio'!B$2:B2000,'RE Portfolio'!D$2:D2000=""BUY""), INT((ROW()-2)/amortYears)+1), )
"),28.0)</f>
        <v>28</v>
      </c>
      <c r="C17" s="15">
        <f>IFERROR(__xludf.DUMMYFUNCTION("IFERROR(INDEX(FILTER('RE Portfolio'!G$2:G2000,'RE Portfolio'!D$2:D2000=""BUY""), INT((ROW()-2)/amortYears)+1), )
"),248357.9003906249)</f>
        <v>248357.9004</v>
      </c>
      <c r="D17" s="15">
        <f>MOD(ROW()-2, amortYears)+1</f>
        <v>16</v>
      </c>
      <c r="E17" s="15">
        <f t="shared" si="1"/>
        <v>43</v>
      </c>
      <c r="F17" s="16">
        <f t="shared" si="2"/>
        <v>180206.3597</v>
      </c>
      <c r="G17" s="16">
        <f>IF(D17&lt;=mortTerm, -PMT(mortRate/12, mortTerm*12, C17)*12, 0)
</f>
        <v>18837.49047</v>
      </c>
      <c r="H17" s="16">
        <f>IF(D17&lt;=mortTerm, G17 - I17, 0)
</f>
        <v>11497.29606</v>
      </c>
      <c r="I17" s="16">
        <f>IF(D17&lt;=mortTerm, F17 - J17, 0)
</f>
        <v>7340.194403</v>
      </c>
      <c r="J17" s="16">
        <f>IF(D17&lt;=mortTerm,
   F17*(1+mortRate/12)^12 - (-PMT(mortRate/12, mortTerm*12, C17))*(((1+mortRate/12)^12 - 1)/(mortRate/12)),
   0
)
</f>
        <v>172866.1653</v>
      </c>
      <c r="K17" s="13">
        <f>IFERROR(__xludf.DUMMYFUNCTION("IF(A17="""","""",
   IF(F17&gt;0,
      INDEX(FILTER('RE Portfolio'!L$2:L2000,'RE Portfolio'!D$2:D2000=""BUY""), INT((ROW()-2)/amortYears)+1) - G17,
      INDEX(FILTER('RE Portfolio'!L$2:L2000,'RE Portfolio'!D$2:D2000=""BUY""), INT((ROW()-2)/amortYears)+1)
 "&amp;"  )
)
"),5799.61325249818)</f>
        <v>5799.613252</v>
      </c>
      <c r="L17" s="15">
        <f>IFERROR(__xludf.DUMMYFUNCTION("IF(A17="""","""",
  INDEX(FILTER('RE Portfolio'!C$2:C2000,'RE Portfolio'!D$2:D2000=""BUY""), INT((ROW()-2)/amortYears)+1)
  * (1 + VALUE(Assumptions!$B$11))^(D17-1)
)
"),596371.3969997729)</f>
        <v>596371.397</v>
      </c>
    </row>
    <row r="18">
      <c r="A18" s="15">
        <f>IFERROR(__xludf.DUMMYFUNCTION("IFERROR(INDEX(FILTER('RE Portfolio'!A$2:A2000,'RE Portfolio'!D$2:D2000=""BUY""), INT((ROW()-2)/amortYears)+1), )
"),1.0)</f>
        <v>1</v>
      </c>
      <c r="B18" s="15">
        <f>IFERROR(__xludf.DUMMYFUNCTION("IFERROR(INDEX(FILTER('RE Portfolio'!B$2:B2000,'RE Portfolio'!D$2:D2000=""BUY""), INT((ROW()-2)/amortYears)+1), )
"),28.0)</f>
        <v>28</v>
      </c>
      <c r="C18" s="15">
        <f>IFERROR(__xludf.DUMMYFUNCTION("IFERROR(INDEX(FILTER('RE Portfolio'!G$2:G2000,'RE Portfolio'!D$2:D2000=""BUY""), INT((ROW()-2)/amortYears)+1), )
"),248357.9003906249)</f>
        <v>248357.9004</v>
      </c>
      <c r="D18" s="15">
        <f>MOD(ROW()-2, amortYears)+1</f>
        <v>17</v>
      </c>
      <c r="E18" s="15">
        <f t="shared" si="1"/>
        <v>44</v>
      </c>
      <c r="F18" s="16">
        <f t="shared" si="2"/>
        <v>172866.1653</v>
      </c>
      <c r="G18" s="16">
        <f>IF(D18&lt;=mortTerm, -PMT(mortRate/12, mortTerm*12, C18)*12, 0)
</f>
        <v>18837.49047</v>
      </c>
      <c r="H18" s="16">
        <f>IF(D18&lt;=mortTerm, G18 - I18, 0)
</f>
        <v>11005.70965</v>
      </c>
      <c r="I18" s="16">
        <f>IF(D18&lt;=mortTerm, F18 - J18, 0)
</f>
        <v>7831.780816</v>
      </c>
      <c r="J18" s="16">
        <f>IF(D18&lt;=mortTerm,
   F18*(1+mortRate/12)^12 - (-PMT(mortRate/12, mortTerm*12, C18))*(((1+mortRate/12)^12 - 1)/(mortRate/12)),
   0
)
</f>
        <v>165034.3845</v>
      </c>
      <c r="K18" s="13">
        <f>IFERROR(__xludf.DUMMYFUNCTION("IF(A18="""","""",
   IF(F18&gt;0,
      INDEX(FILTER('RE Portfolio'!L$2:L2000,'RE Portfolio'!D$2:D2000=""BUY""), INT((ROW()-2)/amortYears)+1) - G18,
      INDEX(FILTER('RE Portfolio'!L$2:L2000,'RE Portfolio'!D$2:D2000=""BUY""), INT((ROW()-2)/amortYears)+1)
 "&amp;"  )
)
"),5799.61325249818)</f>
        <v>5799.613252</v>
      </c>
      <c r="L18" s="15">
        <f>IFERROR(__xludf.DUMMYFUNCTION("IF(A18="""","""",
  INDEX(FILTER('RE Portfolio'!C$2:C2000,'RE Portfolio'!D$2:D2000=""BUY""), INT((ROW()-2)/amortYears)+1)
  * (1 + VALUE(Assumptions!$B$11))^(D18-1)
)
"),620226.2528797637)</f>
        <v>620226.2529</v>
      </c>
    </row>
    <row r="19">
      <c r="A19" s="15">
        <f>IFERROR(__xludf.DUMMYFUNCTION("IFERROR(INDEX(FILTER('RE Portfolio'!A$2:A2000,'RE Portfolio'!D$2:D2000=""BUY""), INT((ROW()-2)/amortYears)+1), )
"),1.0)</f>
        <v>1</v>
      </c>
      <c r="B19" s="15">
        <f>IFERROR(__xludf.DUMMYFUNCTION("IFERROR(INDEX(FILTER('RE Portfolio'!B$2:B2000,'RE Portfolio'!D$2:D2000=""BUY""), INT((ROW()-2)/amortYears)+1), )
"),28.0)</f>
        <v>28</v>
      </c>
      <c r="C19" s="15">
        <f>IFERROR(__xludf.DUMMYFUNCTION("IFERROR(INDEX(FILTER('RE Portfolio'!G$2:G2000,'RE Portfolio'!D$2:D2000=""BUY""), INT((ROW()-2)/amortYears)+1), )
"),248357.9003906249)</f>
        <v>248357.9004</v>
      </c>
      <c r="D19" s="15">
        <f>MOD(ROW()-2, amortYears)+1</f>
        <v>18</v>
      </c>
      <c r="E19" s="15">
        <f t="shared" si="1"/>
        <v>45</v>
      </c>
      <c r="F19" s="16">
        <f t="shared" si="2"/>
        <v>165034.3845</v>
      </c>
      <c r="G19" s="16">
        <f>IF(D19&lt;=mortTerm, -PMT(mortRate/12, mortTerm*12, C19)*12, 0)
</f>
        <v>18837.49047</v>
      </c>
      <c r="H19" s="16">
        <f>IF(D19&lt;=mortTerm, G19 - I19, 0)
</f>
        <v>10481.20078</v>
      </c>
      <c r="I19" s="16">
        <f>IF(D19&lt;=mortTerm, F19 - J19, 0)
</f>
        <v>8356.289682</v>
      </c>
      <c r="J19" s="16">
        <f>IF(D19&lt;=mortTerm,
   F19*(1+mortRate/12)^12 - (-PMT(mortRate/12, mortTerm*12, C19))*(((1+mortRate/12)^12 - 1)/(mortRate/12)),
   0
)
</f>
        <v>156678.0948</v>
      </c>
      <c r="K19" s="13">
        <f>IFERROR(__xludf.DUMMYFUNCTION("IF(A19="""","""",
   IF(F19&gt;0,
      INDEX(FILTER('RE Portfolio'!L$2:L2000,'RE Portfolio'!D$2:D2000=""BUY""), INT((ROW()-2)/amortYears)+1) - G19,
      INDEX(FILTER('RE Portfolio'!L$2:L2000,'RE Portfolio'!D$2:D2000=""BUY""), INT((ROW()-2)/amortYears)+1)
 "&amp;"  )
)
"),5799.61325249818)</f>
        <v>5799.613252</v>
      </c>
      <c r="L19" s="15">
        <f>IFERROR(__xludf.DUMMYFUNCTION("IF(A19="""","""",
  INDEX(FILTER('RE Portfolio'!C$2:C2000,'RE Portfolio'!D$2:D2000=""BUY""), INT((ROW()-2)/amortYears)+1)
  * (1 + VALUE(Assumptions!$B$11))^(D19-1)
)
"),645035.3029949544)</f>
        <v>645035.303</v>
      </c>
    </row>
    <row r="20">
      <c r="A20" s="15">
        <f>IFERROR(__xludf.DUMMYFUNCTION("IFERROR(INDEX(FILTER('RE Portfolio'!A$2:A2000,'RE Portfolio'!D$2:D2000=""BUY""), INT((ROW()-2)/amortYears)+1), )
"),1.0)</f>
        <v>1</v>
      </c>
      <c r="B20" s="15">
        <f>IFERROR(__xludf.DUMMYFUNCTION("IFERROR(INDEX(FILTER('RE Portfolio'!B$2:B2000,'RE Portfolio'!D$2:D2000=""BUY""), INT((ROW()-2)/amortYears)+1), )
"),28.0)</f>
        <v>28</v>
      </c>
      <c r="C20" s="15">
        <f>IFERROR(__xludf.DUMMYFUNCTION("IFERROR(INDEX(FILTER('RE Portfolio'!G$2:G2000,'RE Portfolio'!D$2:D2000=""BUY""), INT((ROW()-2)/amortYears)+1), )
"),248357.9003906249)</f>
        <v>248357.9004</v>
      </c>
      <c r="D20" s="15">
        <f>MOD(ROW()-2, amortYears)+1</f>
        <v>19</v>
      </c>
      <c r="E20" s="15">
        <f t="shared" si="1"/>
        <v>46</v>
      </c>
      <c r="F20" s="16">
        <f t="shared" si="2"/>
        <v>156678.0948</v>
      </c>
      <c r="G20" s="16">
        <f>IF(D20&lt;=mortTerm, -PMT(mortRate/12, mortTerm*12, C20)*12, 0)
</f>
        <v>18837.49047</v>
      </c>
      <c r="H20" s="16">
        <f>IF(D20&lt;=mortTerm, G20 - I20, 0)
</f>
        <v>9921.564589</v>
      </c>
      <c r="I20" s="16">
        <f>IF(D20&lt;=mortTerm, F20 - J20, 0)
</f>
        <v>8915.925878</v>
      </c>
      <c r="J20" s="16">
        <f>IF(D20&lt;=mortTerm,
   F20*(1+mortRate/12)^12 - (-PMT(mortRate/12, mortTerm*12, C20))*(((1+mortRate/12)^12 - 1)/(mortRate/12)),
   0
)
</f>
        <v>147762.1689</v>
      </c>
      <c r="K20" s="13">
        <f>IFERROR(__xludf.DUMMYFUNCTION("IF(A20="""","""",
   IF(F20&gt;0,
      INDEX(FILTER('RE Portfolio'!L$2:L2000,'RE Portfolio'!D$2:D2000=""BUY""), INT((ROW()-2)/amortYears)+1) - G20,
      INDEX(FILTER('RE Portfolio'!L$2:L2000,'RE Portfolio'!D$2:D2000=""BUY""), INT((ROW()-2)/amortYears)+1)
 "&amp;"  )
)
"),5799.61325249818)</f>
        <v>5799.613252</v>
      </c>
      <c r="L20" s="15">
        <f>IFERROR(__xludf.DUMMYFUNCTION("IF(A20="""","""",
  INDEX(FILTER('RE Portfolio'!C$2:C2000,'RE Portfolio'!D$2:D2000=""BUY""), INT((ROW()-2)/amortYears)+1)
  * (1 + VALUE(Assumptions!$B$11))^(D20-1)
)
"),670836.7151147526)</f>
        <v>670836.7151</v>
      </c>
    </row>
    <row r="21">
      <c r="A21" s="15">
        <f>IFERROR(__xludf.DUMMYFUNCTION("IFERROR(INDEX(FILTER('RE Portfolio'!A$2:A2000,'RE Portfolio'!D$2:D2000=""BUY""), INT((ROW()-2)/amortYears)+1), )
"),1.0)</f>
        <v>1</v>
      </c>
      <c r="B21" s="15">
        <f>IFERROR(__xludf.DUMMYFUNCTION("IFERROR(INDEX(FILTER('RE Portfolio'!B$2:B2000,'RE Portfolio'!D$2:D2000=""BUY""), INT((ROW()-2)/amortYears)+1), )
"),28.0)</f>
        <v>28</v>
      </c>
      <c r="C21" s="15">
        <f>IFERROR(__xludf.DUMMYFUNCTION("IFERROR(INDEX(FILTER('RE Portfolio'!G$2:G2000,'RE Portfolio'!D$2:D2000=""BUY""), INT((ROW()-2)/amortYears)+1), )
"),248357.9003906249)</f>
        <v>248357.9004</v>
      </c>
      <c r="D21" s="15">
        <f>MOD(ROW()-2, amortYears)+1</f>
        <v>20</v>
      </c>
      <c r="E21" s="15">
        <f t="shared" si="1"/>
        <v>47</v>
      </c>
      <c r="F21" s="16">
        <f t="shared" si="2"/>
        <v>147762.1689</v>
      </c>
      <c r="G21" s="16">
        <f>IF(D21&lt;=mortTerm, -PMT(mortRate/12, mortTerm*12, C21)*12, 0)
</f>
        <v>18837.49047</v>
      </c>
      <c r="H21" s="16">
        <f>IF(D21&lt;=mortTerm, G21 - I21, 0)
</f>
        <v>9324.44852</v>
      </c>
      <c r="I21" s="16">
        <f>IF(D21&lt;=mortTerm, F21 - J21, 0)
</f>
        <v>9513.041946</v>
      </c>
      <c r="J21" s="16">
        <f>IF(D21&lt;=mortTerm,
   F21*(1+mortRate/12)^12 - (-PMT(mortRate/12, mortTerm*12, C21))*(((1+mortRate/12)^12 - 1)/(mortRate/12)),
   0
)
</f>
        <v>138249.127</v>
      </c>
      <c r="K21" s="13">
        <f>IFERROR(__xludf.DUMMYFUNCTION("IF(A21="""","""",
   IF(F21&gt;0,
      INDEX(FILTER('RE Portfolio'!L$2:L2000,'RE Portfolio'!D$2:D2000=""BUY""), INT((ROW()-2)/amortYears)+1) - G21,
      INDEX(FILTER('RE Portfolio'!L$2:L2000,'RE Portfolio'!D$2:D2000=""BUY""), INT((ROW()-2)/amortYears)+1)
 "&amp;"  )
)
"),5799.61325249818)</f>
        <v>5799.613252</v>
      </c>
      <c r="L21" s="15">
        <f>IFERROR(__xludf.DUMMYFUNCTION("IF(A21="""","""",
  INDEX(FILTER('RE Portfolio'!C$2:C2000,'RE Portfolio'!D$2:D2000=""BUY""), INT((ROW()-2)/amortYears)+1)
  * (1 + VALUE(Assumptions!$B$11))^(D21-1)
)
"),697670.1837193427)</f>
        <v>697670.1837</v>
      </c>
    </row>
    <row r="22">
      <c r="A22" s="15">
        <f>IFERROR(__xludf.DUMMYFUNCTION("IFERROR(INDEX(FILTER('RE Portfolio'!A$2:A2000,'RE Portfolio'!D$2:D2000=""BUY""), INT((ROW()-2)/amortYears)+1), )
"),1.0)</f>
        <v>1</v>
      </c>
      <c r="B22" s="15">
        <f>IFERROR(__xludf.DUMMYFUNCTION("IFERROR(INDEX(FILTER('RE Portfolio'!B$2:B2000,'RE Portfolio'!D$2:D2000=""BUY""), INT((ROW()-2)/amortYears)+1), )
"),28.0)</f>
        <v>28</v>
      </c>
      <c r="C22" s="15">
        <f>IFERROR(__xludf.DUMMYFUNCTION("IFERROR(INDEX(FILTER('RE Portfolio'!G$2:G2000,'RE Portfolio'!D$2:D2000=""BUY""), INT((ROW()-2)/amortYears)+1), )
"),248357.9003906249)</f>
        <v>248357.9004</v>
      </c>
      <c r="D22" s="15">
        <f>MOD(ROW()-2, amortYears)+1</f>
        <v>21</v>
      </c>
      <c r="E22" s="15">
        <f t="shared" si="1"/>
        <v>48</v>
      </c>
      <c r="F22" s="16">
        <f t="shared" si="2"/>
        <v>138249.127</v>
      </c>
      <c r="G22" s="16">
        <f>IF(D22&lt;=mortTerm, -PMT(mortRate/12, mortTerm*12, C22)*12, 0)
</f>
        <v>18837.49047</v>
      </c>
      <c r="H22" s="16">
        <f>IF(D22&lt;=mortTerm, G22 - I22, 0)
</f>
        <v>8687.342483</v>
      </c>
      <c r="I22" s="16">
        <f>IF(D22&lt;=mortTerm, F22 - J22, 0)
</f>
        <v>10150.14798</v>
      </c>
      <c r="J22" s="16">
        <f>IF(D22&lt;=mortTerm,
   F22*(1+mortRate/12)^12 - (-PMT(mortRate/12, mortTerm*12, C22))*(((1+mortRate/12)^12 - 1)/(mortRate/12)),
   0
)
</f>
        <v>128098.979</v>
      </c>
      <c r="K22" s="13">
        <f>IFERROR(__xludf.DUMMYFUNCTION("IF(A22="""","""",
   IF(F22&gt;0,
      INDEX(FILTER('RE Portfolio'!L$2:L2000,'RE Portfolio'!D$2:D2000=""BUY""), INT((ROW()-2)/amortYears)+1) - G22,
      INDEX(FILTER('RE Portfolio'!L$2:L2000,'RE Portfolio'!D$2:D2000=""BUY""), INT((ROW()-2)/amortYears)+1)
 "&amp;"  )
)
"),5799.61325249818)</f>
        <v>5799.613252</v>
      </c>
      <c r="L22" s="15">
        <f>IFERROR(__xludf.DUMMYFUNCTION("IF(A22="""","""",
  INDEX(FILTER('RE Portfolio'!C$2:C2000,'RE Portfolio'!D$2:D2000=""BUY""), INT((ROW()-2)/amortYears)+1)
  * (1 + VALUE(Assumptions!$B$11))^(D22-1)
)
"),725576.9910681164)</f>
        <v>725576.9911</v>
      </c>
    </row>
    <row r="23">
      <c r="A23" s="15">
        <f>IFERROR(__xludf.DUMMYFUNCTION("IFERROR(INDEX(FILTER('RE Portfolio'!A$2:A2000,'RE Portfolio'!D$2:D2000=""BUY""), INT((ROW()-2)/amortYears)+1), )
"),1.0)</f>
        <v>1</v>
      </c>
      <c r="B23" s="15">
        <f>IFERROR(__xludf.DUMMYFUNCTION("IFERROR(INDEX(FILTER('RE Portfolio'!B$2:B2000,'RE Portfolio'!D$2:D2000=""BUY""), INT((ROW()-2)/amortYears)+1), )
"),28.0)</f>
        <v>28</v>
      </c>
      <c r="C23" s="15">
        <f>IFERROR(__xludf.DUMMYFUNCTION("IFERROR(INDEX(FILTER('RE Portfolio'!G$2:G2000,'RE Portfolio'!D$2:D2000=""BUY""), INT((ROW()-2)/amortYears)+1), )
"),248357.9003906249)</f>
        <v>248357.9004</v>
      </c>
      <c r="D23" s="15">
        <f>MOD(ROW()-2, amortYears)+1</f>
        <v>22</v>
      </c>
      <c r="E23" s="15">
        <f t="shared" si="1"/>
        <v>49</v>
      </c>
      <c r="F23" s="16">
        <f t="shared" si="2"/>
        <v>128098.979</v>
      </c>
      <c r="G23" s="16">
        <f>IF(D23&lt;=mortTerm, -PMT(mortRate/12, mortTerm*12, C23)*12, 0)
</f>
        <v>18837.49047</v>
      </c>
      <c r="H23" s="16">
        <f>IF(D23&lt;=mortTerm, G23 - I23, 0)
</f>
        <v>8007.568274</v>
      </c>
      <c r="I23" s="16">
        <f>IF(D23&lt;=mortTerm, F23 - J23, 0)
</f>
        <v>10829.92219</v>
      </c>
      <c r="J23" s="16">
        <f>IF(D23&lt;=mortTerm,
   F23*(1+mortRate/12)^12 - (-PMT(mortRate/12, mortTerm*12, C23))*(((1+mortRate/12)^12 - 1)/(mortRate/12)),
   0
)
</f>
        <v>117269.0568</v>
      </c>
      <c r="K23" s="13">
        <f>IFERROR(__xludf.DUMMYFUNCTION("IF(A23="""","""",
   IF(F23&gt;0,
      INDEX(FILTER('RE Portfolio'!L$2:L2000,'RE Portfolio'!D$2:D2000=""BUY""), INT((ROW()-2)/amortYears)+1) - G23,
      INDEX(FILTER('RE Portfolio'!L$2:L2000,'RE Portfolio'!D$2:D2000=""BUY""), INT((ROW()-2)/amortYears)+1)
 "&amp;"  )
)
"),5799.61325249818)</f>
        <v>5799.613252</v>
      </c>
      <c r="L23" s="15">
        <f>IFERROR(__xludf.DUMMYFUNCTION("IF(A23="""","""",
  INDEX(FILTER('RE Portfolio'!C$2:C2000,'RE Portfolio'!D$2:D2000=""BUY""), INT((ROW()-2)/amortYears)+1)
  * (1 + VALUE(Assumptions!$B$11))^(D23-1)
)
"),754600.0707108411)</f>
        <v>754600.0707</v>
      </c>
    </row>
    <row r="24">
      <c r="A24" s="15">
        <f>IFERROR(__xludf.DUMMYFUNCTION("IFERROR(INDEX(FILTER('RE Portfolio'!A$2:A2000,'RE Portfolio'!D$2:D2000=""BUY""), INT((ROW()-2)/amortYears)+1), )
"),1.0)</f>
        <v>1</v>
      </c>
      <c r="B24" s="15">
        <f>IFERROR(__xludf.DUMMYFUNCTION("IFERROR(INDEX(FILTER('RE Portfolio'!B$2:B2000,'RE Portfolio'!D$2:D2000=""BUY""), INT((ROW()-2)/amortYears)+1), )
"),28.0)</f>
        <v>28</v>
      </c>
      <c r="C24" s="15">
        <f>IFERROR(__xludf.DUMMYFUNCTION("IFERROR(INDEX(FILTER('RE Portfolio'!G$2:G2000,'RE Portfolio'!D$2:D2000=""BUY""), INT((ROW()-2)/amortYears)+1), )
"),248357.9003906249)</f>
        <v>248357.9004</v>
      </c>
      <c r="D24" s="15">
        <f>MOD(ROW()-2, amortYears)+1</f>
        <v>23</v>
      </c>
      <c r="E24" s="15">
        <f t="shared" si="1"/>
        <v>50</v>
      </c>
      <c r="F24" s="16">
        <f t="shared" si="2"/>
        <v>117269.0568</v>
      </c>
      <c r="G24" s="16">
        <f>IF(D24&lt;=mortTerm, -PMT(mortRate/12, mortTerm*12, C24)*12, 0)
</f>
        <v>18837.49047</v>
      </c>
      <c r="H24" s="16">
        <f>IF(D24&lt;=mortTerm, G24 - I24, 0)
</f>
        <v>7282.268328</v>
      </c>
      <c r="I24" s="16">
        <f>IF(D24&lt;=mortTerm, F24 - J24, 0)
</f>
        <v>11555.22214</v>
      </c>
      <c r="J24" s="16">
        <f>IF(D24&lt;=mortTerm,
   F24*(1+mortRate/12)^12 - (-PMT(mortRate/12, mortTerm*12, C24))*(((1+mortRate/12)^12 - 1)/(mortRate/12)),
   0
)
</f>
        <v>105713.8347</v>
      </c>
      <c r="K24" s="13">
        <f>IFERROR(__xludf.DUMMYFUNCTION("IF(A24="""","""",
   IF(F24&gt;0,
      INDEX(FILTER('RE Portfolio'!L$2:L2000,'RE Portfolio'!D$2:D2000=""BUY""), INT((ROW()-2)/amortYears)+1) - G24,
      INDEX(FILTER('RE Portfolio'!L$2:L2000,'RE Portfolio'!D$2:D2000=""BUY""), INT((ROW()-2)/amortYears)+1)
 "&amp;"  )
)
"),5799.61325249818)</f>
        <v>5799.613252</v>
      </c>
      <c r="L24" s="15">
        <f>IFERROR(__xludf.DUMMYFUNCTION("IF(A24="""","""",
  INDEX(FILTER('RE Portfolio'!C$2:C2000,'RE Portfolio'!D$2:D2000=""BUY""), INT((ROW()-2)/amortYears)+1)
  * (1 + VALUE(Assumptions!$B$11))^(D24-1)
)
"),784784.0735392747)</f>
        <v>784784.0735</v>
      </c>
    </row>
    <row r="25">
      <c r="A25" s="15">
        <f>IFERROR(__xludf.DUMMYFUNCTION("IFERROR(INDEX(FILTER('RE Portfolio'!A$2:A2000,'RE Portfolio'!D$2:D2000=""BUY""), INT((ROW()-2)/amortYears)+1), )
"),1.0)</f>
        <v>1</v>
      </c>
      <c r="B25" s="15">
        <f>IFERROR(__xludf.DUMMYFUNCTION("IFERROR(INDEX(FILTER('RE Portfolio'!B$2:B2000,'RE Portfolio'!D$2:D2000=""BUY""), INT((ROW()-2)/amortYears)+1), )
"),28.0)</f>
        <v>28</v>
      </c>
      <c r="C25" s="15">
        <f>IFERROR(__xludf.DUMMYFUNCTION("IFERROR(INDEX(FILTER('RE Portfolio'!G$2:G2000,'RE Portfolio'!D$2:D2000=""BUY""), INT((ROW()-2)/amortYears)+1), )
"),248357.9003906249)</f>
        <v>248357.9004</v>
      </c>
      <c r="D25" s="15">
        <f>MOD(ROW()-2, amortYears)+1</f>
        <v>24</v>
      </c>
      <c r="E25" s="15">
        <f t="shared" si="1"/>
        <v>51</v>
      </c>
      <c r="F25" s="16">
        <f t="shared" si="2"/>
        <v>105713.8347</v>
      </c>
      <c r="G25" s="16">
        <f>IF(D25&lt;=mortTerm, -PMT(mortRate/12, mortTerm*12, C25)*12, 0)
</f>
        <v>18837.49047</v>
      </c>
      <c r="H25" s="16">
        <f>IF(D25&lt;=mortTerm, G25 - I25, 0)
</f>
        <v>6508.393701</v>
      </c>
      <c r="I25" s="16">
        <f>IF(D25&lt;=mortTerm, F25 - J25, 0)
</f>
        <v>12329.09677</v>
      </c>
      <c r="J25" s="16">
        <f>IF(D25&lt;=mortTerm,
   F25*(1+mortRate/12)^12 - (-PMT(mortRate/12, mortTerm*12, C25))*(((1+mortRate/12)^12 - 1)/(mortRate/12)),
   0
)
</f>
        <v>93384.73791</v>
      </c>
      <c r="K25" s="13">
        <f>IFERROR(__xludf.DUMMYFUNCTION("IF(A25="""","""",
   IF(F25&gt;0,
      INDEX(FILTER('RE Portfolio'!L$2:L2000,'RE Portfolio'!D$2:D2000=""BUY""), INT((ROW()-2)/amortYears)+1) - G25,
      INDEX(FILTER('RE Portfolio'!L$2:L2000,'RE Portfolio'!D$2:D2000=""BUY""), INT((ROW()-2)/amortYears)+1)
 "&amp;"  )
)
"),5799.61325249818)</f>
        <v>5799.613252</v>
      </c>
      <c r="L25" s="15">
        <f>IFERROR(__xludf.DUMMYFUNCTION("IF(A25="""","""",
  INDEX(FILTER('RE Portfolio'!C$2:C2000,'RE Portfolio'!D$2:D2000=""BUY""), INT((ROW()-2)/amortYears)+1)
  * (1 + VALUE(Assumptions!$B$11))^(D25-1)
)
"),816175.4364808458)</f>
        <v>816175.4365</v>
      </c>
    </row>
    <row r="26">
      <c r="A26" s="15">
        <f>IFERROR(__xludf.DUMMYFUNCTION("IFERROR(INDEX(FILTER('RE Portfolio'!A$2:A2000,'RE Portfolio'!D$2:D2000=""BUY""), INT((ROW()-2)/amortYears)+1), )
"),1.0)</f>
        <v>1</v>
      </c>
      <c r="B26" s="15">
        <f>IFERROR(__xludf.DUMMYFUNCTION("IFERROR(INDEX(FILTER('RE Portfolio'!B$2:B2000,'RE Portfolio'!D$2:D2000=""BUY""), INT((ROW()-2)/amortYears)+1), )
"),28.0)</f>
        <v>28</v>
      </c>
      <c r="C26" s="15">
        <f>IFERROR(__xludf.DUMMYFUNCTION("IFERROR(INDEX(FILTER('RE Portfolio'!G$2:G2000,'RE Portfolio'!D$2:D2000=""BUY""), INT((ROW()-2)/amortYears)+1), )
"),248357.9003906249)</f>
        <v>248357.9004</v>
      </c>
      <c r="D26" s="15">
        <f>MOD(ROW()-2, amortYears)+1</f>
        <v>25</v>
      </c>
      <c r="E26" s="15">
        <f t="shared" si="1"/>
        <v>52</v>
      </c>
      <c r="F26" s="16">
        <f t="shared" si="2"/>
        <v>93384.73791</v>
      </c>
      <c r="G26" s="16">
        <f>IF(D26&lt;=mortTerm, -PMT(mortRate/12, mortTerm*12, C26)*12, 0)
</f>
        <v>18837.49047</v>
      </c>
      <c r="H26" s="16">
        <f>IF(D26&lt;=mortTerm, G26 - I26, 0)
</f>
        <v>5682.691257</v>
      </c>
      <c r="I26" s="16">
        <f>IF(D26&lt;=mortTerm, F26 - J26, 0)
</f>
        <v>13154.79921</v>
      </c>
      <c r="J26" s="16">
        <f>IF(D26&lt;=mortTerm,
   F26*(1+mortRate/12)^12 - (-PMT(mortRate/12, mortTerm*12, C26))*(((1+mortRate/12)^12 - 1)/(mortRate/12)),
   0
)
</f>
        <v>80229.9387</v>
      </c>
      <c r="K26" s="13">
        <f>IFERROR(__xludf.DUMMYFUNCTION("IF(A26="""","""",
   IF(F26&gt;0,
      INDEX(FILTER('RE Portfolio'!L$2:L2000,'RE Portfolio'!D$2:D2000=""BUY""), INT((ROW()-2)/amortYears)+1) - G26,
      INDEX(FILTER('RE Portfolio'!L$2:L2000,'RE Portfolio'!D$2:D2000=""BUY""), INT((ROW()-2)/amortYears)+1)
 "&amp;"  )
)
"),5799.61325249818)</f>
        <v>5799.613252</v>
      </c>
      <c r="L26" s="15">
        <f>IFERROR(__xludf.DUMMYFUNCTION("IF(A26="""","""",
  INDEX(FILTER('RE Portfolio'!C$2:C2000,'RE Portfolio'!D$2:D2000=""BUY""), INT((ROW()-2)/amortYears)+1)
  * (1 + VALUE(Assumptions!$B$11))^(D26-1)
)
"),848822.4539400797)</f>
        <v>848822.4539</v>
      </c>
    </row>
    <row r="27">
      <c r="A27" s="15">
        <f>IFERROR(__xludf.DUMMYFUNCTION("IFERROR(INDEX(FILTER('RE Portfolio'!A$2:A2000,'RE Portfolio'!D$2:D2000=""BUY""), INT((ROW()-2)/amortYears)+1), )
"),1.0)</f>
        <v>1</v>
      </c>
      <c r="B27" s="15">
        <f>IFERROR(__xludf.DUMMYFUNCTION("IFERROR(INDEX(FILTER('RE Portfolio'!B$2:B2000,'RE Portfolio'!D$2:D2000=""BUY""), INT((ROW()-2)/amortYears)+1), )
"),28.0)</f>
        <v>28</v>
      </c>
      <c r="C27" s="15">
        <f>IFERROR(__xludf.DUMMYFUNCTION("IFERROR(INDEX(FILTER('RE Portfolio'!G$2:G2000,'RE Portfolio'!D$2:D2000=""BUY""), INT((ROW()-2)/amortYears)+1), )
"),248357.9003906249)</f>
        <v>248357.9004</v>
      </c>
      <c r="D27" s="15">
        <f>MOD(ROW()-2, amortYears)+1</f>
        <v>26</v>
      </c>
      <c r="E27" s="15">
        <f t="shared" si="1"/>
        <v>53</v>
      </c>
      <c r="F27" s="16">
        <f t="shared" si="2"/>
        <v>80229.9387</v>
      </c>
      <c r="G27" s="16">
        <f>IF(D27&lt;=mortTerm, -PMT(mortRate/12, mortTerm*12, C27)*12, 0)
</f>
        <v>18837.49047</v>
      </c>
      <c r="H27" s="16">
        <f>IF(D27&lt;=mortTerm, G27 - I27, 0)
</f>
        <v>4801.689992</v>
      </c>
      <c r="I27" s="16">
        <f>IF(D27&lt;=mortTerm, F27 - J27, 0)
</f>
        <v>14035.80047</v>
      </c>
      <c r="J27" s="16">
        <f>IF(D27&lt;=mortTerm,
   F27*(1+mortRate/12)^12 - (-PMT(mortRate/12, mortTerm*12, C27))*(((1+mortRate/12)^12 - 1)/(mortRate/12)),
   0
)
</f>
        <v>66194.13823</v>
      </c>
      <c r="K27" s="13">
        <f>IFERROR(__xludf.DUMMYFUNCTION("IF(A27="""","""",
   IF(F27&gt;0,
      INDEX(FILTER('RE Portfolio'!L$2:L2000,'RE Portfolio'!D$2:D2000=""BUY""), INT((ROW()-2)/amortYears)+1) - G27,
      INDEX(FILTER('RE Portfolio'!L$2:L2000,'RE Portfolio'!D$2:D2000=""BUY""), INT((ROW()-2)/amortYears)+1)
 "&amp;"  )
)
"),5799.61325249818)</f>
        <v>5799.613252</v>
      </c>
      <c r="L27" s="15">
        <f>IFERROR(__xludf.DUMMYFUNCTION("IF(A27="""","""",
  INDEX(FILTER('RE Portfolio'!C$2:C2000,'RE Portfolio'!D$2:D2000=""BUY""), INT((ROW()-2)/amortYears)+1)
  * (1 + VALUE(Assumptions!$B$11))^(D27-1)
)
"),882775.3520976828)</f>
        <v>882775.3521</v>
      </c>
    </row>
    <row r="28">
      <c r="A28" s="15">
        <f>IFERROR(__xludf.DUMMYFUNCTION("IFERROR(INDEX(FILTER('RE Portfolio'!A$2:A2000,'RE Portfolio'!D$2:D2000=""BUY""), INT((ROW()-2)/amortYears)+1), )
"),1.0)</f>
        <v>1</v>
      </c>
      <c r="B28" s="15">
        <f>IFERROR(__xludf.DUMMYFUNCTION("IFERROR(INDEX(FILTER('RE Portfolio'!B$2:B2000,'RE Portfolio'!D$2:D2000=""BUY""), INT((ROW()-2)/amortYears)+1), )
"),28.0)</f>
        <v>28</v>
      </c>
      <c r="C28" s="15">
        <f>IFERROR(__xludf.DUMMYFUNCTION("IFERROR(INDEX(FILTER('RE Portfolio'!G$2:G2000,'RE Portfolio'!D$2:D2000=""BUY""), INT((ROW()-2)/amortYears)+1), )
"),248357.9003906249)</f>
        <v>248357.9004</v>
      </c>
      <c r="D28" s="15">
        <f>MOD(ROW()-2, amortYears)+1</f>
        <v>27</v>
      </c>
      <c r="E28" s="15">
        <f t="shared" si="1"/>
        <v>54</v>
      </c>
      <c r="F28" s="16">
        <f t="shared" si="2"/>
        <v>66194.13823</v>
      </c>
      <c r="G28" s="16">
        <f>IF(D28&lt;=mortTerm, -PMT(mortRate/12, mortTerm*12, C28)*12, 0)
</f>
        <v>18837.49047</v>
      </c>
      <c r="H28" s="16">
        <f>IF(D28&lt;=mortTerm, G28 - I28, 0)
</f>
        <v>3861.686439</v>
      </c>
      <c r="I28" s="16">
        <f>IF(D28&lt;=mortTerm, F28 - J28, 0)
</f>
        <v>14975.80403</v>
      </c>
      <c r="J28" s="16">
        <f>IF(D28&lt;=mortTerm,
   F28*(1+mortRate/12)^12 - (-PMT(mortRate/12, mortTerm*12, C28))*(((1+mortRate/12)^12 - 1)/(mortRate/12)),
   0
)
</f>
        <v>51218.3342</v>
      </c>
      <c r="K28" s="13">
        <f>IFERROR(__xludf.DUMMYFUNCTION("IF(A28="""","""",
   IF(F28&gt;0,
      INDEX(FILTER('RE Portfolio'!L$2:L2000,'RE Portfolio'!D$2:D2000=""BUY""), INT((ROW()-2)/amortYears)+1) - G28,
      INDEX(FILTER('RE Portfolio'!L$2:L2000,'RE Portfolio'!D$2:D2000=""BUY""), INT((ROW()-2)/amortYears)+1)
 "&amp;"  )
)
"),5799.61325249818)</f>
        <v>5799.613252</v>
      </c>
      <c r="L28" s="15">
        <f>IFERROR(__xludf.DUMMYFUNCTION("IF(A28="""","""",
  INDEX(FILTER('RE Portfolio'!C$2:C2000,'RE Portfolio'!D$2:D2000=""BUY""), INT((ROW()-2)/amortYears)+1)
  * (1 + VALUE(Assumptions!$B$11))^(D28-1)
)
"),918086.3661815901)</f>
        <v>918086.3662</v>
      </c>
    </row>
    <row r="29">
      <c r="A29" s="15">
        <f>IFERROR(__xludf.DUMMYFUNCTION("IFERROR(INDEX(FILTER('RE Portfolio'!A$2:A2000,'RE Portfolio'!D$2:D2000=""BUY""), INT((ROW()-2)/amortYears)+1), )
"),1.0)</f>
        <v>1</v>
      </c>
      <c r="B29" s="15">
        <f>IFERROR(__xludf.DUMMYFUNCTION("IFERROR(INDEX(FILTER('RE Portfolio'!B$2:B2000,'RE Portfolio'!D$2:D2000=""BUY""), INT((ROW()-2)/amortYears)+1), )
"),28.0)</f>
        <v>28</v>
      </c>
      <c r="C29" s="15">
        <f>IFERROR(__xludf.DUMMYFUNCTION("IFERROR(INDEX(FILTER('RE Portfolio'!G$2:G2000,'RE Portfolio'!D$2:D2000=""BUY""), INT((ROW()-2)/amortYears)+1), )
"),248357.9003906249)</f>
        <v>248357.9004</v>
      </c>
      <c r="D29" s="15">
        <f>MOD(ROW()-2, amortYears)+1</f>
        <v>28</v>
      </c>
      <c r="E29" s="15">
        <f t="shared" si="1"/>
        <v>55</v>
      </c>
      <c r="F29" s="16">
        <f t="shared" si="2"/>
        <v>51218.3342</v>
      </c>
      <c r="G29" s="16">
        <f>IF(D29&lt;=mortTerm, -PMT(mortRate/12, mortTerm*12, C29)*12, 0)
</f>
        <v>18837.49047</v>
      </c>
      <c r="H29" s="16">
        <f>IF(D29&lt;=mortTerm, G29 - I29, 0)
</f>
        <v>2858.729109</v>
      </c>
      <c r="I29" s="16">
        <f>IF(D29&lt;=mortTerm, F29 - J29, 0)
</f>
        <v>15978.76136</v>
      </c>
      <c r="J29" s="16">
        <f>IF(D29&lt;=mortTerm,
   F29*(1+mortRate/12)^12 - (-PMT(mortRate/12, mortTerm*12, C29))*(((1+mortRate/12)^12 - 1)/(mortRate/12)),
   0
)
</f>
        <v>35239.57284</v>
      </c>
      <c r="K29" s="13">
        <f>IFERROR(__xludf.DUMMYFUNCTION("IF(A29="""","""",
   IF(F29&gt;0,
      INDEX(FILTER('RE Portfolio'!L$2:L2000,'RE Portfolio'!D$2:D2000=""BUY""), INT((ROW()-2)/amortYears)+1) - G29,
      INDEX(FILTER('RE Portfolio'!L$2:L2000,'RE Portfolio'!D$2:D2000=""BUY""), INT((ROW()-2)/amortYears)+1)
 "&amp;"  )
)
"),5799.61325249818)</f>
        <v>5799.613252</v>
      </c>
      <c r="L29" s="15">
        <f>IFERROR(__xludf.DUMMYFUNCTION("IF(A29="""","""",
  INDEX(FILTER('RE Portfolio'!C$2:C2000,'RE Portfolio'!D$2:D2000=""BUY""), INT((ROW()-2)/amortYears)+1)
  * (1 + VALUE(Assumptions!$B$11))^(D29-1)
)
"),954809.8208288538)</f>
        <v>954809.8208</v>
      </c>
    </row>
    <row r="30">
      <c r="A30" s="15">
        <f>IFERROR(__xludf.DUMMYFUNCTION("IFERROR(INDEX(FILTER('RE Portfolio'!A$2:A2000,'RE Portfolio'!D$2:D2000=""BUY""), INT((ROW()-2)/amortYears)+1), )
"),1.0)</f>
        <v>1</v>
      </c>
      <c r="B30" s="15">
        <f>IFERROR(__xludf.DUMMYFUNCTION("IFERROR(INDEX(FILTER('RE Portfolio'!B$2:B2000,'RE Portfolio'!D$2:D2000=""BUY""), INT((ROW()-2)/amortYears)+1), )
"),28.0)</f>
        <v>28</v>
      </c>
      <c r="C30" s="15">
        <f>IFERROR(__xludf.DUMMYFUNCTION("IFERROR(INDEX(FILTER('RE Portfolio'!G$2:G2000,'RE Portfolio'!D$2:D2000=""BUY""), INT((ROW()-2)/amortYears)+1), )
"),248357.9003906249)</f>
        <v>248357.9004</v>
      </c>
      <c r="D30" s="15">
        <f>MOD(ROW()-2, amortYears)+1</f>
        <v>29</v>
      </c>
      <c r="E30" s="15">
        <f t="shared" si="1"/>
        <v>56</v>
      </c>
      <c r="F30" s="16">
        <f t="shared" si="2"/>
        <v>35239.57284</v>
      </c>
      <c r="G30" s="16">
        <f>IF(D30&lt;=mortTerm, -PMT(mortRate/12, mortTerm*12, C30)*12, 0)
</f>
        <v>18837.49047</v>
      </c>
      <c r="H30" s="16">
        <f>IF(D30&lt;=mortTerm, G30 - I30, 0)
</f>
        <v>1788.601868</v>
      </c>
      <c r="I30" s="16">
        <f>IF(D30&lt;=mortTerm, F30 - J30, 0)
</f>
        <v>17048.8886</v>
      </c>
      <c r="J30" s="16">
        <f>IF(D30&lt;=mortTerm,
   F30*(1+mortRate/12)^12 - (-PMT(mortRate/12, mortTerm*12, C30))*(((1+mortRate/12)^12 - 1)/(mortRate/12)),
   0
)
</f>
        <v>18190.68424</v>
      </c>
      <c r="K30" s="13">
        <f>IFERROR(__xludf.DUMMYFUNCTION("IF(A30="""","""",
   IF(F30&gt;0,
      INDEX(FILTER('RE Portfolio'!L$2:L2000,'RE Portfolio'!D$2:D2000=""BUY""), INT((ROW()-2)/amortYears)+1) - G30,
      INDEX(FILTER('RE Portfolio'!L$2:L2000,'RE Portfolio'!D$2:D2000=""BUY""), INT((ROW()-2)/amortYears)+1)
 "&amp;"  )
)
"),5799.61325249818)</f>
        <v>5799.613252</v>
      </c>
      <c r="L30" s="15">
        <f>IFERROR(__xludf.DUMMYFUNCTION("IF(A30="""","""",
  INDEX(FILTER('RE Portfolio'!C$2:C2000,'RE Portfolio'!D$2:D2000=""BUY""), INT((ROW()-2)/amortYears)+1)
  * (1 + VALUE(Assumptions!$B$11))^(D30-1)
)
"),993002.213662008)</f>
        <v>993002.2137</v>
      </c>
    </row>
    <row r="31">
      <c r="A31" s="15">
        <f>IFERROR(__xludf.DUMMYFUNCTION("IFERROR(INDEX(FILTER('RE Portfolio'!A$2:A2000,'RE Portfolio'!D$2:D2000=""BUY""), INT((ROW()-2)/amortYears)+1), )
"),1.0)</f>
        <v>1</v>
      </c>
      <c r="B31" s="15">
        <f>IFERROR(__xludf.DUMMYFUNCTION("IFERROR(INDEX(FILTER('RE Portfolio'!B$2:B2000,'RE Portfolio'!D$2:D2000=""BUY""), INT((ROW()-2)/amortYears)+1), )
"),28.0)</f>
        <v>28</v>
      </c>
      <c r="C31" s="15">
        <f>IFERROR(__xludf.DUMMYFUNCTION("IFERROR(INDEX(FILTER('RE Portfolio'!G$2:G2000,'RE Portfolio'!D$2:D2000=""BUY""), INT((ROW()-2)/amortYears)+1), )
"),248357.9003906249)</f>
        <v>248357.9004</v>
      </c>
      <c r="D31" s="15">
        <f>MOD(ROW()-2, amortYears)+1</f>
        <v>30</v>
      </c>
      <c r="E31" s="15">
        <f t="shared" si="1"/>
        <v>57</v>
      </c>
      <c r="F31" s="16">
        <f t="shared" si="2"/>
        <v>18190.68424</v>
      </c>
      <c r="G31" s="16">
        <f>IF(D31&lt;=mortTerm, -PMT(mortRate/12, mortTerm*12, C31)*12, 0)
</f>
        <v>18837.49047</v>
      </c>
      <c r="H31" s="16">
        <f>IF(D31&lt;=mortTerm, G31 - I31, 0)
</f>
        <v>646.8062237</v>
      </c>
      <c r="I31" s="16">
        <f>IF(D31&lt;=mortTerm, F31 - J31, 0)
</f>
        <v>18190.68424</v>
      </c>
      <c r="J31" s="16">
        <f>IF(D31&lt;=mortTerm,
   F31*(1+mortRate/12)^12 - (-PMT(mortRate/12, mortTerm*12, C31))*(((1+mortRate/12)^12 - 1)/(mortRate/12)),
   0
)
</f>
        <v>-0.0000000003346940503</v>
      </c>
      <c r="K31" s="13">
        <f>IFERROR(__xludf.DUMMYFUNCTION("IF(A31="""","""",
   IF(F31&gt;0,
      INDEX(FILTER('RE Portfolio'!L$2:L2000,'RE Portfolio'!D$2:D2000=""BUY""), INT((ROW()-2)/amortYears)+1) - G31,
      INDEX(FILTER('RE Portfolio'!L$2:L2000,'RE Portfolio'!D$2:D2000=""BUY""), INT((ROW()-2)/amortYears)+1)
 "&amp;"  )
)
"),5799.61325249818)</f>
        <v>5799.613252</v>
      </c>
      <c r="L31" s="15">
        <f>IFERROR(__xludf.DUMMYFUNCTION("IF(A31="""","""",
  INDEX(FILTER('RE Portfolio'!C$2:C2000,'RE Portfolio'!D$2:D2000=""BUY""), INT((ROW()-2)/amortYears)+1)
  * (1 + VALUE(Assumptions!$B$11))^(D31-1)
)
"),1032722.3022084885)</f>
        <v>1032722.302</v>
      </c>
    </row>
    <row r="32">
      <c r="A32" s="15">
        <f>IFERROR(__xludf.DUMMYFUNCTION("IFERROR(INDEX(FILTER('RE Portfolio'!A$2:A2000,'RE Portfolio'!D$2:D2000=""BUY""), INT((ROW()-2)/amortYears)+1), )
"),1.0)</f>
        <v>1</v>
      </c>
      <c r="B32" s="15">
        <f>IFERROR(__xludf.DUMMYFUNCTION("IFERROR(INDEX(FILTER('RE Portfolio'!B$2:B2000,'RE Portfolio'!D$2:D2000=""BUY""), INT((ROW()-2)/amortYears)+1), )
"),28.0)</f>
        <v>28</v>
      </c>
      <c r="C32" s="15">
        <f>IFERROR(__xludf.DUMMYFUNCTION("IFERROR(INDEX(FILTER('RE Portfolio'!G$2:G2000,'RE Portfolio'!D$2:D2000=""BUY""), INT((ROW()-2)/amortYears)+1), )
"),248357.9003906249)</f>
        <v>248357.9004</v>
      </c>
      <c r="D32" s="15">
        <f>MOD(ROW()-2, amortYears)+1</f>
        <v>31</v>
      </c>
      <c r="E32" s="15">
        <f t="shared" si="1"/>
        <v>58</v>
      </c>
      <c r="F32" s="16">
        <f t="shared" si="2"/>
        <v>-0.0000000003346940503</v>
      </c>
      <c r="G32" s="15">
        <f>IF(D32&lt;=mortTerm, -PMT(mortRate/12, mortTerm*12, C32)*12, 0)
</f>
        <v>0</v>
      </c>
      <c r="H32" s="15">
        <f>IF(D32&lt;=mortTerm, G32 - I32, 0)
</f>
        <v>0</v>
      </c>
      <c r="I32" s="15">
        <f>IF(D32&lt;=mortTerm, F32 - J32, 0)
</f>
        <v>0</v>
      </c>
      <c r="J32" s="15">
        <f>IF(D32&lt;=mortTerm,
   F32*(1+mortRate/12)^12 - (-PMT(mortRate/12, mortTerm*12, C32))*(((1+mortRate/12)^12 - 1)/(mortRate/12)),
   0
)
</f>
        <v>0</v>
      </c>
      <c r="K32" s="13">
        <f>IFERROR(__xludf.DUMMYFUNCTION("IF(A32="""","""",
   IF(F32&gt;0,
      INDEX(FILTER('RE Portfolio'!L$2:L2000,'RE Portfolio'!D$2:D2000=""BUY""), INT((ROW()-2)/amortYears)+1) - G32,
      INDEX(FILTER('RE Portfolio'!L$2:L2000,'RE Portfolio'!D$2:D2000=""BUY""), INT((ROW()-2)/amortYears)+1)
 "&amp;"  )
)
"),24637.10371874999)</f>
        <v>24637.10372</v>
      </c>
      <c r="L32" s="15">
        <f>IFERROR(__xludf.DUMMYFUNCTION("IF(A32="""","""",
  INDEX(FILTER('RE Portfolio'!C$2:C2000,'RE Portfolio'!D$2:D2000=""BUY""), INT((ROW()-2)/amortYears)+1)
  * (1 + VALUE(Assumptions!$B$11))^(D32-1)
)
"),1074031.194296828)</f>
        <v>1074031.194</v>
      </c>
    </row>
    <row r="33">
      <c r="A33" s="15">
        <f>IFERROR(__xludf.DUMMYFUNCTION("IFERROR(INDEX(FILTER('RE Portfolio'!A$2:A2000,'RE Portfolio'!D$2:D2000=""BUY""), INT((ROW()-2)/amortYears)+1), )
"),1.0)</f>
        <v>1</v>
      </c>
      <c r="B33" s="15">
        <f>IFERROR(__xludf.DUMMYFUNCTION("IFERROR(INDEX(FILTER('RE Portfolio'!B$2:B2000,'RE Portfolio'!D$2:D2000=""BUY""), INT((ROW()-2)/amortYears)+1), )
"),28.0)</f>
        <v>28</v>
      </c>
      <c r="C33" s="15">
        <f>IFERROR(__xludf.DUMMYFUNCTION("IFERROR(INDEX(FILTER('RE Portfolio'!G$2:G2000,'RE Portfolio'!D$2:D2000=""BUY""), INT((ROW()-2)/amortYears)+1), )
"),248357.9003906249)</f>
        <v>248357.9004</v>
      </c>
      <c r="D33" s="15">
        <f>MOD(ROW()-2, amortYears)+1</f>
        <v>32</v>
      </c>
      <c r="E33" s="15">
        <f t="shared" si="1"/>
        <v>59</v>
      </c>
      <c r="F33" s="15">
        <f t="shared" si="2"/>
        <v>0</v>
      </c>
      <c r="G33" s="15">
        <f>IF(D33&lt;=mortTerm, -PMT(mortRate/12, mortTerm*12, C33)*12, 0)
</f>
        <v>0</v>
      </c>
      <c r="H33" s="15">
        <f>IF(D33&lt;=mortTerm, G33 - I33, 0)
</f>
        <v>0</v>
      </c>
      <c r="I33" s="15">
        <f>IF(D33&lt;=mortTerm, F33 - J33, 0)
</f>
        <v>0</v>
      </c>
      <c r="J33" s="15">
        <f>IF(D33&lt;=mortTerm,
   F33*(1+mortRate/12)^12 - (-PMT(mortRate/12, mortTerm*12, C33))*(((1+mortRate/12)^12 - 1)/(mortRate/12)),
   0
)
</f>
        <v>0</v>
      </c>
      <c r="K33" s="13">
        <f>IFERROR(__xludf.DUMMYFUNCTION("IF(A33="""","""",
   IF(F33&gt;0,
      INDEX(FILTER('RE Portfolio'!L$2:L2000,'RE Portfolio'!D$2:D2000=""BUY""), INT((ROW()-2)/amortYears)+1) - G33,
      INDEX(FILTER('RE Portfolio'!L$2:L2000,'RE Portfolio'!D$2:D2000=""BUY""), INT((ROW()-2)/amortYears)+1)
 "&amp;"  )
)
"),24637.10371874999)</f>
        <v>24637.10372</v>
      </c>
      <c r="L33" s="15">
        <f>IFERROR(__xludf.DUMMYFUNCTION("IF(A33="""","""",
  INDEX(FILTER('RE Portfolio'!C$2:C2000,'RE Portfolio'!D$2:D2000=""BUY""), INT((ROW()-2)/amortYears)+1)
  * (1 + VALUE(Assumptions!$B$11))^(D33-1)
)
"),1116992.4420687011)</f>
        <v>1116992.442</v>
      </c>
    </row>
    <row r="34">
      <c r="A34" s="15">
        <f>IFERROR(__xludf.DUMMYFUNCTION("IFERROR(INDEX(FILTER('RE Portfolio'!A$2:A2000,'RE Portfolio'!D$2:D2000=""BUY""), INT((ROW()-2)/amortYears)+1), )
"),1.0)</f>
        <v>1</v>
      </c>
      <c r="B34" s="15">
        <f>IFERROR(__xludf.DUMMYFUNCTION("IFERROR(INDEX(FILTER('RE Portfolio'!B$2:B2000,'RE Portfolio'!D$2:D2000=""BUY""), INT((ROW()-2)/amortYears)+1), )
"),28.0)</f>
        <v>28</v>
      </c>
      <c r="C34" s="15">
        <f>IFERROR(__xludf.DUMMYFUNCTION("IFERROR(INDEX(FILTER('RE Portfolio'!G$2:G2000,'RE Portfolio'!D$2:D2000=""BUY""), INT((ROW()-2)/amortYears)+1), )
"),248357.9003906249)</f>
        <v>248357.9004</v>
      </c>
      <c r="D34" s="15">
        <f>MOD(ROW()-2, amortYears)+1</f>
        <v>33</v>
      </c>
      <c r="E34" s="15">
        <f t="shared" si="1"/>
        <v>60</v>
      </c>
      <c r="F34" s="15">
        <f t="shared" si="2"/>
        <v>0</v>
      </c>
      <c r="G34" s="15">
        <f>IF(D34&lt;=mortTerm, -PMT(mortRate/12, mortTerm*12, C34)*12, 0)
</f>
        <v>0</v>
      </c>
      <c r="H34" s="15">
        <f>IF(D34&lt;=mortTerm, G34 - I34, 0)
</f>
        <v>0</v>
      </c>
      <c r="I34" s="15">
        <f>IF(D34&lt;=mortTerm, F34 - J34, 0)
</f>
        <v>0</v>
      </c>
      <c r="J34" s="15">
        <f>IF(D34&lt;=mortTerm,
   F34*(1+mortRate/12)^12 - (-PMT(mortRate/12, mortTerm*12, C34))*(((1+mortRate/12)^12 - 1)/(mortRate/12)),
   0
)
</f>
        <v>0</v>
      </c>
      <c r="K34" s="13">
        <f>IFERROR(__xludf.DUMMYFUNCTION("IF(A34="""","""",
   IF(F34&gt;0,
      INDEX(FILTER('RE Portfolio'!L$2:L2000,'RE Portfolio'!D$2:D2000=""BUY""), INT((ROW()-2)/amortYears)+1) - G34,
      INDEX(FILTER('RE Portfolio'!L$2:L2000,'RE Portfolio'!D$2:D2000=""BUY""), INT((ROW()-2)/amortYears)+1)
 "&amp;"  )
)
"),24637.10371874999)</f>
        <v>24637.10372</v>
      </c>
      <c r="L34" s="15">
        <f>IFERROR(__xludf.DUMMYFUNCTION("IF(A34="""","""",
  INDEX(FILTER('RE Portfolio'!C$2:C2000,'RE Portfolio'!D$2:D2000=""BUY""), INT((ROW()-2)/amortYears)+1)
  * (1 + VALUE(Assumptions!$B$11))^(D34-1)
)
"),1161672.1397514492)</f>
        <v>1161672.14</v>
      </c>
    </row>
    <row r="35">
      <c r="A35" s="15">
        <f>IFERROR(__xludf.DUMMYFUNCTION("IFERROR(INDEX(FILTER('RE Portfolio'!A$2:A2000,'RE Portfolio'!D$2:D2000=""BUY""), INT((ROW()-2)/amortYears)+1), )
"),1.0)</f>
        <v>1</v>
      </c>
      <c r="B35" s="15">
        <f>IFERROR(__xludf.DUMMYFUNCTION("IFERROR(INDEX(FILTER('RE Portfolio'!B$2:B2000,'RE Portfolio'!D$2:D2000=""BUY""), INT((ROW()-2)/amortYears)+1), )
"),28.0)</f>
        <v>28</v>
      </c>
      <c r="C35" s="15">
        <f>IFERROR(__xludf.DUMMYFUNCTION("IFERROR(INDEX(FILTER('RE Portfolio'!G$2:G2000,'RE Portfolio'!D$2:D2000=""BUY""), INT((ROW()-2)/amortYears)+1), )
"),248357.9003906249)</f>
        <v>248357.9004</v>
      </c>
      <c r="D35" s="15">
        <f>MOD(ROW()-2, amortYears)+1</f>
        <v>34</v>
      </c>
      <c r="E35" s="15">
        <f t="shared" si="1"/>
        <v>61</v>
      </c>
      <c r="F35" s="15">
        <f t="shared" si="2"/>
        <v>0</v>
      </c>
      <c r="G35" s="15">
        <f>IF(D35&lt;=mortTerm, -PMT(mortRate/12, mortTerm*12, C35)*12, 0)
</f>
        <v>0</v>
      </c>
      <c r="H35" s="15">
        <f>IF(D35&lt;=mortTerm, G35 - I35, 0)
</f>
        <v>0</v>
      </c>
      <c r="I35" s="15">
        <f>IF(D35&lt;=mortTerm, F35 - J35, 0)
</f>
        <v>0</v>
      </c>
      <c r="J35" s="15">
        <f>IF(D35&lt;=mortTerm,
   F35*(1+mortRate/12)^12 - (-PMT(mortRate/12, mortTerm*12, C35))*(((1+mortRate/12)^12 - 1)/(mortRate/12)),
   0
)
</f>
        <v>0</v>
      </c>
      <c r="K35" s="13">
        <f>IFERROR(__xludf.DUMMYFUNCTION("IF(A35="""","""",
   IF(F35&gt;0,
      INDEX(FILTER('RE Portfolio'!L$2:L2000,'RE Portfolio'!D$2:D2000=""BUY""), INT((ROW()-2)/amortYears)+1) - G35,
      INDEX(FILTER('RE Portfolio'!L$2:L2000,'RE Portfolio'!D$2:D2000=""BUY""), INT((ROW()-2)/amortYears)+1)
 "&amp;"  )
)
"),24637.10371874999)</f>
        <v>24637.10372</v>
      </c>
      <c r="L35" s="15">
        <f>IFERROR(__xludf.DUMMYFUNCTION("IF(A35="""","""",
  INDEX(FILTER('RE Portfolio'!C$2:C2000,'RE Portfolio'!D$2:D2000=""BUY""), INT((ROW()-2)/amortYears)+1)
  * (1 + VALUE(Assumptions!$B$11))^(D35-1)
)
"),1208139.0253415073)</f>
        <v>1208139.025</v>
      </c>
    </row>
    <row r="36">
      <c r="A36" s="15">
        <f>IFERROR(__xludf.DUMMYFUNCTION("IFERROR(INDEX(FILTER('RE Portfolio'!A$2:A2000,'RE Portfolio'!D$2:D2000=""BUY""), INT((ROW()-2)/amortYears)+1), )
"),1.0)</f>
        <v>1</v>
      </c>
      <c r="B36" s="15">
        <f>IFERROR(__xludf.DUMMYFUNCTION("IFERROR(INDEX(FILTER('RE Portfolio'!B$2:B2000,'RE Portfolio'!D$2:D2000=""BUY""), INT((ROW()-2)/amortYears)+1), )
"),28.0)</f>
        <v>28</v>
      </c>
      <c r="C36" s="15">
        <f>IFERROR(__xludf.DUMMYFUNCTION("IFERROR(INDEX(FILTER('RE Portfolio'!G$2:G2000,'RE Portfolio'!D$2:D2000=""BUY""), INT((ROW()-2)/amortYears)+1), )
"),248357.9003906249)</f>
        <v>248357.9004</v>
      </c>
      <c r="D36" s="15">
        <f>MOD(ROW()-2, amortYears)+1</f>
        <v>35</v>
      </c>
      <c r="E36" s="15">
        <f t="shared" si="1"/>
        <v>62</v>
      </c>
      <c r="F36" s="15">
        <f t="shared" si="2"/>
        <v>0</v>
      </c>
      <c r="G36" s="15">
        <f>IF(D36&lt;=mortTerm, -PMT(mortRate/12, mortTerm*12, C36)*12, 0)
</f>
        <v>0</v>
      </c>
      <c r="H36" s="15">
        <f>IF(D36&lt;=mortTerm, G36 - I36, 0)
</f>
        <v>0</v>
      </c>
      <c r="I36" s="15">
        <f>IF(D36&lt;=mortTerm, F36 - J36, 0)
</f>
        <v>0</v>
      </c>
      <c r="J36" s="15">
        <f>IF(D36&lt;=mortTerm,
   F36*(1+mortRate/12)^12 - (-PMT(mortRate/12, mortTerm*12, C36))*(((1+mortRate/12)^12 - 1)/(mortRate/12)),
   0
)
</f>
        <v>0</v>
      </c>
      <c r="K36" s="13">
        <f>IFERROR(__xludf.DUMMYFUNCTION("IF(A36="""","""",
   IF(F36&gt;0,
      INDEX(FILTER('RE Portfolio'!L$2:L2000,'RE Portfolio'!D$2:D2000=""BUY""), INT((ROW()-2)/amortYears)+1) - G36,
      INDEX(FILTER('RE Portfolio'!L$2:L2000,'RE Portfolio'!D$2:D2000=""BUY""), INT((ROW()-2)/amortYears)+1)
 "&amp;"  )
)
"),24637.10371874999)</f>
        <v>24637.10372</v>
      </c>
      <c r="L36" s="15">
        <f>IFERROR(__xludf.DUMMYFUNCTION("IF(A36="""","""",
  INDEX(FILTER('RE Portfolio'!C$2:C2000,'RE Portfolio'!D$2:D2000=""BUY""), INT((ROW()-2)/amortYears)+1)
  * (1 + VALUE(Assumptions!$B$11))^(D36-1)
)
"),1256464.5863551677)</f>
        <v>1256464.586</v>
      </c>
    </row>
    <row r="37">
      <c r="A37" s="15">
        <f>IFERROR(__xludf.DUMMYFUNCTION("IFERROR(INDEX(FILTER('RE Portfolio'!A$2:A2000,'RE Portfolio'!D$2:D2000=""BUY""), INT((ROW()-2)/amortYears)+1), )
"),1.0)</f>
        <v>1</v>
      </c>
      <c r="B37" s="15">
        <f>IFERROR(__xludf.DUMMYFUNCTION("IFERROR(INDEX(FILTER('RE Portfolio'!B$2:B2000,'RE Portfolio'!D$2:D2000=""BUY""), INT((ROW()-2)/amortYears)+1), )
"),28.0)</f>
        <v>28</v>
      </c>
      <c r="C37" s="15">
        <f>IFERROR(__xludf.DUMMYFUNCTION("IFERROR(INDEX(FILTER('RE Portfolio'!G$2:G2000,'RE Portfolio'!D$2:D2000=""BUY""), INT((ROW()-2)/amortYears)+1), )
"),248357.9003906249)</f>
        <v>248357.9004</v>
      </c>
      <c r="D37" s="15">
        <f>MOD(ROW()-2, amortYears)+1</f>
        <v>36</v>
      </c>
      <c r="E37" s="15">
        <f t="shared" si="1"/>
        <v>63</v>
      </c>
      <c r="F37" s="15">
        <f t="shared" si="2"/>
        <v>0</v>
      </c>
      <c r="G37" s="15">
        <f>IF(D37&lt;=mortTerm, -PMT(mortRate/12, mortTerm*12, C37)*12, 0)
</f>
        <v>0</v>
      </c>
      <c r="H37" s="15">
        <f>IF(D37&lt;=mortTerm, G37 - I37, 0)
</f>
        <v>0</v>
      </c>
      <c r="I37" s="15">
        <f>IF(D37&lt;=mortTerm, F37 - J37, 0)
</f>
        <v>0</v>
      </c>
      <c r="J37" s="15">
        <f>IF(D37&lt;=mortTerm,
   F37*(1+mortRate/12)^12 - (-PMT(mortRate/12, mortTerm*12, C37))*(((1+mortRate/12)^12 - 1)/(mortRate/12)),
   0
)
</f>
        <v>0</v>
      </c>
      <c r="K37" s="13">
        <f>IFERROR(__xludf.DUMMYFUNCTION("IF(A37="""","""",
   IF(F37&gt;0,
      INDEX(FILTER('RE Portfolio'!L$2:L2000,'RE Portfolio'!D$2:D2000=""BUY""), INT((ROW()-2)/amortYears)+1) - G37,
      INDEX(FILTER('RE Portfolio'!L$2:L2000,'RE Portfolio'!D$2:D2000=""BUY""), INT((ROW()-2)/amortYears)+1)
 "&amp;"  )
)
"),24637.10371874999)</f>
        <v>24637.10372</v>
      </c>
      <c r="L37" s="15">
        <f>IFERROR(__xludf.DUMMYFUNCTION("IF(A37="""","""",
  INDEX(FILTER('RE Portfolio'!C$2:C2000,'RE Portfolio'!D$2:D2000=""BUY""), INT((ROW()-2)/amortYears)+1)
  * (1 + VALUE(Assumptions!$B$11))^(D37-1)
)
"),1306723.1698093743)</f>
        <v>1306723.17</v>
      </c>
    </row>
    <row r="38">
      <c r="A38" s="15">
        <f>IFERROR(__xludf.DUMMYFUNCTION("IFERROR(INDEX(FILTER('RE Portfolio'!A$2:A2000,'RE Portfolio'!D$2:D2000=""BUY""), INT((ROW()-2)/amortYears)+1), )
"),1.0)</f>
        <v>1</v>
      </c>
      <c r="B38" s="15">
        <f>IFERROR(__xludf.DUMMYFUNCTION("IFERROR(INDEX(FILTER('RE Portfolio'!B$2:B2000,'RE Portfolio'!D$2:D2000=""BUY""), INT((ROW()-2)/amortYears)+1), )
"),28.0)</f>
        <v>28</v>
      </c>
      <c r="C38" s="15">
        <f>IFERROR(__xludf.DUMMYFUNCTION("IFERROR(INDEX(FILTER('RE Portfolio'!G$2:G2000,'RE Portfolio'!D$2:D2000=""BUY""), INT((ROW()-2)/amortYears)+1), )
"),248357.9003906249)</f>
        <v>248357.9004</v>
      </c>
      <c r="D38" s="15">
        <f>MOD(ROW()-2, amortYears)+1</f>
        <v>37</v>
      </c>
      <c r="E38" s="15">
        <f t="shared" si="1"/>
        <v>64</v>
      </c>
      <c r="F38" s="15">
        <f t="shared" si="2"/>
        <v>0</v>
      </c>
      <c r="G38" s="15">
        <f>IF(D38&lt;=mortTerm, -PMT(mortRate/12, mortTerm*12, C38)*12, 0)
</f>
        <v>0</v>
      </c>
      <c r="H38" s="15">
        <f>IF(D38&lt;=mortTerm, G38 - I38, 0)
</f>
        <v>0</v>
      </c>
      <c r="I38" s="15">
        <f>IF(D38&lt;=mortTerm, F38 - J38, 0)
</f>
        <v>0</v>
      </c>
      <c r="J38" s="15">
        <f>IF(D38&lt;=mortTerm,
   F38*(1+mortRate/12)^12 - (-PMT(mortRate/12, mortTerm*12, C38))*(((1+mortRate/12)^12 - 1)/(mortRate/12)),
   0
)
</f>
        <v>0</v>
      </c>
      <c r="K38" s="13">
        <f>IFERROR(__xludf.DUMMYFUNCTION("IF(A38="""","""",
   IF(F38&gt;0,
      INDEX(FILTER('RE Portfolio'!L$2:L2000,'RE Portfolio'!D$2:D2000=""BUY""), INT((ROW()-2)/amortYears)+1) - G38,
      INDEX(FILTER('RE Portfolio'!L$2:L2000,'RE Portfolio'!D$2:D2000=""BUY""), INT((ROW()-2)/amortYears)+1)
 "&amp;"  )
)
"),24637.10371874999)</f>
        <v>24637.10372</v>
      </c>
      <c r="L38" s="15">
        <f>IFERROR(__xludf.DUMMYFUNCTION("IF(A38="""","""",
  INDEX(FILTER('RE Portfolio'!C$2:C2000,'RE Portfolio'!D$2:D2000=""BUY""), INT((ROW()-2)/amortYears)+1)
  * (1 + VALUE(Assumptions!$B$11))^(D38-1)
)
"),1358992.0966017495)</f>
        <v>1358992.097</v>
      </c>
    </row>
    <row r="39">
      <c r="A39" s="15">
        <f>IFERROR(__xludf.DUMMYFUNCTION("IFERROR(INDEX(FILTER('RE Portfolio'!A$2:A2000,'RE Portfolio'!D$2:D2000=""BUY""), INT((ROW()-2)/amortYears)+1), )
"),1.0)</f>
        <v>1</v>
      </c>
      <c r="B39" s="15">
        <f>IFERROR(__xludf.DUMMYFUNCTION("IFERROR(INDEX(FILTER('RE Portfolio'!B$2:B2000,'RE Portfolio'!D$2:D2000=""BUY""), INT((ROW()-2)/amortYears)+1), )
"),28.0)</f>
        <v>28</v>
      </c>
      <c r="C39" s="15">
        <f>IFERROR(__xludf.DUMMYFUNCTION("IFERROR(INDEX(FILTER('RE Portfolio'!G$2:G2000,'RE Portfolio'!D$2:D2000=""BUY""), INT((ROW()-2)/amortYears)+1), )
"),248357.9003906249)</f>
        <v>248357.9004</v>
      </c>
      <c r="D39" s="15">
        <f>MOD(ROW()-2, amortYears)+1</f>
        <v>38</v>
      </c>
      <c r="E39" s="15">
        <f t="shared" si="1"/>
        <v>65</v>
      </c>
      <c r="F39" s="15">
        <f t="shared" si="2"/>
        <v>0</v>
      </c>
      <c r="G39" s="15">
        <f>IF(D39&lt;=mortTerm, -PMT(mortRate/12, mortTerm*12, C39)*12, 0)
</f>
        <v>0</v>
      </c>
      <c r="H39" s="15">
        <f>IF(D39&lt;=mortTerm, G39 - I39, 0)
</f>
        <v>0</v>
      </c>
      <c r="I39" s="15">
        <f>IF(D39&lt;=mortTerm, F39 - J39, 0)
</f>
        <v>0</v>
      </c>
      <c r="J39" s="15">
        <f>IF(D39&lt;=mortTerm,
   F39*(1+mortRate/12)^12 - (-PMT(mortRate/12, mortTerm*12, C39))*(((1+mortRate/12)^12 - 1)/(mortRate/12)),
   0
)
</f>
        <v>0</v>
      </c>
      <c r="K39" s="13">
        <f>IFERROR(__xludf.DUMMYFUNCTION("IF(A39="""","""",
   IF(F39&gt;0,
      INDEX(FILTER('RE Portfolio'!L$2:L2000,'RE Portfolio'!D$2:D2000=""BUY""), INT((ROW()-2)/amortYears)+1) - G39,
      INDEX(FILTER('RE Portfolio'!L$2:L2000,'RE Portfolio'!D$2:D2000=""BUY""), INT((ROW()-2)/amortYears)+1)
 "&amp;"  )
)
"),24637.10371874999)</f>
        <v>24637.10372</v>
      </c>
      <c r="L39" s="15">
        <f>IFERROR(__xludf.DUMMYFUNCTION("IF(A39="""","""",
  INDEX(FILTER('RE Portfolio'!C$2:C2000,'RE Portfolio'!D$2:D2000=""BUY""), INT((ROW()-2)/amortYears)+1)
  * (1 + VALUE(Assumptions!$B$11))^(D39-1)
)
"),1413351.7804658192)</f>
        <v>1413351.78</v>
      </c>
    </row>
    <row r="40">
      <c r="A40" s="15">
        <f>IFERROR(__xludf.DUMMYFUNCTION("IFERROR(INDEX(FILTER('RE Portfolio'!A$2:A2000,'RE Portfolio'!D$2:D2000=""BUY""), INT((ROW()-2)/amortYears)+1), )
"),2.0)</f>
        <v>2</v>
      </c>
      <c r="B40" s="15">
        <f>IFERROR(__xludf.DUMMYFUNCTION("IFERROR(INDEX(FILTER('RE Portfolio'!B$2:B2000,'RE Portfolio'!D$2:D2000=""BUY""), INT((ROW()-2)/amortYears)+1), )
"),30.0)</f>
        <v>30</v>
      </c>
      <c r="C40" s="15">
        <f>IFERROR(__xludf.DUMMYFUNCTION("IFERROR(INDEX(FILTER('RE Portfolio'!G$2:G2000,'RE Portfolio'!D$2:D2000=""BUY""), INT((ROW()-2)/amortYears)+1), )
"),260931.01909790025)</f>
        <v>260931.0191</v>
      </c>
      <c r="D40" s="15">
        <f>MOD(ROW()-2, amortYears)+1</f>
        <v>1</v>
      </c>
      <c r="E40" s="15">
        <f t="shared" si="1"/>
        <v>30</v>
      </c>
      <c r="F40" s="15">
        <f t="shared" si="2"/>
        <v>260931.0191</v>
      </c>
      <c r="G40" s="16">
        <f>IF(D40&lt;=mortTerm, -PMT(mortRate/12, mortTerm*12, C40)*12, 0)
</f>
        <v>19791.13842</v>
      </c>
      <c r="H40" s="16">
        <f>IF(D40&lt;=mortTerm, G40 - I40, 0)
</f>
        <v>16874.64596</v>
      </c>
      <c r="I40" s="16">
        <f>IF(D40&lt;=mortTerm, F40 - J40, 0)
</f>
        <v>2916.492457</v>
      </c>
      <c r="J40" s="16">
        <f>IF(D40&lt;=mortTerm,
   F40*(1+mortRate/12)^12 - (-PMT(mortRate/12, mortTerm*12, C40))*(((1+mortRate/12)^12 - 1)/(mortRate/12)),
   0
)
</f>
        <v>258014.5266</v>
      </c>
      <c r="K40" s="13">
        <f>IFERROR(__xludf.DUMMYFUNCTION("IF(A40="""","""",
   IF(F40&gt;0,
      INDEX(FILTER('RE Portfolio'!L$2:L2000,'RE Portfolio'!D$2:D2000=""BUY""), INT((ROW()-2)/amortYears)+1) - G40,
      INDEX(FILTER('RE Portfolio'!L$2:L2000,'RE Portfolio'!D$2:D2000=""BUY""), INT((ROW()-2)/amortYears)+1)
 "&amp;"  )
)
"),6093.218673405903)</f>
        <v>6093.218673</v>
      </c>
      <c r="L40" s="15">
        <f>IFERROR(__xludf.DUMMYFUNCTION("IF(A40="""","""",
  INDEX(FILTER('RE Portfolio'!C$2:C2000,'RE Portfolio'!D$2:D2000=""BUY""), INT((ROW()-2)/amortYears)+1)
  * (1 + VALUE(Assumptions!$B$11))^(D40-1)
)
"),347908.025463867)</f>
        <v>347908.0255</v>
      </c>
    </row>
    <row r="41">
      <c r="A41" s="15">
        <f>IFERROR(__xludf.DUMMYFUNCTION("IFERROR(INDEX(FILTER('RE Portfolio'!A$2:A2000,'RE Portfolio'!D$2:D2000=""BUY""), INT((ROW()-2)/amortYears)+1), )
"),2.0)</f>
        <v>2</v>
      </c>
      <c r="B41" s="15">
        <f>IFERROR(__xludf.DUMMYFUNCTION("IFERROR(INDEX(FILTER('RE Portfolio'!B$2:B2000,'RE Portfolio'!D$2:D2000=""BUY""), INT((ROW()-2)/amortYears)+1), )
"),30.0)</f>
        <v>30</v>
      </c>
      <c r="C41" s="15">
        <f>IFERROR(__xludf.DUMMYFUNCTION("IFERROR(INDEX(FILTER('RE Portfolio'!G$2:G2000,'RE Portfolio'!D$2:D2000=""BUY""), INT((ROW()-2)/amortYears)+1), )
"),260931.01909790025)</f>
        <v>260931.0191</v>
      </c>
      <c r="D41" s="15">
        <f>MOD(ROW()-2, amortYears)+1</f>
        <v>2</v>
      </c>
      <c r="E41" s="15">
        <f t="shared" si="1"/>
        <v>31</v>
      </c>
      <c r="F41" s="16">
        <f t="shared" si="2"/>
        <v>258014.5266</v>
      </c>
      <c r="G41" s="16">
        <f>IF(D41&lt;=mortTerm, -PMT(mortRate/12, mortTerm*12, C41)*12, 0)
</f>
        <v>19791.13842</v>
      </c>
      <c r="H41" s="16">
        <f>IF(D41&lt;=mortTerm, G41 - I41, 0)
</f>
        <v>16679.32306</v>
      </c>
      <c r="I41" s="16">
        <f>IF(D41&lt;=mortTerm, F41 - J41, 0)
</f>
        <v>3111.815358</v>
      </c>
      <c r="J41" s="16">
        <f>IF(D41&lt;=mortTerm,
   F41*(1+mortRate/12)^12 - (-PMT(mortRate/12, mortTerm*12, C41))*(((1+mortRate/12)^12 - 1)/(mortRate/12)),
   0
)
</f>
        <v>254902.7113</v>
      </c>
      <c r="K41" s="13">
        <f>IFERROR(__xludf.DUMMYFUNCTION("IF(A41="""","""",
   IF(F41&gt;0,
      INDEX(FILTER('RE Portfolio'!L$2:L2000,'RE Portfolio'!D$2:D2000=""BUY""), INT((ROW()-2)/amortYears)+1) - G41,
      INDEX(FILTER('RE Portfolio'!L$2:L2000,'RE Portfolio'!D$2:D2000=""BUY""), INT((ROW()-2)/amortYears)+1)
 "&amp;"  )
)
"),6093.218673405903)</f>
        <v>6093.218673</v>
      </c>
      <c r="L41" s="15">
        <f>IFERROR(__xludf.DUMMYFUNCTION("IF(A41="""","""",
  INDEX(FILTER('RE Portfolio'!C$2:C2000,'RE Portfolio'!D$2:D2000=""BUY""), INT((ROW()-2)/amortYears)+1)
  * (1 + VALUE(Assumptions!$B$11))^(D41-1)
)
"),361824.3464824217)</f>
        <v>361824.3465</v>
      </c>
    </row>
    <row r="42">
      <c r="A42" s="15">
        <f>IFERROR(__xludf.DUMMYFUNCTION("IFERROR(INDEX(FILTER('RE Portfolio'!A$2:A2000,'RE Portfolio'!D$2:D2000=""BUY""), INT((ROW()-2)/amortYears)+1), )
"),2.0)</f>
        <v>2</v>
      </c>
      <c r="B42" s="15">
        <f>IFERROR(__xludf.DUMMYFUNCTION("IFERROR(INDEX(FILTER('RE Portfolio'!B$2:B2000,'RE Portfolio'!D$2:D2000=""BUY""), INT((ROW()-2)/amortYears)+1), )
"),30.0)</f>
        <v>30</v>
      </c>
      <c r="C42" s="15">
        <f>IFERROR(__xludf.DUMMYFUNCTION("IFERROR(INDEX(FILTER('RE Portfolio'!G$2:G2000,'RE Portfolio'!D$2:D2000=""BUY""), INT((ROW()-2)/amortYears)+1), )
"),260931.01909790025)</f>
        <v>260931.0191</v>
      </c>
      <c r="D42" s="15">
        <f>MOD(ROW()-2, amortYears)+1</f>
        <v>3</v>
      </c>
      <c r="E42" s="15">
        <f t="shared" si="1"/>
        <v>32</v>
      </c>
      <c r="F42" s="16">
        <f t="shared" si="2"/>
        <v>254902.7113</v>
      </c>
      <c r="G42" s="16">
        <f>IF(D42&lt;=mortTerm, -PMT(mortRate/12, mortTerm*12, C42)*12, 0)
</f>
        <v>19791.13842</v>
      </c>
      <c r="H42" s="16">
        <f>IF(D42&lt;=mortTerm, G42 - I42, 0)
</f>
        <v>16470.91903</v>
      </c>
      <c r="I42" s="16">
        <f>IF(D42&lt;=mortTerm, F42 - J42, 0)
</f>
        <v>3320.219396</v>
      </c>
      <c r="J42" s="16">
        <f>IF(D42&lt;=mortTerm,
   F42*(1+mortRate/12)^12 - (-PMT(mortRate/12, mortTerm*12, C42))*(((1+mortRate/12)^12 - 1)/(mortRate/12)),
   0
)
</f>
        <v>251582.4919</v>
      </c>
      <c r="K42" s="13">
        <f>IFERROR(__xludf.DUMMYFUNCTION("IF(A42="""","""",
   IF(F42&gt;0,
      INDEX(FILTER('RE Portfolio'!L$2:L2000,'RE Portfolio'!D$2:D2000=""BUY""), INT((ROW()-2)/amortYears)+1) - G42,
      INDEX(FILTER('RE Portfolio'!L$2:L2000,'RE Portfolio'!D$2:D2000=""BUY""), INT((ROW()-2)/amortYears)+1)
 "&amp;"  )
)
"),6093.218673405903)</f>
        <v>6093.218673</v>
      </c>
      <c r="L42" s="15">
        <f>IFERROR(__xludf.DUMMYFUNCTION("IF(A42="""","""",
  INDEX(FILTER('RE Portfolio'!C$2:C2000,'RE Portfolio'!D$2:D2000=""BUY""), INT((ROW()-2)/amortYears)+1)
  * (1 + VALUE(Assumptions!$B$11))^(D42-1)
)
"),376297.3203417186)</f>
        <v>376297.3203</v>
      </c>
    </row>
    <row r="43">
      <c r="A43" s="15">
        <f>IFERROR(__xludf.DUMMYFUNCTION("IFERROR(INDEX(FILTER('RE Portfolio'!A$2:A2000,'RE Portfolio'!D$2:D2000=""BUY""), INT((ROW()-2)/amortYears)+1), )
"),2.0)</f>
        <v>2</v>
      </c>
      <c r="B43" s="15">
        <f>IFERROR(__xludf.DUMMYFUNCTION("IFERROR(INDEX(FILTER('RE Portfolio'!B$2:B2000,'RE Portfolio'!D$2:D2000=""BUY""), INT((ROW()-2)/amortYears)+1), )
"),30.0)</f>
        <v>30</v>
      </c>
      <c r="C43" s="15">
        <f>IFERROR(__xludf.DUMMYFUNCTION("IFERROR(INDEX(FILTER('RE Portfolio'!G$2:G2000,'RE Portfolio'!D$2:D2000=""BUY""), INT((ROW()-2)/amortYears)+1), )
"),260931.01909790025)</f>
        <v>260931.0191</v>
      </c>
      <c r="D43" s="15">
        <f>MOD(ROW()-2, amortYears)+1</f>
        <v>4</v>
      </c>
      <c r="E43" s="15">
        <f t="shared" si="1"/>
        <v>33</v>
      </c>
      <c r="F43" s="16">
        <f t="shared" si="2"/>
        <v>251582.4919</v>
      </c>
      <c r="G43" s="16">
        <f>IF(D43&lt;=mortTerm, -PMT(mortRate/12, mortTerm*12, C43)*12, 0)
</f>
        <v>19791.13842</v>
      </c>
      <c r="H43" s="16">
        <f>IF(D43&lt;=mortTerm, G43 - I43, 0)
</f>
        <v>16248.55778</v>
      </c>
      <c r="I43" s="16">
        <f>IF(D43&lt;=mortTerm, F43 - J43, 0)
</f>
        <v>3542.580638</v>
      </c>
      <c r="J43" s="16">
        <f>IF(D43&lt;=mortTerm,
   F43*(1+mortRate/12)^12 - (-PMT(mortRate/12, mortTerm*12, C43))*(((1+mortRate/12)^12 - 1)/(mortRate/12)),
   0
)
</f>
        <v>248039.9112</v>
      </c>
      <c r="K43" s="13">
        <f>IFERROR(__xludf.DUMMYFUNCTION("IF(A43="""","""",
   IF(F43&gt;0,
      INDEX(FILTER('RE Portfolio'!L$2:L2000,'RE Portfolio'!D$2:D2000=""BUY""), INT((ROW()-2)/amortYears)+1) - G43,
      INDEX(FILTER('RE Portfolio'!L$2:L2000,'RE Portfolio'!D$2:D2000=""BUY""), INT((ROW()-2)/amortYears)+1)
 "&amp;"  )
)
"),6093.218673405903)</f>
        <v>6093.218673</v>
      </c>
      <c r="L43" s="15">
        <f>IFERROR(__xludf.DUMMYFUNCTION("IF(A43="""","""",
  INDEX(FILTER('RE Portfolio'!C$2:C2000,'RE Portfolio'!D$2:D2000=""BUY""), INT((ROW()-2)/amortYears)+1)
  * (1 + VALUE(Assumptions!$B$11))^(D43-1)
)
"),391349.2131553873)</f>
        <v>391349.2132</v>
      </c>
    </row>
    <row r="44">
      <c r="A44" s="15">
        <f>IFERROR(__xludf.DUMMYFUNCTION("IFERROR(INDEX(FILTER('RE Portfolio'!A$2:A2000,'RE Portfolio'!D$2:D2000=""BUY""), INT((ROW()-2)/amortYears)+1), )
"),2.0)</f>
        <v>2</v>
      </c>
      <c r="B44" s="15">
        <f>IFERROR(__xludf.DUMMYFUNCTION("IFERROR(INDEX(FILTER('RE Portfolio'!B$2:B2000,'RE Portfolio'!D$2:D2000=""BUY""), INT((ROW()-2)/amortYears)+1), )
"),30.0)</f>
        <v>30</v>
      </c>
      <c r="C44" s="15">
        <f>IFERROR(__xludf.DUMMYFUNCTION("IFERROR(INDEX(FILTER('RE Portfolio'!G$2:G2000,'RE Portfolio'!D$2:D2000=""BUY""), INT((ROW()-2)/amortYears)+1), )
"),260931.01909790025)</f>
        <v>260931.0191</v>
      </c>
      <c r="D44" s="15">
        <f>MOD(ROW()-2, amortYears)+1</f>
        <v>5</v>
      </c>
      <c r="E44" s="15">
        <f t="shared" si="1"/>
        <v>34</v>
      </c>
      <c r="F44" s="16">
        <f t="shared" si="2"/>
        <v>248039.9112</v>
      </c>
      <c r="G44" s="16">
        <f>IF(D44&lt;=mortTerm, -PMT(mortRate/12, mortTerm*12, C44)*12, 0)
</f>
        <v>19791.13842</v>
      </c>
      <c r="H44" s="16">
        <f>IF(D44&lt;=mortTerm, G44 - I44, 0)
</f>
        <v>16011.3046</v>
      </c>
      <c r="I44" s="16">
        <f>IF(D44&lt;=mortTerm, F44 - J44, 0)
</f>
        <v>3779.833824</v>
      </c>
      <c r="J44" s="16">
        <f>IF(D44&lt;=mortTerm,
   F44*(1+mortRate/12)^12 - (-PMT(mortRate/12, mortTerm*12, C44))*(((1+mortRate/12)^12 - 1)/(mortRate/12)),
   0
)
</f>
        <v>244260.0774</v>
      </c>
      <c r="K44" s="13">
        <f>IFERROR(__xludf.DUMMYFUNCTION("IF(A44="""","""",
   IF(F44&gt;0,
      INDEX(FILTER('RE Portfolio'!L$2:L2000,'RE Portfolio'!D$2:D2000=""BUY""), INT((ROW()-2)/amortYears)+1) - G44,
      INDEX(FILTER('RE Portfolio'!L$2:L2000,'RE Portfolio'!D$2:D2000=""BUY""), INT((ROW()-2)/amortYears)+1)
 "&amp;"  )
)
"),6093.218673405903)</f>
        <v>6093.218673</v>
      </c>
      <c r="L44" s="15">
        <f>IFERROR(__xludf.DUMMYFUNCTION("IF(A44="""","""",
  INDEX(FILTER('RE Portfolio'!C$2:C2000,'RE Portfolio'!D$2:D2000=""BUY""), INT((ROW()-2)/amortYears)+1)
  * (1 + VALUE(Assumptions!$B$11))^(D44-1)
)
"),407003.18168160284)</f>
        <v>407003.1817</v>
      </c>
    </row>
    <row r="45">
      <c r="A45" s="15">
        <f>IFERROR(__xludf.DUMMYFUNCTION("IFERROR(INDEX(FILTER('RE Portfolio'!A$2:A2000,'RE Portfolio'!D$2:D2000=""BUY""), INT((ROW()-2)/amortYears)+1), )
"),2.0)</f>
        <v>2</v>
      </c>
      <c r="B45" s="15">
        <f>IFERROR(__xludf.DUMMYFUNCTION("IFERROR(INDEX(FILTER('RE Portfolio'!B$2:B2000,'RE Portfolio'!D$2:D2000=""BUY""), INT((ROW()-2)/amortYears)+1), )
"),30.0)</f>
        <v>30</v>
      </c>
      <c r="C45" s="15">
        <f>IFERROR(__xludf.DUMMYFUNCTION("IFERROR(INDEX(FILTER('RE Portfolio'!G$2:G2000,'RE Portfolio'!D$2:D2000=""BUY""), INT((ROW()-2)/amortYears)+1), )
"),260931.01909790025)</f>
        <v>260931.0191</v>
      </c>
      <c r="D45" s="15">
        <f>MOD(ROW()-2, amortYears)+1</f>
        <v>6</v>
      </c>
      <c r="E45" s="15">
        <f t="shared" si="1"/>
        <v>35</v>
      </c>
      <c r="F45" s="16">
        <f t="shared" si="2"/>
        <v>244260.0774</v>
      </c>
      <c r="G45" s="16">
        <f>IF(D45&lt;=mortTerm, -PMT(mortRate/12, mortTerm*12, C45)*12, 0)
</f>
        <v>19791.13842</v>
      </c>
      <c r="H45" s="16">
        <f>IF(D45&lt;=mortTerm, G45 - I45, 0)
</f>
        <v>15758.16213</v>
      </c>
      <c r="I45" s="16">
        <f>IF(D45&lt;=mortTerm, F45 - J45, 0)
</f>
        <v>4032.976295</v>
      </c>
      <c r="J45" s="16">
        <f>IF(D45&lt;=mortTerm,
   F45*(1+mortRate/12)^12 - (-PMT(mortRate/12, mortTerm*12, C45))*(((1+mortRate/12)^12 - 1)/(mortRate/12)),
   0
)
</f>
        <v>240227.1011</v>
      </c>
      <c r="K45" s="13">
        <f>IFERROR(__xludf.DUMMYFUNCTION("IF(A45="""","""",
   IF(F45&gt;0,
      INDEX(FILTER('RE Portfolio'!L$2:L2000,'RE Portfolio'!D$2:D2000=""BUY""), INT((ROW()-2)/amortYears)+1) - G45,
      INDEX(FILTER('RE Portfolio'!L$2:L2000,'RE Portfolio'!D$2:D2000=""BUY""), INT((ROW()-2)/amortYears)+1)
 "&amp;"  )
)
"),6093.218673405903)</f>
        <v>6093.218673</v>
      </c>
      <c r="L45" s="15">
        <f>IFERROR(__xludf.DUMMYFUNCTION("IF(A45="""","""",
  INDEX(FILTER('RE Portfolio'!C$2:C2000,'RE Portfolio'!D$2:D2000=""BUY""), INT((ROW()-2)/amortYears)+1)
  * (1 + VALUE(Assumptions!$B$11))^(D45-1)
)
"),423283.30894886696)</f>
        <v>423283.3089</v>
      </c>
    </row>
    <row r="46">
      <c r="A46" s="15">
        <f>IFERROR(__xludf.DUMMYFUNCTION("IFERROR(INDEX(FILTER('RE Portfolio'!A$2:A2000,'RE Portfolio'!D$2:D2000=""BUY""), INT((ROW()-2)/amortYears)+1), )
"),2.0)</f>
        <v>2</v>
      </c>
      <c r="B46" s="15">
        <f>IFERROR(__xludf.DUMMYFUNCTION("IFERROR(INDEX(FILTER('RE Portfolio'!B$2:B2000,'RE Portfolio'!D$2:D2000=""BUY""), INT((ROW()-2)/amortYears)+1), )
"),30.0)</f>
        <v>30</v>
      </c>
      <c r="C46" s="15">
        <f>IFERROR(__xludf.DUMMYFUNCTION("IFERROR(INDEX(FILTER('RE Portfolio'!G$2:G2000,'RE Portfolio'!D$2:D2000=""BUY""), INT((ROW()-2)/amortYears)+1), )
"),260931.01909790025)</f>
        <v>260931.0191</v>
      </c>
      <c r="D46" s="15">
        <f>MOD(ROW()-2, amortYears)+1</f>
        <v>7</v>
      </c>
      <c r="E46" s="15">
        <f t="shared" si="1"/>
        <v>36</v>
      </c>
      <c r="F46" s="16">
        <f t="shared" si="2"/>
        <v>240227.1011</v>
      </c>
      <c r="G46" s="16">
        <f>IF(D46&lt;=mortTerm, -PMT(mortRate/12, mortTerm*12, C46)*12, 0)
</f>
        <v>19791.13842</v>
      </c>
      <c r="H46" s="16">
        <f>IF(D46&lt;=mortTerm, G46 - I46, 0)
</f>
        <v>15488.06623</v>
      </c>
      <c r="I46" s="16">
        <f>IF(D46&lt;=mortTerm, F46 - J46, 0)
</f>
        <v>4303.072187</v>
      </c>
      <c r="J46" s="16">
        <f>IF(D46&lt;=mortTerm,
   F46*(1+mortRate/12)^12 - (-PMT(mortRate/12, mortTerm*12, C46))*(((1+mortRate/12)^12 - 1)/(mortRate/12)),
   0
)
</f>
        <v>235924.0289</v>
      </c>
      <c r="K46" s="13">
        <f>IFERROR(__xludf.DUMMYFUNCTION("IF(A46="""","""",
   IF(F46&gt;0,
      INDEX(FILTER('RE Portfolio'!L$2:L2000,'RE Portfolio'!D$2:D2000=""BUY""), INT((ROW()-2)/amortYears)+1) - G46,
      INDEX(FILTER('RE Portfolio'!L$2:L2000,'RE Portfolio'!D$2:D2000=""BUY""), INT((ROW()-2)/amortYears)+1)
 "&amp;"  )
)
"),6093.218673405903)</f>
        <v>6093.218673</v>
      </c>
      <c r="L46" s="15">
        <f>IFERROR(__xludf.DUMMYFUNCTION("IF(A46="""","""",
  INDEX(FILTER('RE Portfolio'!C$2:C2000,'RE Portfolio'!D$2:D2000=""BUY""), INT((ROW()-2)/amortYears)+1)
  * (1 + VALUE(Assumptions!$B$11))^(D46-1)
)
"),440214.6413068217)</f>
        <v>440214.6413</v>
      </c>
    </row>
    <row r="47">
      <c r="A47" s="15">
        <f>IFERROR(__xludf.DUMMYFUNCTION("IFERROR(INDEX(FILTER('RE Portfolio'!A$2:A2000,'RE Portfolio'!D$2:D2000=""BUY""), INT((ROW()-2)/amortYears)+1), )
"),2.0)</f>
        <v>2</v>
      </c>
      <c r="B47" s="15">
        <f>IFERROR(__xludf.DUMMYFUNCTION("IFERROR(INDEX(FILTER('RE Portfolio'!B$2:B2000,'RE Portfolio'!D$2:D2000=""BUY""), INT((ROW()-2)/amortYears)+1), )
"),30.0)</f>
        <v>30</v>
      </c>
      <c r="C47" s="15">
        <f>IFERROR(__xludf.DUMMYFUNCTION("IFERROR(INDEX(FILTER('RE Portfolio'!G$2:G2000,'RE Portfolio'!D$2:D2000=""BUY""), INT((ROW()-2)/amortYears)+1), )
"),260931.01909790025)</f>
        <v>260931.0191</v>
      </c>
      <c r="D47" s="15">
        <f>MOD(ROW()-2, amortYears)+1</f>
        <v>8</v>
      </c>
      <c r="E47" s="15">
        <f t="shared" si="1"/>
        <v>37</v>
      </c>
      <c r="F47" s="16">
        <f t="shared" si="2"/>
        <v>235924.0289</v>
      </c>
      <c r="G47" s="16">
        <f>IF(D47&lt;=mortTerm, -PMT(mortRate/12, mortTerm*12, C47)*12, 0)
</f>
        <v>19791.13842</v>
      </c>
      <c r="H47" s="16">
        <f>IF(D47&lt;=mortTerm, G47 - I47, 0)
</f>
        <v>15199.88152</v>
      </c>
      <c r="I47" s="16">
        <f>IF(D47&lt;=mortTerm, F47 - J47, 0)
</f>
        <v>4591.256901</v>
      </c>
      <c r="J47" s="16">
        <f>IF(D47&lt;=mortTerm,
   F47*(1+mortRate/12)^12 - (-PMT(mortRate/12, mortTerm*12, C47))*(((1+mortRate/12)^12 - 1)/(mortRate/12)),
   0
)
</f>
        <v>231332.772</v>
      </c>
      <c r="K47" s="13">
        <f>IFERROR(__xludf.DUMMYFUNCTION("IF(A47="""","""",
   IF(F47&gt;0,
      INDEX(FILTER('RE Portfolio'!L$2:L2000,'RE Portfolio'!D$2:D2000=""BUY""), INT((ROW()-2)/amortYears)+1) - G47,
      INDEX(FILTER('RE Portfolio'!L$2:L2000,'RE Portfolio'!D$2:D2000=""BUY""), INT((ROW()-2)/amortYears)+1)
 "&amp;"  )
)
"),6093.218673405903)</f>
        <v>6093.218673</v>
      </c>
      <c r="L47" s="15">
        <f>IFERROR(__xludf.DUMMYFUNCTION("IF(A47="""","""",
  INDEX(FILTER('RE Portfolio'!C$2:C2000,'RE Portfolio'!D$2:D2000=""BUY""), INT((ROW()-2)/amortYears)+1)
  * (1 + VALUE(Assumptions!$B$11))^(D47-1)
)
"),457823.2269590945)</f>
        <v>457823.227</v>
      </c>
    </row>
    <row r="48">
      <c r="A48" s="15">
        <f>IFERROR(__xludf.DUMMYFUNCTION("IFERROR(INDEX(FILTER('RE Portfolio'!A$2:A2000,'RE Portfolio'!D$2:D2000=""BUY""), INT((ROW()-2)/amortYears)+1), )
"),2.0)</f>
        <v>2</v>
      </c>
      <c r="B48" s="15">
        <f>IFERROR(__xludf.DUMMYFUNCTION("IFERROR(INDEX(FILTER('RE Portfolio'!B$2:B2000,'RE Portfolio'!D$2:D2000=""BUY""), INT((ROW()-2)/amortYears)+1), )
"),30.0)</f>
        <v>30</v>
      </c>
      <c r="C48" s="15">
        <f>IFERROR(__xludf.DUMMYFUNCTION("IFERROR(INDEX(FILTER('RE Portfolio'!G$2:G2000,'RE Portfolio'!D$2:D2000=""BUY""), INT((ROW()-2)/amortYears)+1), )
"),260931.01909790025)</f>
        <v>260931.0191</v>
      </c>
      <c r="D48" s="15">
        <f>MOD(ROW()-2, amortYears)+1</f>
        <v>9</v>
      </c>
      <c r="E48" s="15">
        <f t="shared" si="1"/>
        <v>38</v>
      </c>
      <c r="F48" s="16">
        <f t="shared" si="2"/>
        <v>231332.772</v>
      </c>
      <c r="G48" s="16">
        <f>IF(D48&lt;=mortTerm, -PMT(mortRate/12, mortTerm*12, C48)*12, 0)
</f>
        <v>19791.13842</v>
      </c>
      <c r="H48" s="16">
        <f>IF(D48&lt;=mortTerm, G48 - I48, 0)
</f>
        <v>14892.39654</v>
      </c>
      <c r="I48" s="16">
        <f>IF(D48&lt;=mortTerm, F48 - J48, 0)
</f>
        <v>4898.741878</v>
      </c>
      <c r="J48" s="16">
        <f>IF(D48&lt;=mortTerm,
   F48*(1+mortRate/12)^12 - (-PMT(mortRate/12, mortTerm*12, C48))*(((1+mortRate/12)^12 - 1)/(mortRate/12)),
   0
)
</f>
        <v>226434.0302</v>
      </c>
      <c r="K48" s="13">
        <f>IFERROR(__xludf.DUMMYFUNCTION("IF(A48="""","""",
   IF(F48&gt;0,
      INDEX(FILTER('RE Portfolio'!L$2:L2000,'RE Portfolio'!D$2:D2000=""BUY""), INT((ROW()-2)/amortYears)+1) - G48,
      INDEX(FILTER('RE Portfolio'!L$2:L2000,'RE Portfolio'!D$2:D2000=""BUY""), INT((ROW()-2)/amortYears)+1)
 "&amp;"  )
)
"),6093.218673405903)</f>
        <v>6093.218673</v>
      </c>
      <c r="L48" s="15">
        <f>IFERROR(__xludf.DUMMYFUNCTION("IF(A48="""","""",
  INDEX(FILTER('RE Portfolio'!C$2:C2000,'RE Portfolio'!D$2:D2000=""BUY""), INT((ROW()-2)/amortYears)+1)
  * (1 + VALUE(Assumptions!$B$11))^(D48-1)
)
"),476136.15603745834)</f>
        <v>476136.156</v>
      </c>
    </row>
    <row r="49">
      <c r="A49" s="15">
        <f>IFERROR(__xludf.DUMMYFUNCTION("IFERROR(INDEX(FILTER('RE Portfolio'!A$2:A2000,'RE Portfolio'!D$2:D2000=""BUY""), INT((ROW()-2)/amortYears)+1), )
"),2.0)</f>
        <v>2</v>
      </c>
      <c r="B49" s="15">
        <f>IFERROR(__xludf.DUMMYFUNCTION("IFERROR(INDEX(FILTER('RE Portfolio'!B$2:B2000,'RE Portfolio'!D$2:D2000=""BUY""), INT((ROW()-2)/amortYears)+1), )
"),30.0)</f>
        <v>30</v>
      </c>
      <c r="C49" s="15">
        <f>IFERROR(__xludf.DUMMYFUNCTION("IFERROR(INDEX(FILTER('RE Portfolio'!G$2:G2000,'RE Portfolio'!D$2:D2000=""BUY""), INT((ROW()-2)/amortYears)+1), )
"),260931.01909790025)</f>
        <v>260931.0191</v>
      </c>
      <c r="D49" s="15">
        <f>MOD(ROW()-2, amortYears)+1</f>
        <v>10</v>
      </c>
      <c r="E49" s="15">
        <f t="shared" si="1"/>
        <v>39</v>
      </c>
      <c r="F49" s="16">
        <f t="shared" si="2"/>
        <v>226434.0302</v>
      </c>
      <c r="G49" s="16">
        <f>IF(D49&lt;=mortTerm, -PMT(mortRate/12, mortTerm*12, C49)*12, 0)
</f>
        <v>19791.13842</v>
      </c>
      <c r="H49" s="16">
        <f>IF(D49&lt;=mortTerm, G49 - I49, 0)
</f>
        <v>14564.31873</v>
      </c>
      <c r="I49" s="16">
        <f>IF(D49&lt;=mortTerm, F49 - J49, 0)
</f>
        <v>5226.819694</v>
      </c>
      <c r="J49" s="16">
        <f>IF(D49&lt;=mortTerm,
   F49*(1+mortRate/12)^12 - (-PMT(mortRate/12, mortTerm*12, C49))*(((1+mortRate/12)^12 - 1)/(mortRate/12)),
   0
)
</f>
        <v>221207.2105</v>
      </c>
      <c r="K49" s="13">
        <f>IFERROR(__xludf.DUMMYFUNCTION("IF(A49="""","""",
   IF(F49&gt;0,
      INDEX(FILTER('RE Portfolio'!L$2:L2000,'RE Portfolio'!D$2:D2000=""BUY""), INT((ROW()-2)/amortYears)+1) - G49,
      INDEX(FILTER('RE Portfolio'!L$2:L2000,'RE Portfolio'!D$2:D2000=""BUY""), INT((ROW()-2)/amortYears)+1)
 "&amp;"  )
)
"),6093.218673405903)</f>
        <v>6093.218673</v>
      </c>
      <c r="L49" s="15">
        <f>IFERROR(__xludf.DUMMYFUNCTION("IF(A49="""","""",
  INDEX(FILTER('RE Portfolio'!C$2:C2000,'RE Portfolio'!D$2:D2000=""BUY""), INT((ROW()-2)/amortYears)+1)
  * (1 + VALUE(Assumptions!$B$11))^(D49-1)
)
"),495181.6022789567)</f>
        <v>495181.6023</v>
      </c>
    </row>
    <row r="50">
      <c r="A50" s="15">
        <f>IFERROR(__xludf.DUMMYFUNCTION("IFERROR(INDEX(FILTER('RE Portfolio'!A$2:A2000,'RE Portfolio'!D$2:D2000=""BUY""), INT((ROW()-2)/amortYears)+1), )
"),2.0)</f>
        <v>2</v>
      </c>
      <c r="B50" s="15">
        <f>IFERROR(__xludf.DUMMYFUNCTION("IFERROR(INDEX(FILTER('RE Portfolio'!B$2:B2000,'RE Portfolio'!D$2:D2000=""BUY""), INT((ROW()-2)/amortYears)+1), )
"),30.0)</f>
        <v>30</v>
      </c>
      <c r="C50" s="15">
        <f>IFERROR(__xludf.DUMMYFUNCTION("IFERROR(INDEX(FILTER('RE Portfolio'!G$2:G2000,'RE Portfolio'!D$2:D2000=""BUY""), INT((ROW()-2)/amortYears)+1), )
"),260931.01909790025)</f>
        <v>260931.0191</v>
      </c>
      <c r="D50" s="15">
        <f>MOD(ROW()-2, amortYears)+1</f>
        <v>11</v>
      </c>
      <c r="E50" s="15">
        <f t="shared" si="1"/>
        <v>40</v>
      </c>
      <c r="F50" s="16">
        <f t="shared" si="2"/>
        <v>221207.2105</v>
      </c>
      <c r="G50" s="16">
        <f>IF(D50&lt;=mortTerm, -PMT(mortRate/12, mortTerm*12, C50)*12, 0)
</f>
        <v>19791.13842</v>
      </c>
      <c r="H50" s="16">
        <f>IF(D50&lt;=mortTerm, G50 - I50, 0)
</f>
        <v>14214.26893</v>
      </c>
      <c r="I50" s="16">
        <f>IF(D50&lt;=mortTerm, F50 - J50, 0)
</f>
        <v>5576.869489</v>
      </c>
      <c r="J50" s="16">
        <f>IF(D50&lt;=mortTerm,
   F50*(1+mortRate/12)^12 - (-PMT(mortRate/12, mortTerm*12, C50))*(((1+mortRate/12)^12 - 1)/(mortRate/12)),
   0
)
</f>
        <v>215630.341</v>
      </c>
      <c r="K50" s="13">
        <f>IFERROR(__xludf.DUMMYFUNCTION("IF(A50="""","""",
   IF(F50&gt;0,
      INDEX(FILTER('RE Portfolio'!L$2:L2000,'RE Portfolio'!D$2:D2000=""BUY""), INT((ROW()-2)/amortYears)+1) - G50,
      INDEX(FILTER('RE Portfolio'!L$2:L2000,'RE Portfolio'!D$2:D2000=""BUY""), INT((ROW()-2)/amortYears)+1)
 "&amp;"  )
)
"),6093.218673405903)</f>
        <v>6093.218673</v>
      </c>
      <c r="L50" s="15">
        <f>IFERROR(__xludf.DUMMYFUNCTION("IF(A50="""","""",
  INDEX(FILTER('RE Portfolio'!C$2:C2000,'RE Portfolio'!D$2:D2000=""BUY""), INT((ROW()-2)/amortYears)+1)
  * (1 + VALUE(Assumptions!$B$11))^(D50-1)
)
"),514988.86637011496)</f>
        <v>514988.8664</v>
      </c>
    </row>
    <row r="51">
      <c r="A51" s="15">
        <f>IFERROR(__xludf.DUMMYFUNCTION("IFERROR(INDEX(FILTER('RE Portfolio'!A$2:A2000,'RE Portfolio'!D$2:D2000=""BUY""), INT((ROW()-2)/amortYears)+1), )
"),2.0)</f>
        <v>2</v>
      </c>
      <c r="B51" s="15">
        <f>IFERROR(__xludf.DUMMYFUNCTION("IFERROR(INDEX(FILTER('RE Portfolio'!B$2:B2000,'RE Portfolio'!D$2:D2000=""BUY""), INT((ROW()-2)/amortYears)+1), )
"),30.0)</f>
        <v>30</v>
      </c>
      <c r="C51" s="15">
        <f>IFERROR(__xludf.DUMMYFUNCTION("IFERROR(INDEX(FILTER('RE Portfolio'!G$2:G2000,'RE Portfolio'!D$2:D2000=""BUY""), INT((ROW()-2)/amortYears)+1), )
"),260931.01909790025)</f>
        <v>260931.0191</v>
      </c>
      <c r="D51" s="15">
        <f>MOD(ROW()-2, amortYears)+1</f>
        <v>12</v>
      </c>
      <c r="E51" s="15">
        <f t="shared" si="1"/>
        <v>41</v>
      </c>
      <c r="F51" s="16">
        <f t="shared" si="2"/>
        <v>215630.341</v>
      </c>
      <c r="G51" s="16">
        <f>IF(D51&lt;=mortTerm, -PMT(mortRate/12, mortTerm*12, C51)*12, 0)
</f>
        <v>19791.13842</v>
      </c>
      <c r="H51" s="16">
        <f>IF(D51&lt;=mortTerm, G51 - I51, 0)
</f>
        <v>13840.77565</v>
      </c>
      <c r="I51" s="16">
        <f>IF(D51&lt;=mortTerm, F51 - J51, 0)
</f>
        <v>5950.362767</v>
      </c>
      <c r="J51" s="16">
        <f>IF(D51&lt;=mortTerm,
   F51*(1+mortRate/12)^12 - (-PMT(mortRate/12, mortTerm*12, C51))*(((1+mortRate/12)^12 - 1)/(mortRate/12)),
   0
)
</f>
        <v>209679.9782</v>
      </c>
      <c r="K51" s="13">
        <f>IFERROR(__xludf.DUMMYFUNCTION("IF(A51="""","""",
   IF(F51&gt;0,
      INDEX(FILTER('RE Portfolio'!L$2:L2000,'RE Portfolio'!D$2:D2000=""BUY""), INT((ROW()-2)/amortYears)+1) - G51,
      INDEX(FILTER('RE Portfolio'!L$2:L2000,'RE Portfolio'!D$2:D2000=""BUY""), INT((ROW()-2)/amortYears)+1)
 "&amp;"  )
)
"),6093.218673405903)</f>
        <v>6093.218673</v>
      </c>
      <c r="L51" s="15">
        <f>IFERROR(__xludf.DUMMYFUNCTION("IF(A51="""","""",
  INDEX(FILTER('RE Portfolio'!C$2:C2000,'RE Portfolio'!D$2:D2000=""BUY""), INT((ROW()-2)/amortYears)+1)
  * (1 + VALUE(Assumptions!$B$11))^(D51-1)
)
"),535588.4210249196)</f>
        <v>535588.421</v>
      </c>
    </row>
    <row r="52">
      <c r="A52" s="15">
        <f>IFERROR(__xludf.DUMMYFUNCTION("IFERROR(INDEX(FILTER('RE Portfolio'!A$2:A2000,'RE Portfolio'!D$2:D2000=""BUY""), INT((ROW()-2)/amortYears)+1), )
"),2.0)</f>
        <v>2</v>
      </c>
      <c r="B52" s="15">
        <f>IFERROR(__xludf.DUMMYFUNCTION("IFERROR(INDEX(FILTER('RE Portfolio'!B$2:B2000,'RE Portfolio'!D$2:D2000=""BUY""), INT((ROW()-2)/amortYears)+1), )
"),30.0)</f>
        <v>30</v>
      </c>
      <c r="C52" s="15">
        <f>IFERROR(__xludf.DUMMYFUNCTION("IFERROR(INDEX(FILTER('RE Portfolio'!G$2:G2000,'RE Portfolio'!D$2:D2000=""BUY""), INT((ROW()-2)/amortYears)+1), )
"),260931.01909790025)</f>
        <v>260931.0191</v>
      </c>
      <c r="D52" s="15">
        <f>MOD(ROW()-2, amortYears)+1</f>
        <v>13</v>
      </c>
      <c r="E52" s="15">
        <f t="shared" si="1"/>
        <v>42</v>
      </c>
      <c r="F52" s="16">
        <f t="shared" si="2"/>
        <v>209679.9782</v>
      </c>
      <c r="G52" s="16">
        <f>IF(D52&lt;=mortTerm, -PMT(mortRate/12, mortTerm*12, C52)*12, 0)
</f>
        <v>19791.13842</v>
      </c>
      <c r="H52" s="16">
        <f>IF(D52&lt;=mortTerm, G52 - I52, 0)
</f>
        <v>13442.26884</v>
      </c>
      <c r="I52" s="16">
        <f>IF(D52&lt;=mortTerm, F52 - J52, 0)
</f>
        <v>6348.869582</v>
      </c>
      <c r="J52" s="16">
        <f>IF(D52&lt;=mortTerm,
   F52*(1+mortRate/12)^12 - (-PMT(mortRate/12, mortTerm*12, C52))*(((1+mortRate/12)^12 - 1)/(mortRate/12)),
   0
)
</f>
        <v>203331.1086</v>
      </c>
      <c r="K52" s="13">
        <f>IFERROR(__xludf.DUMMYFUNCTION("IF(A52="""","""",
   IF(F52&gt;0,
      INDEX(FILTER('RE Portfolio'!L$2:L2000,'RE Portfolio'!D$2:D2000=""BUY""), INT((ROW()-2)/amortYears)+1) - G52,
      INDEX(FILTER('RE Portfolio'!L$2:L2000,'RE Portfolio'!D$2:D2000=""BUY""), INT((ROW()-2)/amortYears)+1)
 "&amp;"  )
)
"),6093.218673405903)</f>
        <v>6093.218673</v>
      </c>
      <c r="L52" s="15">
        <f>IFERROR(__xludf.DUMMYFUNCTION("IF(A52="""","""",
  INDEX(FILTER('RE Portfolio'!C$2:C2000,'RE Portfolio'!D$2:D2000=""BUY""), INT((ROW()-2)/amortYears)+1)
  * (1 + VALUE(Assumptions!$B$11))^(D52-1)
)
"),557011.9578659164)</f>
        <v>557011.9579</v>
      </c>
    </row>
    <row r="53">
      <c r="A53" s="15">
        <f>IFERROR(__xludf.DUMMYFUNCTION("IFERROR(INDEX(FILTER('RE Portfolio'!A$2:A2000,'RE Portfolio'!D$2:D2000=""BUY""), INT((ROW()-2)/amortYears)+1), )
"),2.0)</f>
        <v>2</v>
      </c>
      <c r="B53" s="15">
        <f>IFERROR(__xludf.DUMMYFUNCTION("IFERROR(INDEX(FILTER('RE Portfolio'!B$2:B2000,'RE Portfolio'!D$2:D2000=""BUY""), INT((ROW()-2)/amortYears)+1), )
"),30.0)</f>
        <v>30</v>
      </c>
      <c r="C53" s="15">
        <f>IFERROR(__xludf.DUMMYFUNCTION("IFERROR(INDEX(FILTER('RE Portfolio'!G$2:G2000,'RE Portfolio'!D$2:D2000=""BUY""), INT((ROW()-2)/amortYears)+1), )
"),260931.01909790025)</f>
        <v>260931.0191</v>
      </c>
      <c r="D53" s="15">
        <f>MOD(ROW()-2, amortYears)+1</f>
        <v>14</v>
      </c>
      <c r="E53" s="15">
        <f t="shared" si="1"/>
        <v>43</v>
      </c>
      <c r="F53" s="16">
        <f t="shared" si="2"/>
        <v>203331.1086</v>
      </c>
      <c r="G53" s="16">
        <f>IF(D53&lt;=mortTerm, -PMT(mortRate/12, mortTerm*12, C53)*12, 0)
</f>
        <v>19791.13842</v>
      </c>
      <c r="H53" s="16">
        <f>IF(D53&lt;=mortTerm, G53 - I53, 0)
</f>
        <v>13017.07329</v>
      </c>
      <c r="I53" s="16">
        <f>IF(D53&lt;=mortTerm, F53 - J53, 0)
</f>
        <v>6774.065136</v>
      </c>
      <c r="J53" s="16">
        <f>IF(D53&lt;=mortTerm,
   F53*(1+mortRate/12)^12 - (-PMT(mortRate/12, mortTerm*12, C53))*(((1+mortRate/12)^12 - 1)/(mortRate/12)),
   0
)
</f>
        <v>196557.0435</v>
      </c>
      <c r="K53" s="13">
        <f>IFERROR(__xludf.DUMMYFUNCTION("IF(A53="""","""",
   IF(F53&gt;0,
      INDEX(FILTER('RE Portfolio'!L$2:L2000,'RE Portfolio'!D$2:D2000=""BUY""), INT((ROW()-2)/amortYears)+1) - G53,
      INDEX(FILTER('RE Portfolio'!L$2:L2000,'RE Portfolio'!D$2:D2000=""BUY""), INT((ROW()-2)/amortYears)+1)
 "&amp;"  )
)
"),6093.218673405903)</f>
        <v>6093.218673</v>
      </c>
      <c r="L53" s="15">
        <f>IFERROR(__xludf.DUMMYFUNCTION("IF(A53="""","""",
  INDEX(FILTER('RE Portfolio'!C$2:C2000,'RE Portfolio'!D$2:D2000=""BUY""), INT((ROW()-2)/amortYears)+1)
  * (1 + VALUE(Assumptions!$B$11))^(D53-1)
)
"),579292.436180553)</f>
        <v>579292.4362</v>
      </c>
    </row>
    <row r="54">
      <c r="A54" s="15">
        <f>IFERROR(__xludf.DUMMYFUNCTION("IFERROR(INDEX(FILTER('RE Portfolio'!A$2:A2000,'RE Portfolio'!D$2:D2000=""BUY""), INT((ROW()-2)/amortYears)+1), )
"),2.0)</f>
        <v>2</v>
      </c>
      <c r="B54" s="15">
        <f>IFERROR(__xludf.DUMMYFUNCTION("IFERROR(INDEX(FILTER('RE Portfolio'!B$2:B2000,'RE Portfolio'!D$2:D2000=""BUY""), INT((ROW()-2)/amortYears)+1), )
"),30.0)</f>
        <v>30</v>
      </c>
      <c r="C54" s="15">
        <f>IFERROR(__xludf.DUMMYFUNCTION("IFERROR(INDEX(FILTER('RE Portfolio'!G$2:G2000,'RE Portfolio'!D$2:D2000=""BUY""), INT((ROW()-2)/amortYears)+1), )
"),260931.01909790025)</f>
        <v>260931.0191</v>
      </c>
      <c r="D54" s="15">
        <f>MOD(ROW()-2, amortYears)+1</f>
        <v>15</v>
      </c>
      <c r="E54" s="15">
        <f t="shared" si="1"/>
        <v>44</v>
      </c>
      <c r="F54" s="16">
        <f t="shared" si="2"/>
        <v>196557.0435</v>
      </c>
      <c r="G54" s="16">
        <f>IF(D54&lt;=mortTerm, -PMT(mortRate/12, mortTerm*12, C54)*12, 0)
</f>
        <v>19791.13842</v>
      </c>
      <c r="H54" s="16">
        <f>IF(D54&lt;=mortTerm, G54 - I54, 0)
</f>
        <v>12563.4016</v>
      </c>
      <c r="I54" s="16">
        <f>IF(D54&lt;=mortTerm, F54 - J54, 0)
</f>
        <v>7227.736824</v>
      </c>
      <c r="J54" s="16">
        <f>IF(D54&lt;=mortTerm,
   F54*(1+mortRate/12)^12 - (-PMT(mortRate/12, mortTerm*12, C54))*(((1+mortRate/12)^12 - 1)/(mortRate/12)),
   0
)
</f>
        <v>189329.3067</v>
      </c>
      <c r="K54" s="13">
        <f>IFERROR(__xludf.DUMMYFUNCTION("IF(A54="""","""",
   IF(F54&gt;0,
      INDEX(FILTER('RE Portfolio'!L$2:L2000,'RE Portfolio'!D$2:D2000=""BUY""), INT((ROW()-2)/amortYears)+1) - G54,
      INDEX(FILTER('RE Portfolio'!L$2:L2000,'RE Portfolio'!D$2:D2000=""BUY""), INT((ROW()-2)/amortYears)+1)
 "&amp;"  )
)
"),6093.218673405903)</f>
        <v>6093.218673</v>
      </c>
      <c r="L54" s="15">
        <f>IFERROR(__xludf.DUMMYFUNCTION("IF(A54="""","""",
  INDEX(FILTER('RE Portfolio'!C$2:C2000,'RE Portfolio'!D$2:D2000=""BUY""), INT((ROW()-2)/amortYears)+1)
  * (1 + VALUE(Assumptions!$B$11))^(D54-1)
)
"),602464.1336277752)</f>
        <v>602464.1336</v>
      </c>
    </row>
    <row r="55">
      <c r="A55" s="15">
        <f>IFERROR(__xludf.DUMMYFUNCTION("IFERROR(INDEX(FILTER('RE Portfolio'!A$2:A2000,'RE Portfolio'!D$2:D2000=""BUY""), INT((ROW()-2)/amortYears)+1), )
"),2.0)</f>
        <v>2</v>
      </c>
      <c r="B55" s="15">
        <f>IFERROR(__xludf.DUMMYFUNCTION("IFERROR(INDEX(FILTER('RE Portfolio'!B$2:B2000,'RE Portfolio'!D$2:D2000=""BUY""), INT((ROW()-2)/amortYears)+1), )
"),30.0)</f>
        <v>30</v>
      </c>
      <c r="C55" s="15">
        <f>IFERROR(__xludf.DUMMYFUNCTION("IFERROR(INDEX(FILTER('RE Portfolio'!G$2:G2000,'RE Portfolio'!D$2:D2000=""BUY""), INT((ROW()-2)/amortYears)+1), )
"),260931.01909790025)</f>
        <v>260931.0191</v>
      </c>
      <c r="D55" s="15">
        <f>MOD(ROW()-2, amortYears)+1</f>
        <v>16</v>
      </c>
      <c r="E55" s="15">
        <f t="shared" si="1"/>
        <v>45</v>
      </c>
      <c r="F55" s="16">
        <f t="shared" si="2"/>
        <v>189329.3067</v>
      </c>
      <c r="G55" s="16">
        <f>IF(D55&lt;=mortTerm, -PMT(mortRate/12, mortTerm*12, C55)*12, 0)
</f>
        <v>19791.13842</v>
      </c>
      <c r="H55" s="16">
        <f>IF(D55&lt;=mortTerm, G55 - I55, 0)
</f>
        <v>12079.34668</v>
      </c>
      <c r="I55" s="16">
        <f>IF(D55&lt;=mortTerm, F55 - J55, 0)
</f>
        <v>7711.791745</v>
      </c>
      <c r="J55" s="16">
        <f>IF(D55&lt;=mortTerm,
   F55*(1+mortRate/12)^12 - (-PMT(mortRate/12, mortTerm*12, C55))*(((1+mortRate/12)^12 - 1)/(mortRate/12)),
   0
)
</f>
        <v>181617.5149</v>
      </c>
      <c r="K55" s="13">
        <f>IFERROR(__xludf.DUMMYFUNCTION("IF(A55="""","""",
   IF(F55&gt;0,
      INDEX(FILTER('RE Portfolio'!L$2:L2000,'RE Portfolio'!D$2:D2000=""BUY""), INT((ROW()-2)/amortYears)+1) - G55,
      INDEX(FILTER('RE Portfolio'!L$2:L2000,'RE Portfolio'!D$2:D2000=""BUY""), INT((ROW()-2)/amortYears)+1)
 "&amp;"  )
)
"),6093.218673405903)</f>
        <v>6093.218673</v>
      </c>
      <c r="L55" s="15">
        <f>IFERROR(__xludf.DUMMYFUNCTION("IF(A55="""","""",
  INDEX(FILTER('RE Portfolio'!C$2:C2000,'RE Portfolio'!D$2:D2000=""BUY""), INT((ROW()-2)/amortYears)+1)
  * (1 + VALUE(Assumptions!$B$11))^(D55-1)
)
"),626562.6989728862)</f>
        <v>626562.699</v>
      </c>
    </row>
    <row r="56">
      <c r="A56" s="15">
        <f>IFERROR(__xludf.DUMMYFUNCTION("IFERROR(INDEX(FILTER('RE Portfolio'!A$2:A2000,'RE Portfolio'!D$2:D2000=""BUY""), INT((ROW()-2)/amortYears)+1), )
"),2.0)</f>
        <v>2</v>
      </c>
      <c r="B56" s="15">
        <f>IFERROR(__xludf.DUMMYFUNCTION("IFERROR(INDEX(FILTER('RE Portfolio'!B$2:B2000,'RE Portfolio'!D$2:D2000=""BUY""), INT((ROW()-2)/amortYears)+1), )
"),30.0)</f>
        <v>30</v>
      </c>
      <c r="C56" s="15">
        <f>IFERROR(__xludf.DUMMYFUNCTION("IFERROR(INDEX(FILTER('RE Portfolio'!G$2:G2000,'RE Portfolio'!D$2:D2000=""BUY""), INT((ROW()-2)/amortYears)+1), )
"),260931.01909790025)</f>
        <v>260931.0191</v>
      </c>
      <c r="D56" s="15">
        <f>MOD(ROW()-2, amortYears)+1</f>
        <v>17</v>
      </c>
      <c r="E56" s="15">
        <f t="shared" si="1"/>
        <v>46</v>
      </c>
      <c r="F56" s="16">
        <f t="shared" si="2"/>
        <v>181617.5149</v>
      </c>
      <c r="G56" s="16">
        <f>IF(D56&lt;=mortTerm, -PMT(mortRate/12, mortTerm*12, C56)*12, 0)
</f>
        <v>19791.13842</v>
      </c>
      <c r="H56" s="16">
        <f>IF(D56&lt;=mortTerm, G56 - I56, 0)
</f>
        <v>11562.8737</v>
      </c>
      <c r="I56" s="16">
        <f>IF(D56&lt;=mortTerm, F56 - J56, 0)
</f>
        <v>8228.26472</v>
      </c>
      <c r="J56" s="16">
        <f>IF(D56&lt;=mortTerm,
   F56*(1+mortRate/12)^12 - (-PMT(mortRate/12, mortTerm*12, C56))*(((1+mortRate/12)^12 - 1)/(mortRate/12)),
   0
)
</f>
        <v>173389.2502</v>
      </c>
      <c r="K56" s="13">
        <f>IFERROR(__xludf.DUMMYFUNCTION("IF(A56="""","""",
   IF(F56&gt;0,
      INDEX(FILTER('RE Portfolio'!L$2:L2000,'RE Portfolio'!D$2:D2000=""BUY""), INT((ROW()-2)/amortYears)+1) - G56,
      INDEX(FILTER('RE Portfolio'!L$2:L2000,'RE Portfolio'!D$2:D2000=""BUY""), INT((ROW()-2)/amortYears)+1)
 "&amp;"  )
)
"),6093.218673405903)</f>
        <v>6093.218673</v>
      </c>
      <c r="L56" s="15">
        <f>IFERROR(__xludf.DUMMYFUNCTION("IF(A56="""","""",
  INDEX(FILTER('RE Portfolio'!C$2:C2000,'RE Portfolio'!D$2:D2000=""BUY""), INT((ROW()-2)/amortYears)+1)
  * (1 + VALUE(Assumptions!$B$11))^(D56-1)
)
"),651625.2069318017)</f>
        <v>651625.2069</v>
      </c>
    </row>
    <row r="57">
      <c r="A57" s="15">
        <f>IFERROR(__xludf.DUMMYFUNCTION("IFERROR(INDEX(FILTER('RE Portfolio'!A$2:A2000,'RE Portfolio'!D$2:D2000=""BUY""), INT((ROW()-2)/amortYears)+1), )
"),2.0)</f>
        <v>2</v>
      </c>
      <c r="B57" s="15">
        <f>IFERROR(__xludf.DUMMYFUNCTION("IFERROR(INDEX(FILTER('RE Portfolio'!B$2:B2000,'RE Portfolio'!D$2:D2000=""BUY""), INT((ROW()-2)/amortYears)+1), )
"),30.0)</f>
        <v>30</v>
      </c>
      <c r="C57" s="15">
        <f>IFERROR(__xludf.DUMMYFUNCTION("IFERROR(INDEX(FILTER('RE Portfolio'!G$2:G2000,'RE Portfolio'!D$2:D2000=""BUY""), INT((ROW()-2)/amortYears)+1), )
"),260931.01909790025)</f>
        <v>260931.0191</v>
      </c>
      <c r="D57" s="15">
        <f>MOD(ROW()-2, amortYears)+1</f>
        <v>18</v>
      </c>
      <c r="E57" s="15">
        <f t="shared" si="1"/>
        <v>47</v>
      </c>
      <c r="F57" s="16">
        <f t="shared" si="2"/>
        <v>173389.2502</v>
      </c>
      <c r="G57" s="16">
        <f>IF(D57&lt;=mortTerm, -PMT(mortRate/12, mortTerm*12, C57)*12, 0)
</f>
        <v>19791.13842</v>
      </c>
      <c r="H57" s="16">
        <f>IF(D57&lt;=mortTerm, G57 - I57, 0)
</f>
        <v>11011.81157</v>
      </c>
      <c r="I57" s="16">
        <f>IF(D57&lt;=mortTerm, F57 - J57, 0)
</f>
        <v>8779.326847</v>
      </c>
      <c r="J57" s="16">
        <f>IF(D57&lt;=mortTerm,
   F57*(1+mortRate/12)^12 - (-PMT(mortRate/12, mortTerm*12, C57))*(((1+mortRate/12)^12 - 1)/(mortRate/12)),
   0
)
</f>
        <v>164609.9234</v>
      </c>
      <c r="K57" s="13">
        <f>IFERROR(__xludf.DUMMYFUNCTION("IF(A57="""","""",
   IF(F57&gt;0,
      INDEX(FILTER('RE Portfolio'!L$2:L2000,'RE Portfolio'!D$2:D2000=""BUY""), INT((ROW()-2)/amortYears)+1) - G57,
      INDEX(FILTER('RE Portfolio'!L$2:L2000,'RE Portfolio'!D$2:D2000=""BUY""), INT((ROW()-2)/amortYears)+1)
 "&amp;"  )
)
"),6093.218673405903)</f>
        <v>6093.218673</v>
      </c>
      <c r="L57" s="15">
        <f>IFERROR(__xludf.DUMMYFUNCTION("IF(A57="""","""",
  INDEX(FILTER('RE Portfolio'!C$2:C2000,'RE Portfolio'!D$2:D2000=""BUY""), INT((ROW()-2)/amortYears)+1)
  * (1 + VALUE(Assumptions!$B$11))^(D57-1)
)
"),677690.2152090737)</f>
        <v>677690.2152</v>
      </c>
    </row>
    <row r="58">
      <c r="A58" s="15">
        <f>IFERROR(__xludf.DUMMYFUNCTION("IFERROR(INDEX(FILTER('RE Portfolio'!A$2:A2000,'RE Portfolio'!D$2:D2000=""BUY""), INT((ROW()-2)/amortYears)+1), )
"),2.0)</f>
        <v>2</v>
      </c>
      <c r="B58" s="15">
        <f>IFERROR(__xludf.DUMMYFUNCTION("IFERROR(INDEX(FILTER('RE Portfolio'!B$2:B2000,'RE Portfolio'!D$2:D2000=""BUY""), INT((ROW()-2)/amortYears)+1), )
"),30.0)</f>
        <v>30</v>
      </c>
      <c r="C58" s="15">
        <f>IFERROR(__xludf.DUMMYFUNCTION("IFERROR(INDEX(FILTER('RE Portfolio'!G$2:G2000,'RE Portfolio'!D$2:D2000=""BUY""), INT((ROW()-2)/amortYears)+1), )
"),260931.01909790025)</f>
        <v>260931.0191</v>
      </c>
      <c r="D58" s="15">
        <f>MOD(ROW()-2, amortYears)+1</f>
        <v>19</v>
      </c>
      <c r="E58" s="15">
        <f t="shared" si="1"/>
        <v>48</v>
      </c>
      <c r="F58" s="16">
        <f t="shared" si="2"/>
        <v>164609.9234</v>
      </c>
      <c r="G58" s="16">
        <f>IF(D58&lt;=mortTerm, -PMT(mortRate/12, mortTerm*12, C58)*12, 0)
</f>
        <v>19791.13842</v>
      </c>
      <c r="H58" s="16">
        <f>IF(D58&lt;=mortTerm, G58 - I58, 0)
</f>
        <v>10423.8438</v>
      </c>
      <c r="I58" s="16">
        <f>IF(D58&lt;=mortTerm, F58 - J58, 0)
</f>
        <v>9367.294625</v>
      </c>
      <c r="J58" s="16">
        <f>IF(D58&lt;=mortTerm,
   F58*(1+mortRate/12)^12 - (-PMT(mortRate/12, mortTerm*12, C58))*(((1+mortRate/12)^12 - 1)/(mortRate/12)),
   0
)
</f>
        <v>155242.6287</v>
      </c>
      <c r="K58" s="13">
        <f>IFERROR(__xludf.DUMMYFUNCTION("IF(A58="""","""",
   IF(F58&gt;0,
      INDEX(FILTER('RE Portfolio'!L$2:L2000,'RE Portfolio'!D$2:D2000=""BUY""), INT((ROW()-2)/amortYears)+1) - G58,
      INDEX(FILTER('RE Portfolio'!L$2:L2000,'RE Portfolio'!D$2:D2000=""BUY""), INT((ROW()-2)/amortYears)+1)
 "&amp;"  )
)
"),6093.218673405903)</f>
        <v>6093.218673</v>
      </c>
      <c r="L58" s="15">
        <f>IFERROR(__xludf.DUMMYFUNCTION("IF(A58="""","""",
  INDEX(FILTER('RE Portfolio'!C$2:C2000,'RE Portfolio'!D$2:D2000=""BUY""), INT((ROW()-2)/amortYears)+1)
  * (1 + VALUE(Assumptions!$B$11))^(D58-1)
)
"),704797.8238174368)</f>
        <v>704797.8238</v>
      </c>
    </row>
    <row r="59">
      <c r="A59" s="15">
        <f>IFERROR(__xludf.DUMMYFUNCTION("IFERROR(INDEX(FILTER('RE Portfolio'!A$2:A2000,'RE Portfolio'!D$2:D2000=""BUY""), INT((ROW()-2)/amortYears)+1), )
"),2.0)</f>
        <v>2</v>
      </c>
      <c r="B59" s="15">
        <f>IFERROR(__xludf.DUMMYFUNCTION("IFERROR(INDEX(FILTER('RE Portfolio'!B$2:B2000,'RE Portfolio'!D$2:D2000=""BUY""), INT((ROW()-2)/amortYears)+1), )
"),30.0)</f>
        <v>30</v>
      </c>
      <c r="C59" s="15">
        <f>IFERROR(__xludf.DUMMYFUNCTION("IFERROR(INDEX(FILTER('RE Portfolio'!G$2:G2000,'RE Portfolio'!D$2:D2000=""BUY""), INT((ROW()-2)/amortYears)+1), )
"),260931.01909790025)</f>
        <v>260931.0191</v>
      </c>
      <c r="D59" s="15">
        <f>MOD(ROW()-2, amortYears)+1</f>
        <v>20</v>
      </c>
      <c r="E59" s="15">
        <f t="shared" si="1"/>
        <v>49</v>
      </c>
      <c r="F59" s="16">
        <f t="shared" si="2"/>
        <v>155242.6287</v>
      </c>
      <c r="G59" s="16">
        <f>IF(D59&lt;=mortTerm, -PMT(mortRate/12, mortTerm*12, C59)*12, 0)
</f>
        <v>19791.13842</v>
      </c>
      <c r="H59" s="16">
        <f>IF(D59&lt;=mortTerm, G59 - I59, 0)
</f>
        <v>9796.498727</v>
      </c>
      <c r="I59" s="16">
        <f>IF(D59&lt;=mortTerm, F59 - J59, 0)
</f>
        <v>9994.639695</v>
      </c>
      <c r="J59" s="16">
        <f>IF(D59&lt;=mortTerm,
   F59*(1+mortRate/12)^12 - (-PMT(mortRate/12, mortTerm*12, C59))*(((1+mortRate/12)^12 - 1)/(mortRate/12)),
   0
)
</f>
        <v>145247.989</v>
      </c>
      <c r="K59" s="13">
        <f>IFERROR(__xludf.DUMMYFUNCTION("IF(A59="""","""",
   IF(F59&gt;0,
      INDEX(FILTER('RE Portfolio'!L$2:L2000,'RE Portfolio'!D$2:D2000=""BUY""), INT((ROW()-2)/amortYears)+1) - G59,
      INDEX(FILTER('RE Portfolio'!L$2:L2000,'RE Portfolio'!D$2:D2000=""BUY""), INT((ROW()-2)/amortYears)+1)
 "&amp;"  )
)
"),6093.218673405903)</f>
        <v>6093.218673</v>
      </c>
      <c r="L59" s="15">
        <f>IFERROR(__xludf.DUMMYFUNCTION("IF(A59="""","""",
  INDEX(FILTER('RE Portfolio'!C$2:C2000,'RE Portfolio'!D$2:D2000=""BUY""), INT((ROW()-2)/amortYears)+1)
  * (1 + VALUE(Assumptions!$B$11))^(D59-1)
)
"),732989.7367701343)</f>
        <v>732989.7368</v>
      </c>
    </row>
    <row r="60">
      <c r="A60" s="15">
        <f>IFERROR(__xludf.DUMMYFUNCTION("IFERROR(INDEX(FILTER('RE Portfolio'!A$2:A2000,'RE Portfolio'!D$2:D2000=""BUY""), INT((ROW()-2)/amortYears)+1), )
"),2.0)</f>
        <v>2</v>
      </c>
      <c r="B60" s="15">
        <f>IFERROR(__xludf.DUMMYFUNCTION("IFERROR(INDEX(FILTER('RE Portfolio'!B$2:B2000,'RE Portfolio'!D$2:D2000=""BUY""), INT((ROW()-2)/amortYears)+1), )
"),30.0)</f>
        <v>30</v>
      </c>
      <c r="C60" s="15">
        <f>IFERROR(__xludf.DUMMYFUNCTION("IFERROR(INDEX(FILTER('RE Portfolio'!G$2:G2000,'RE Portfolio'!D$2:D2000=""BUY""), INT((ROW()-2)/amortYears)+1), )
"),260931.01909790025)</f>
        <v>260931.0191</v>
      </c>
      <c r="D60" s="15">
        <f>MOD(ROW()-2, amortYears)+1</f>
        <v>21</v>
      </c>
      <c r="E60" s="15">
        <f t="shared" si="1"/>
        <v>50</v>
      </c>
      <c r="F60" s="16">
        <f t="shared" si="2"/>
        <v>145247.989</v>
      </c>
      <c r="G60" s="16">
        <f>IF(D60&lt;=mortTerm, -PMT(mortRate/12, mortTerm*12, C60)*12, 0)
</f>
        <v>19791.13842</v>
      </c>
      <c r="H60" s="16">
        <f>IF(D60&lt;=mortTerm, G60 - I60, 0)
</f>
        <v>9127.139196</v>
      </c>
      <c r="I60" s="16">
        <f>IF(D60&lt;=mortTerm, F60 - J60, 0)
</f>
        <v>10663.99923</v>
      </c>
      <c r="J60" s="16">
        <f>IF(D60&lt;=mortTerm,
   F60*(1+mortRate/12)^12 - (-PMT(mortRate/12, mortTerm*12, C60))*(((1+mortRate/12)^12 - 1)/(mortRate/12)),
   0
)
</f>
        <v>134583.9898</v>
      </c>
      <c r="K60" s="13">
        <f>IFERROR(__xludf.DUMMYFUNCTION("IF(A60="""","""",
   IF(F60&gt;0,
      INDEX(FILTER('RE Portfolio'!L$2:L2000,'RE Portfolio'!D$2:D2000=""BUY""), INT((ROW()-2)/amortYears)+1) - G60,
      INDEX(FILTER('RE Portfolio'!L$2:L2000,'RE Portfolio'!D$2:D2000=""BUY""), INT((ROW()-2)/amortYears)+1)
 "&amp;"  )
)
"),6093.218673405903)</f>
        <v>6093.218673</v>
      </c>
      <c r="L60" s="15">
        <f>IFERROR(__xludf.DUMMYFUNCTION("IF(A60="""","""",
  INDEX(FILTER('RE Portfolio'!C$2:C2000,'RE Portfolio'!D$2:D2000=""BUY""), INT((ROW()-2)/amortYears)+1)
  * (1 + VALUE(Assumptions!$B$11))^(D60-1)
)
"),762309.3262409397)</f>
        <v>762309.3262</v>
      </c>
    </row>
    <row r="61">
      <c r="A61" s="15">
        <f>IFERROR(__xludf.DUMMYFUNCTION("IFERROR(INDEX(FILTER('RE Portfolio'!A$2:A2000,'RE Portfolio'!D$2:D2000=""BUY""), INT((ROW()-2)/amortYears)+1), )
"),2.0)</f>
        <v>2</v>
      </c>
      <c r="B61" s="15">
        <f>IFERROR(__xludf.DUMMYFUNCTION("IFERROR(INDEX(FILTER('RE Portfolio'!B$2:B2000,'RE Portfolio'!D$2:D2000=""BUY""), INT((ROW()-2)/amortYears)+1), )
"),30.0)</f>
        <v>30</v>
      </c>
      <c r="C61" s="15">
        <f>IFERROR(__xludf.DUMMYFUNCTION("IFERROR(INDEX(FILTER('RE Portfolio'!G$2:G2000,'RE Portfolio'!D$2:D2000=""BUY""), INT((ROW()-2)/amortYears)+1), )
"),260931.01909790025)</f>
        <v>260931.0191</v>
      </c>
      <c r="D61" s="15">
        <f>MOD(ROW()-2, amortYears)+1</f>
        <v>22</v>
      </c>
      <c r="E61" s="15">
        <f t="shared" si="1"/>
        <v>51</v>
      </c>
      <c r="F61" s="16">
        <f t="shared" si="2"/>
        <v>134583.9898</v>
      </c>
      <c r="G61" s="16">
        <f>IF(D61&lt;=mortTerm, -PMT(mortRate/12, mortTerm*12, C61)*12, 0)
</f>
        <v>19791.13842</v>
      </c>
      <c r="H61" s="16">
        <f>IF(D61&lt;=mortTerm, G61 - I61, 0)
</f>
        <v>8412.951418</v>
      </c>
      <c r="I61" s="16">
        <f>IF(D61&lt;=mortTerm, F61 - J61, 0)
</f>
        <v>11378.187</v>
      </c>
      <c r="J61" s="16">
        <f>IF(D61&lt;=mortTerm,
   F61*(1+mortRate/12)^12 - (-PMT(mortRate/12, mortTerm*12, C61))*(((1+mortRate/12)^12 - 1)/(mortRate/12)),
   0
)
</f>
        <v>123205.8028</v>
      </c>
      <c r="K61" s="13">
        <f>IFERROR(__xludf.DUMMYFUNCTION("IF(A61="""","""",
   IF(F61&gt;0,
      INDEX(FILTER('RE Portfolio'!L$2:L2000,'RE Portfolio'!D$2:D2000=""BUY""), INT((ROW()-2)/amortYears)+1) - G61,
      INDEX(FILTER('RE Portfolio'!L$2:L2000,'RE Portfolio'!D$2:D2000=""BUY""), INT((ROW()-2)/amortYears)+1)
 "&amp;"  )
)
"),6093.218673405903)</f>
        <v>6093.218673</v>
      </c>
      <c r="L61" s="15">
        <f>IFERROR(__xludf.DUMMYFUNCTION("IF(A61="""","""",
  INDEX(FILTER('RE Portfolio'!C$2:C2000,'RE Portfolio'!D$2:D2000=""BUY""), INT((ROW()-2)/amortYears)+1)
  * (1 + VALUE(Assumptions!$B$11))^(D61-1)
)
"),792801.6992905773)</f>
        <v>792801.6993</v>
      </c>
    </row>
    <row r="62">
      <c r="A62" s="15">
        <f>IFERROR(__xludf.DUMMYFUNCTION("IFERROR(INDEX(FILTER('RE Portfolio'!A$2:A2000,'RE Portfolio'!D$2:D2000=""BUY""), INT((ROW()-2)/amortYears)+1), )
"),2.0)</f>
        <v>2</v>
      </c>
      <c r="B62" s="15">
        <f>IFERROR(__xludf.DUMMYFUNCTION("IFERROR(INDEX(FILTER('RE Portfolio'!B$2:B2000,'RE Portfolio'!D$2:D2000=""BUY""), INT((ROW()-2)/amortYears)+1), )
"),30.0)</f>
        <v>30</v>
      </c>
      <c r="C62" s="15">
        <f>IFERROR(__xludf.DUMMYFUNCTION("IFERROR(INDEX(FILTER('RE Portfolio'!G$2:G2000,'RE Portfolio'!D$2:D2000=""BUY""), INT((ROW()-2)/amortYears)+1), )
"),260931.01909790025)</f>
        <v>260931.0191</v>
      </c>
      <c r="D62" s="15">
        <f>MOD(ROW()-2, amortYears)+1</f>
        <v>23</v>
      </c>
      <c r="E62" s="15">
        <f t="shared" si="1"/>
        <v>52</v>
      </c>
      <c r="F62" s="16">
        <f t="shared" si="2"/>
        <v>123205.8028</v>
      </c>
      <c r="G62" s="16">
        <f>IF(D62&lt;=mortTerm, -PMT(mortRate/12, mortTerm*12, C62)*12, 0)
</f>
        <v>19791.13842</v>
      </c>
      <c r="H62" s="16">
        <f>IF(D62&lt;=mortTerm, G62 - I62, 0)
</f>
        <v>7650.933162</v>
      </c>
      <c r="I62" s="16">
        <f>IF(D62&lt;=mortTerm, F62 - J62, 0)
</f>
        <v>12140.20526</v>
      </c>
      <c r="J62" s="16">
        <f>IF(D62&lt;=mortTerm,
   F62*(1+mortRate/12)^12 - (-PMT(mortRate/12, mortTerm*12, C62))*(((1+mortRate/12)^12 - 1)/(mortRate/12)),
   0
)
</f>
        <v>111065.5976</v>
      </c>
      <c r="K62" s="13">
        <f>IFERROR(__xludf.DUMMYFUNCTION("IF(A62="""","""",
   IF(F62&gt;0,
      INDEX(FILTER('RE Portfolio'!L$2:L2000,'RE Portfolio'!D$2:D2000=""BUY""), INT((ROW()-2)/amortYears)+1) - G62,
      INDEX(FILTER('RE Portfolio'!L$2:L2000,'RE Portfolio'!D$2:D2000=""BUY""), INT((ROW()-2)/amortYears)+1)
 "&amp;"  )
)
"),6093.218673405903)</f>
        <v>6093.218673</v>
      </c>
      <c r="L62" s="15">
        <f>IFERROR(__xludf.DUMMYFUNCTION("IF(A62="""","""",
  INDEX(FILTER('RE Portfolio'!C$2:C2000,'RE Portfolio'!D$2:D2000=""BUY""), INT((ROW()-2)/amortYears)+1)
  * (1 + VALUE(Assumptions!$B$11))^(D62-1)
)
"),824513.7672622004)</f>
        <v>824513.7673</v>
      </c>
    </row>
    <row r="63">
      <c r="A63" s="15">
        <f>IFERROR(__xludf.DUMMYFUNCTION("IFERROR(INDEX(FILTER('RE Portfolio'!A$2:A2000,'RE Portfolio'!D$2:D2000=""BUY""), INT((ROW()-2)/amortYears)+1), )
"),2.0)</f>
        <v>2</v>
      </c>
      <c r="B63" s="15">
        <f>IFERROR(__xludf.DUMMYFUNCTION("IFERROR(INDEX(FILTER('RE Portfolio'!B$2:B2000,'RE Portfolio'!D$2:D2000=""BUY""), INT((ROW()-2)/amortYears)+1), )
"),30.0)</f>
        <v>30</v>
      </c>
      <c r="C63" s="15">
        <f>IFERROR(__xludf.DUMMYFUNCTION("IFERROR(INDEX(FILTER('RE Portfolio'!G$2:G2000,'RE Portfolio'!D$2:D2000=""BUY""), INT((ROW()-2)/amortYears)+1), )
"),260931.01909790025)</f>
        <v>260931.0191</v>
      </c>
      <c r="D63" s="15">
        <f>MOD(ROW()-2, amortYears)+1</f>
        <v>24</v>
      </c>
      <c r="E63" s="15">
        <f t="shared" si="1"/>
        <v>53</v>
      </c>
      <c r="F63" s="16">
        <f t="shared" si="2"/>
        <v>111065.5976</v>
      </c>
      <c r="G63" s="16">
        <f>IF(D63&lt;=mortTerm, -PMT(mortRate/12, mortTerm*12, C63)*12, 0)
</f>
        <v>19791.13842</v>
      </c>
      <c r="H63" s="16">
        <f>IF(D63&lt;=mortTerm, G63 - I63, 0)
</f>
        <v>6837.881132</v>
      </c>
      <c r="I63" s="16">
        <f>IF(D63&lt;=mortTerm, F63 - J63, 0)
</f>
        <v>12953.25729</v>
      </c>
      <c r="J63" s="16">
        <f>IF(D63&lt;=mortTerm,
   F63*(1+mortRate/12)^12 - (-PMT(mortRate/12, mortTerm*12, C63))*(((1+mortRate/12)^12 - 1)/(mortRate/12)),
   0
)
</f>
        <v>98112.34027</v>
      </c>
      <c r="K63" s="13">
        <f>IFERROR(__xludf.DUMMYFUNCTION("IF(A63="""","""",
   IF(F63&gt;0,
      INDEX(FILTER('RE Portfolio'!L$2:L2000,'RE Portfolio'!D$2:D2000=""BUY""), INT((ROW()-2)/amortYears)+1) - G63,
      INDEX(FILTER('RE Portfolio'!L$2:L2000,'RE Portfolio'!D$2:D2000=""BUY""), INT((ROW()-2)/amortYears)+1)
 "&amp;"  )
)
"),6093.218673405903)</f>
        <v>6093.218673</v>
      </c>
      <c r="L63" s="15">
        <f>IFERROR(__xludf.DUMMYFUNCTION("IF(A63="""","""",
  INDEX(FILTER('RE Portfolio'!C$2:C2000,'RE Portfolio'!D$2:D2000=""BUY""), INT((ROW()-2)/amortYears)+1)
  * (1 + VALUE(Assumptions!$B$11))^(D63-1)
)
"),857494.3179526884)</f>
        <v>857494.318</v>
      </c>
    </row>
    <row r="64">
      <c r="A64" s="15">
        <f>IFERROR(__xludf.DUMMYFUNCTION("IFERROR(INDEX(FILTER('RE Portfolio'!A$2:A2000,'RE Portfolio'!D$2:D2000=""BUY""), INT((ROW()-2)/amortYears)+1), )
"),2.0)</f>
        <v>2</v>
      </c>
      <c r="B64" s="15">
        <f>IFERROR(__xludf.DUMMYFUNCTION("IFERROR(INDEX(FILTER('RE Portfolio'!B$2:B2000,'RE Portfolio'!D$2:D2000=""BUY""), INT((ROW()-2)/amortYears)+1), )
"),30.0)</f>
        <v>30</v>
      </c>
      <c r="C64" s="15">
        <f>IFERROR(__xludf.DUMMYFUNCTION("IFERROR(INDEX(FILTER('RE Portfolio'!G$2:G2000,'RE Portfolio'!D$2:D2000=""BUY""), INT((ROW()-2)/amortYears)+1), )
"),260931.01909790025)</f>
        <v>260931.0191</v>
      </c>
      <c r="D64" s="15">
        <f>MOD(ROW()-2, amortYears)+1</f>
        <v>25</v>
      </c>
      <c r="E64" s="15">
        <f t="shared" si="1"/>
        <v>54</v>
      </c>
      <c r="F64" s="16">
        <f t="shared" si="2"/>
        <v>98112.34027</v>
      </c>
      <c r="G64" s="16">
        <f>IF(D64&lt;=mortTerm, -PMT(mortRate/12, mortTerm*12, C64)*12, 0)
</f>
        <v>19791.13842</v>
      </c>
      <c r="H64" s="16">
        <f>IF(D64&lt;=mortTerm, G64 - I64, 0)
</f>
        <v>5970.377502</v>
      </c>
      <c r="I64" s="16">
        <f>IF(D64&lt;=mortTerm, F64 - J64, 0)
</f>
        <v>13820.76092</v>
      </c>
      <c r="J64" s="16">
        <f>IF(D64&lt;=mortTerm,
   F64*(1+mortRate/12)^12 - (-PMT(mortRate/12, mortTerm*12, C64))*(((1+mortRate/12)^12 - 1)/(mortRate/12)),
   0
)
</f>
        <v>84291.57935</v>
      </c>
      <c r="K64" s="13">
        <f>IFERROR(__xludf.DUMMYFUNCTION("IF(A64="""","""",
   IF(F64&gt;0,
      INDEX(FILTER('RE Portfolio'!L$2:L2000,'RE Portfolio'!D$2:D2000=""BUY""), INT((ROW()-2)/amortYears)+1) - G64,
      INDEX(FILTER('RE Portfolio'!L$2:L2000,'RE Portfolio'!D$2:D2000=""BUY""), INT((ROW()-2)/amortYears)+1)
 "&amp;"  )
)
"),6093.218673405903)</f>
        <v>6093.218673</v>
      </c>
      <c r="L64" s="15">
        <f>IFERROR(__xludf.DUMMYFUNCTION("IF(A64="""","""",
  INDEX(FILTER('RE Portfolio'!C$2:C2000,'RE Portfolio'!D$2:D2000=""BUY""), INT((ROW()-2)/amortYears)+1)
  * (1 + VALUE(Assumptions!$B$11))^(D64-1)
)
"),891794.0906707961)</f>
        <v>891794.0907</v>
      </c>
    </row>
    <row r="65">
      <c r="A65" s="15">
        <f>IFERROR(__xludf.DUMMYFUNCTION("IFERROR(INDEX(FILTER('RE Portfolio'!A$2:A2000,'RE Portfolio'!D$2:D2000=""BUY""), INT((ROW()-2)/amortYears)+1), )
"),2.0)</f>
        <v>2</v>
      </c>
      <c r="B65" s="15">
        <f>IFERROR(__xludf.DUMMYFUNCTION("IFERROR(INDEX(FILTER('RE Portfolio'!B$2:B2000,'RE Portfolio'!D$2:D2000=""BUY""), INT((ROW()-2)/amortYears)+1), )
"),30.0)</f>
        <v>30</v>
      </c>
      <c r="C65" s="15">
        <f>IFERROR(__xludf.DUMMYFUNCTION("IFERROR(INDEX(FILTER('RE Portfolio'!G$2:G2000,'RE Portfolio'!D$2:D2000=""BUY""), INT((ROW()-2)/amortYears)+1), )
"),260931.01909790025)</f>
        <v>260931.0191</v>
      </c>
      <c r="D65" s="15">
        <f>MOD(ROW()-2, amortYears)+1</f>
        <v>26</v>
      </c>
      <c r="E65" s="15">
        <f t="shared" si="1"/>
        <v>55</v>
      </c>
      <c r="F65" s="16">
        <f t="shared" si="2"/>
        <v>84291.57935</v>
      </c>
      <c r="G65" s="16">
        <f>IF(D65&lt;=mortTerm, -PMT(mortRate/12, mortTerm*12, C65)*12, 0)
</f>
        <v>19791.13842</v>
      </c>
      <c r="H65" s="16">
        <f>IF(D65&lt;=mortTerm, G65 - I65, 0)
</f>
        <v>5044.775547</v>
      </c>
      <c r="I65" s="16">
        <f>IF(D65&lt;=mortTerm, F65 - J65, 0)
</f>
        <v>14746.36287</v>
      </c>
      <c r="J65" s="16">
        <f>IF(D65&lt;=mortTerm,
   F65*(1+mortRate/12)^12 - (-PMT(mortRate/12, mortTerm*12, C65))*(((1+mortRate/12)^12 - 1)/(mortRate/12)),
   0
)
</f>
        <v>69545.21647</v>
      </c>
      <c r="K65" s="13">
        <f>IFERROR(__xludf.DUMMYFUNCTION("IF(A65="""","""",
   IF(F65&gt;0,
      INDEX(FILTER('RE Portfolio'!L$2:L2000,'RE Portfolio'!D$2:D2000=""BUY""), INT((ROW()-2)/amortYears)+1) - G65,
      INDEX(FILTER('RE Portfolio'!L$2:L2000,'RE Portfolio'!D$2:D2000=""BUY""), INT((ROW()-2)/amortYears)+1)
 "&amp;"  )
)
"),6093.218673405903)</f>
        <v>6093.218673</v>
      </c>
      <c r="L65" s="15">
        <f>IFERROR(__xludf.DUMMYFUNCTION("IF(A65="""","""",
  INDEX(FILTER('RE Portfolio'!C$2:C2000,'RE Portfolio'!D$2:D2000=""BUY""), INT((ROW()-2)/amortYears)+1)
  * (1 + VALUE(Assumptions!$B$11))^(D65-1)
)
"),927465.8542976278)</f>
        <v>927465.8543</v>
      </c>
    </row>
    <row r="66">
      <c r="A66" s="15">
        <f>IFERROR(__xludf.DUMMYFUNCTION("IFERROR(INDEX(FILTER('RE Portfolio'!A$2:A2000,'RE Portfolio'!D$2:D2000=""BUY""), INT((ROW()-2)/amortYears)+1), )
"),2.0)</f>
        <v>2</v>
      </c>
      <c r="B66" s="15">
        <f>IFERROR(__xludf.DUMMYFUNCTION("IFERROR(INDEX(FILTER('RE Portfolio'!B$2:B2000,'RE Portfolio'!D$2:D2000=""BUY""), INT((ROW()-2)/amortYears)+1), )
"),30.0)</f>
        <v>30</v>
      </c>
      <c r="C66" s="15">
        <f>IFERROR(__xludf.DUMMYFUNCTION("IFERROR(INDEX(FILTER('RE Portfolio'!G$2:G2000,'RE Portfolio'!D$2:D2000=""BUY""), INT((ROW()-2)/amortYears)+1), )
"),260931.01909790025)</f>
        <v>260931.0191</v>
      </c>
      <c r="D66" s="15">
        <f>MOD(ROW()-2, amortYears)+1</f>
        <v>27</v>
      </c>
      <c r="E66" s="15">
        <f t="shared" si="1"/>
        <v>56</v>
      </c>
      <c r="F66" s="16">
        <f t="shared" si="2"/>
        <v>69545.21647</v>
      </c>
      <c r="G66" s="16">
        <f>IF(D66&lt;=mortTerm, -PMT(mortRate/12, mortTerm*12, C66)*12, 0)
</f>
        <v>19791.13842</v>
      </c>
      <c r="H66" s="16">
        <f>IF(D66&lt;=mortTerm, G66 - I66, 0)
</f>
        <v>4057.184315</v>
      </c>
      <c r="I66" s="16">
        <f>IF(D66&lt;=mortTerm, F66 - J66, 0)
</f>
        <v>15733.95411</v>
      </c>
      <c r="J66" s="16">
        <f>IF(D66&lt;=mortTerm,
   F66*(1+mortRate/12)^12 - (-PMT(mortRate/12, mortTerm*12, C66))*(((1+mortRate/12)^12 - 1)/(mortRate/12)),
   0
)
</f>
        <v>53811.26237</v>
      </c>
      <c r="K66" s="13">
        <f>IFERROR(__xludf.DUMMYFUNCTION("IF(A66="""","""",
   IF(F66&gt;0,
      INDEX(FILTER('RE Portfolio'!L$2:L2000,'RE Portfolio'!D$2:D2000=""BUY""), INT((ROW()-2)/amortYears)+1) - G66,
      INDEX(FILTER('RE Portfolio'!L$2:L2000,'RE Portfolio'!D$2:D2000=""BUY""), INT((ROW()-2)/amortYears)+1)
 "&amp;"  )
)
"),6093.218673405903)</f>
        <v>6093.218673</v>
      </c>
      <c r="L66" s="15">
        <f>IFERROR(__xludf.DUMMYFUNCTION("IF(A66="""","""",
  INDEX(FILTER('RE Portfolio'!C$2:C2000,'RE Portfolio'!D$2:D2000=""BUY""), INT((ROW()-2)/amortYears)+1)
  * (1 + VALUE(Assumptions!$B$11))^(D66-1)
)
"),964564.488469533)</f>
        <v>964564.4885</v>
      </c>
    </row>
    <row r="67">
      <c r="A67" s="15">
        <f>IFERROR(__xludf.DUMMYFUNCTION("IFERROR(INDEX(FILTER('RE Portfolio'!A$2:A2000,'RE Portfolio'!D$2:D2000=""BUY""), INT((ROW()-2)/amortYears)+1), )
"),2.0)</f>
        <v>2</v>
      </c>
      <c r="B67" s="15">
        <f>IFERROR(__xludf.DUMMYFUNCTION("IFERROR(INDEX(FILTER('RE Portfolio'!B$2:B2000,'RE Portfolio'!D$2:D2000=""BUY""), INT((ROW()-2)/amortYears)+1), )
"),30.0)</f>
        <v>30</v>
      </c>
      <c r="C67" s="15">
        <f>IFERROR(__xludf.DUMMYFUNCTION("IFERROR(INDEX(FILTER('RE Portfolio'!G$2:G2000,'RE Portfolio'!D$2:D2000=""BUY""), INT((ROW()-2)/amortYears)+1), )
"),260931.01909790025)</f>
        <v>260931.0191</v>
      </c>
      <c r="D67" s="15">
        <f>MOD(ROW()-2, amortYears)+1</f>
        <v>28</v>
      </c>
      <c r="E67" s="15">
        <f t="shared" si="1"/>
        <v>57</v>
      </c>
      <c r="F67" s="16">
        <f t="shared" si="2"/>
        <v>53811.26237</v>
      </c>
      <c r="G67" s="16">
        <f>IF(D67&lt;=mortTerm, -PMT(mortRate/12, mortTerm*12, C67)*12, 0)
</f>
        <v>19791.13842</v>
      </c>
      <c r="H67" s="16">
        <f>IF(D67&lt;=mortTerm, G67 - I67, 0)
</f>
        <v>3003.45227</v>
      </c>
      <c r="I67" s="16">
        <f>IF(D67&lt;=mortTerm, F67 - J67, 0)
</f>
        <v>16787.68615</v>
      </c>
      <c r="J67" s="16">
        <f>IF(D67&lt;=mortTerm,
   F67*(1+mortRate/12)^12 - (-PMT(mortRate/12, mortTerm*12, C67))*(((1+mortRate/12)^12 - 1)/(mortRate/12)),
   0
)
</f>
        <v>37023.57622</v>
      </c>
      <c r="K67" s="13">
        <f>IFERROR(__xludf.DUMMYFUNCTION("IF(A67="""","""",
   IF(F67&gt;0,
      INDEX(FILTER('RE Portfolio'!L$2:L2000,'RE Portfolio'!D$2:D2000=""BUY""), INT((ROW()-2)/amortYears)+1) - G67,
      INDEX(FILTER('RE Portfolio'!L$2:L2000,'RE Portfolio'!D$2:D2000=""BUY""), INT((ROW()-2)/amortYears)+1)
 "&amp;"  )
)
"),6093.218673405903)</f>
        <v>6093.218673</v>
      </c>
      <c r="L67" s="15">
        <f>IFERROR(__xludf.DUMMYFUNCTION("IF(A67="""","""",
  INDEX(FILTER('RE Portfolio'!C$2:C2000,'RE Portfolio'!D$2:D2000=""BUY""), INT((ROW()-2)/amortYears)+1)
  * (1 + VALUE(Assumptions!$B$11))^(D67-1)
)
"),1003147.0680083144)</f>
        <v>1003147.068</v>
      </c>
    </row>
    <row r="68">
      <c r="A68" s="15">
        <f>IFERROR(__xludf.DUMMYFUNCTION("IFERROR(INDEX(FILTER('RE Portfolio'!A$2:A2000,'RE Portfolio'!D$2:D2000=""BUY""), INT((ROW()-2)/amortYears)+1), )
"),2.0)</f>
        <v>2</v>
      </c>
      <c r="B68" s="15">
        <f>IFERROR(__xludf.DUMMYFUNCTION("IFERROR(INDEX(FILTER('RE Portfolio'!B$2:B2000,'RE Portfolio'!D$2:D2000=""BUY""), INT((ROW()-2)/amortYears)+1), )
"),30.0)</f>
        <v>30</v>
      </c>
      <c r="C68" s="15">
        <f>IFERROR(__xludf.DUMMYFUNCTION("IFERROR(INDEX(FILTER('RE Portfolio'!G$2:G2000,'RE Portfolio'!D$2:D2000=""BUY""), INT((ROW()-2)/amortYears)+1), )
"),260931.01909790025)</f>
        <v>260931.0191</v>
      </c>
      <c r="D68" s="15">
        <f>MOD(ROW()-2, amortYears)+1</f>
        <v>29</v>
      </c>
      <c r="E68" s="15">
        <f t="shared" si="1"/>
        <v>58</v>
      </c>
      <c r="F68" s="16">
        <f t="shared" si="2"/>
        <v>37023.57622</v>
      </c>
      <c r="G68" s="16">
        <f>IF(D68&lt;=mortTerm, -PMT(mortRate/12, mortTerm*12, C68)*12, 0)
</f>
        <v>19791.13842</v>
      </c>
      <c r="H68" s="16">
        <f>IF(D68&lt;=mortTerm, G68 - I68, 0)
</f>
        <v>1879.149837</v>
      </c>
      <c r="I68" s="16">
        <f>IF(D68&lt;=mortTerm, F68 - J68, 0)
</f>
        <v>17911.98858</v>
      </c>
      <c r="J68" s="16">
        <f>IF(D68&lt;=mortTerm,
   F68*(1+mortRate/12)^12 - (-PMT(mortRate/12, mortTerm*12, C68))*(((1+mortRate/12)^12 - 1)/(mortRate/12)),
   0
)
</f>
        <v>19111.58763</v>
      </c>
      <c r="K68" s="13">
        <f>IFERROR(__xludf.DUMMYFUNCTION("IF(A68="""","""",
   IF(F68&gt;0,
      INDEX(FILTER('RE Portfolio'!L$2:L2000,'RE Portfolio'!D$2:D2000=""BUY""), INT((ROW()-2)/amortYears)+1) - G68,
      INDEX(FILTER('RE Portfolio'!L$2:L2000,'RE Portfolio'!D$2:D2000=""BUY""), INT((ROW()-2)/amortYears)+1)
 "&amp;"  )
)
"),6093.218673405903)</f>
        <v>6093.218673</v>
      </c>
      <c r="L68" s="15">
        <f>IFERROR(__xludf.DUMMYFUNCTION("IF(A68="""","""",
  INDEX(FILTER('RE Portfolio'!C$2:C2000,'RE Portfolio'!D$2:D2000=""BUY""), INT((ROW()-2)/amortYears)+1)
  * (1 + VALUE(Assumptions!$B$11))^(D68-1)
)
"),1043272.9507286471)</f>
        <v>1043272.951</v>
      </c>
    </row>
    <row r="69">
      <c r="A69" s="15">
        <f>IFERROR(__xludf.DUMMYFUNCTION("IFERROR(INDEX(FILTER('RE Portfolio'!A$2:A2000,'RE Portfolio'!D$2:D2000=""BUY""), INT((ROW()-2)/amortYears)+1), )
"),2.0)</f>
        <v>2</v>
      </c>
      <c r="B69" s="15">
        <f>IFERROR(__xludf.DUMMYFUNCTION("IFERROR(INDEX(FILTER('RE Portfolio'!B$2:B2000,'RE Portfolio'!D$2:D2000=""BUY""), INT((ROW()-2)/amortYears)+1), )
"),30.0)</f>
        <v>30</v>
      </c>
      <c r="C69" s="15">
        <f>IFERROR(__xludf.DUMMYFUNCTION("IFERROR(INDEX(FILTER('RE Portfolio'!G$2:G2000,'RE Portfolio'!D$2:D2000=""BUY""), INT((ROW()-2)/amortYears)+1), )
"),260931.01909790025)</f>
        <v>260931.0191</v>
      </c>
      <c r="D69" s="15">
        <f>MOD(ROW()-2, amortYears)+1</f>
        <v>30</v>
      </c>
      <c r="E69" s="15">
        <f t="shared" si="1"/>
        <v>59</v>
      </c>
      <c r="F69" s="16">
        <f t="shared" si="2"/>
        <v>19111.58763</v>
      </c>
      <c r="G69" s="16">
        <f>IF(D69&lt;=mortTerm, -PMT(mortRate/12, mortTerm*12, C69)*12, 0)
</f>
        <v>19791.13842</v>
      </c>
      <c r="H69" s="16">
        <f>IF(D69&lt;=mortTerm, G69 - I69, 0)
</f>
        <v>679.5507888</v>
      </c>
      <c r="I69" s="16">
        <f>IF(D69&lt;=mortTerm, F69 - J69, 0)
</f>
        <v>19111.58763</v>
      </c>
      <c r="J69" s="16">
        <f>IF(D69&lt;=mortTerm,
   F69*(1+mortRate/12)^12 - (-PMT(mortRate/12, mortTerm*12, C69))*(((1+mortRate/12)^12 - 1)/(mortRate/12)),
   0
)
</f>
        <v>0.0000000005311449058</v>
      </c>
      <c r="K69" s="13">
        <f>IFERROR(__xludf.DUMMYFUNCTION("IF(A69="""","""",
   IF(F69&gt;0,
      INDEX(FILTER('RE Portfolio'!L$2:L2000,'RE Portfolio'!D$2:D2000=""BUY""), INT((ROW()-2)/amortYears)+1) - G69,
      INDEX(FILTER('RE Portfolio'!L$2:L2000,'RE Portfolio'!D$2:D2000=""BUY""), INT((ROW()-2)/amortYears)+1)
 "&amp;"  )
)
"),6093.218673405903)</f>
        <v>6093.218673</v>
      </c>
      <c r="L69" s="15">
        <f>IFERROR(__xludf.DUMMYFUNCTION("IF(A69="""","""",
  INDEX(FILTER('RE Portfolio'!C$2:C2000,'RE Portfolio'!D$2:D2000=""BUY""), INT((ROW()-2)/amortYears)+1)
  * (1 + VALUE(Assumptions!$B$11))^(D69-1)
)
"),1085003.868757793)</f>
        <v>1085003.869</v>
      </c>
    </row>
    <row r="70">
      <c r="A70" s="15">
        <f>IFERROR(__xludf.DUMMYFUNCTION("IFERROR(INDEX(FILTER('RE Portfolio'!A$2:A2000,'RE Portfolio'!D$2:D2000=""BUY""), INT((ROW()-2)/amortYears)+1), )
"),2.0)</f>
        <v>2</v>
      </c>
      <c r="B70" s="15">
        <f>IFERROR(__xludf.DUMMYFUNCTION("IFERROR(INDEX(FILTER('RE Portfolio'!B$2:B2000,'RE Portfolio'!D$2:D2000=""BUY""), INT((ROW()-2)/amortYears)+1), )
"),30.0)</f>
        <v>30</v>
      </c>
      <c r="C70" s="15">
        <f>IFERROR(__xludf.DUMMYFUNCTION("IFERROR(INDEX(FILTER('RE Portfolio'!G$2:G2000,'RE Portfolio'!D$2:D2000=""BUY""), INT((ROW()-2)/amortYears)+1), )
"),260931.01909790025)</f>
        <v>260931.0191</v>
      </c>
      <c r="D70" s="15">
        <f>MOD(ROW()-2, amortYears)+1</f>
        <v>31</v>
      </c>
      <c r="E70" s="15">
        <f t="shared" si="1"/>
        <v>60</v>
      </c>
      <c r="F70" s="16">
        <f t="shared" si="2"/>
        <v>0.0000000005311449058</v>
      </c>
      <c r="G70" s="15">
        <f>IF(D70&lt;=mortTerm, -PMT(mortRate/12, mortTerm*12, C70)*12, 0)
</f>
        <v>0</v>
      </c>
      <c r="H70" s="15">
        <f>IF(D70&lt;=mortTerm, G70 - I70, 0)
</f>
        <v>0</v>
      </c>
      <c r="I70" s="15">
        <f>IF(D70&lt;=mortTerm, F70 - J70, 0)
</f>
        <v>0</v>
      </c>
      <c r="J70" s="15">
        <f>IF(D70&lt;=mortTerm,
   F70*(1+mortRate/12)^12 - (-PMT(mortRate/12, mortTerm*12, C70))*(((1+mortRate/12)^12 - 1)/(mortRate/12)),
   0
)
</f>
        <v>0</v>
      </c>
      <c r="K70" s="13">
        <f>IFERROR(__xludf.DUMMYFUNCTION("IF(A70="""","""",
   IF(F70&gt;0,
      INDEX(FILTER('RE Portfolio'!L$2:L2000,'RE Portfolio'!D$2:D2000=""BUY""), INT((ROW()-2)/amortYears)+1) - G70,
      INDEX(FILTER('RE Portfolio'!L$2:L2000,'RE Portfolio'!D$2:D2000=""BUY""), INT((ROW()-2)/amortYears)+1)
 "&amp;"  )
)
"),25884.357094511706)</f>
        <v>25884.35709</v>
      </c>
      <c r="L70" s="15">
        <f>IFERROR(__xludf.DUMMYFUNCTION("IF(A70="""","""",
  INDEX(FILTER('RE Portfolio'!C$2:C2000,'RE Portfolio'!D$2:D2000=""BUY""), INT((ROW()-2)/amortYears)+1)
  * (1 + VALUE(Assumptions!$B$11))^(D70-1)
)
"),1128404.0235081047)</f>
        <v>1128404.024</v>
      </c>
    </row>
    <row r="71">
      <c r="A71" s="15">
        <f>IFERROR(__xludf.DUMMYFUNCTION("IFERROR(INDEX(FILTER('RE Portfolio'!A$2:A2000,'RE Portfolio'!D$2:D2000=""BUY""), INT((ROW()-2)/amortYears)+1), )
"),2.0)</f>
        <v>2</v>
      </c>
      <c r="B71" s="15">
        <f>IFERROR(__xludf.DUMMYFUNCTION("IFERROR(INDEX(FILTER('RE Portfolio'!B$2:B2000,'RE Portfolio'!D$2:D2000=""BUY""), INT((ROW()-2)/amortYears)+1), )
"),30.0)</f>
        <v>30</v>
      </c>
      <c r="C71" s="15">
        <f>IFERROR(__xludf.DUMMYFUNCTION("IFERROR(INDEX(FILTER('RE Portfolio'!G$2:G2000,'RE Portfolio'!D$2:D2000=""BUY""), INT((ROW()-2)/amortYears)+1), )
"),260931.01909790025)</f>
        <v>260931.0191</v>
      </c>
      <c r="D71" s="15">
        <f>MOD(ROW()-2, amortYears)+1</f>
        <v>32</v>
      </c>
      <c r="E71" s="15">
        <f t="shared" si="1"/>
        <v>61</v>
      </c>
      <c r="F71" s="15">
        <f t="shared" si="2"/>
        <v>0</v>
      </c>
      <c r="G71" s="15">
        <f>IF(D71&lt;=mortTerm, -PMT(mortRate/12, mortTerm*12, C71)*12, 0)
</f>
        <v>0</v>
      </c>
      <c r="H71" s="15">
        <f>IF(D71&lt;=mortTerm, G71 - I71, 0)
</f>
        <v>0</v>
      </c>
      <c r="I71" s="15">
        <f>IF(D71&lt;=mortTerm, F71 - J71, 0)
</f>
        <v>0</v>
      </c>
      <c r="J71" s="15">
        <f>IF(D71&lt;=mortTerm,
   F71*(1+mortRate/12)^12 - (-PMT(mortRate/12, mortTerm*12, C71))*(((1+mortRate/12)^12 - 1)/(mortRate/12)),
   0
)
</f>
        <v>0</v>
      </c>
      <c r="K71" s="13">
        <f>IFERROR(__xludf.DUMMYFUNCTION("IF(A71="""","""",
   IF(F71&gt;0,
      INDEX(FILTER('RE Portfolio'!L$2:L2000,'RE Portfolio'!D$2:D2000=""BUY""), INT((ROW()-2)/amortYears)+1) - G71,
      INDEX(FILTER('RE Portfolio'!L$2:L2000,'RE Portfolio'!D$2:D2000=""BUY""), INT((ROW()-2)/amortYears)+1)
 "&amp;"  )
)
"),25884.357094511706)</f>
        <v>25884.35709</v>
      </c>
      <c r="L71" s="15">
        <f>IFERROR(__xludf.DUMMYFUNCTION("IF(A71="""","""",
  INDEX(FILTER('RE Portfolio'!C$2:C2000,'RE Portfolio'!D$2:D2000=""BUY""), INT((ROW()-2)/amortYears)+1)
  * (1 + VALUE(Assumptions!$B$11))^(D71-1)
)
"),1173540.184448429)</f>
        <v>1173540.184</v>
      </c>
    </row>
    <row r="72">
      <c r="A72" s="15">
        <f>IFERROR(__xludf.DUMMYFUNCTION("IFERROR(INDEX(FILTER('RE Portfolio'!A$2:A2000,'RE Portfolio'!D$2:D2000=""BUY""), INT((ROW()-2)/amortYears)+1), )
"),2.0)</f>
        <v>2</v>
      </c>
      <c r="B72" s="15">
        <f>IFERROR(__xludf.DUMMYFUNCTION("IFERROR(INDEX(FILTER('RE Portfolio'!B$2:B2000,'RE Portfolio'!D$2:D2000=""BUY""), INT((ROW()-2)/amortYears)+1), )
"),30.0)</f>
        <v>30</v>
      </c>
      <c r="C72" s="15">
        <f>IFERROR(__xludf.DUMMYFUNCTION("IFERROR(INDEX(FILTER('RE Portfolio'!G$2:G2000,'RE Portfolio'!D$2:D2000=""BUY""), INT((ROW()-2)/amortYears)+1), )
"),260931.01909790025)</f>
        <v>260931.0191</v>
      </c>
      <c r="D72" s="15">
        <f>MOD(ROW()-2, amortYears)+1</f>
        <v>33</v>
      </c>
      <c r="E72" s="15">
        <f t="shared" si="1"/>
        <v>62</v>
      </c>
      <c r="F72" s="15">
        <f t="shared" si="2"/>
        <v>0</v>
      </c>
      <c r="G72" s="15">
        <f>IF(D72&lt;=mortTerm, -PMT(mortRate/12, mortTerm*12, C72)*12, 0)
</f>
        <v>0</v>
      </c>
      <c r="H72" s="15">
        <f>IF(D72&lt;=mortTerm, G72 - I72, 0)
</f>
        <v>0</v>
      </c>
      <c r="I72" s="15">
        <f>IF(D72&lt;=mortTerm, F72 - J72, 0)
</f>
        <v>0</v>
      </c>
      <c r="J72" s="15">
        <f>IF(D72&lt;=mortTerm,
   F72*(1+mortRate/12)^12 - (-PMT(mortRate/12, mortTerm*12, C72))*(((1+mortRate/12)^12 - 1)/(mortRate/12)),
   0
)
</f>
        <v>0</v>
      </c>
      <c r="K72" s="13">
        <f>IFERROR(__xludf.DUMMYFUNCTION("IF(A72="""","""",
   IF(F72&gt;0,
      INDEX(FILTER('RE Portfolio'!L$2:L2000,'RE Portfolio'!D$2:D2000=""BUY""), INT((ROW()-2)/amortYears)+1) - G72,
      INDEX(FILTER('RE Portfolio'!L$2:L2000,'RE Portfolio'!D$2:D2000=""BUY""), INT((ROW()-2)/amortYears)+1)
 "&amp;"  )
)
"),25884.357094511706)</f>
        <v>25884.35709</v>
      </c>
      <c r="L72" s="15">
        <f>IFERROR(__xludf.DUMMYFUNCTION("IF(A72="""","""",
  INDEX(FILTER('RE Portfolio'!C$2:C2000,'RE Portfolio'!D$2:D2000=""BUY""), INT((ROW()-2)/amortYears)+1)
  * (1 + VALUE(Assumptions!$B$11))^(D72-1)
)
"),1220481.791826366)</f>
        <v>1220481.792</v>
      </c>
    </row>
    <row r="73">
      <c r="A73" s="15">
        <f>IFERROR(__xludf.DUMMYFUNCTION("IFERROR(INDEX(FILTER('RE Portfolio'!A$2:A2000,'RE Portfolio'!D$2:D2000=""BUY""), INT((ROW()-2)/amortYears)+1), )
"),2.0)</f>
        <v>2</v>
      </c>
      <c r="B73" s="15">
        <f>IFERROR(__xludf.DUMMYFUNCTION("IFERROR(INDEX(FILTER('RE Portfolio'!B$2:B2000,'RE Portfolio'!D$2:D2000=""BUY""), INT((ROW()-2)/amortYears)+1), )
"),30.0)</f>
        <v>30</v>
      </c>
      <c r="C73" s="15">
        <f>IFERROR(__xludf.DUMMYFUNCTION("IFERROR(INDEX(FILTER('RE Portfolio'!G$2:G2000,'RE Portfolio'!D$2:D2000=""BUY""), INT((ROW()-2)/amortYears)+1), )
"),260931.01909790025)</f>
        <v>260931.0191</v>
      </c>
      <c r="D73" s="15">
        <f>MOD(ROW()-2, amortYears)+1</f>
        <v>34</v>
      </c>
      <c r="E73" s="15">
        <f t="shared" si="1"/>
        <v>63</v>
      </c>
      <c r="F73" s="15">
        <f t="shared" si="2"/>
        <v>0</v>
      </c>
      <c r="G73" s="15">
        <f>IF(D73&lt;=mortTerm, -PMT(mortRate/12, mortTerm*12, C73)*12, 0)
</f>
        <v>0</v>
      </c>
      <c r="H73" s="15">
        <f>IF(D73&lt;=mortTerm, G73 - I73, 0)
</f>
        <v>0</v>
      </c>
      <c r="I73" s="15">
        <f>IF(D73&lt;=mortTerm, F73 - J73, 0)
</f>
        <v>0</v>
      </c>
      <c r="J73" s="15">
        <f>IF(D73&lt;=mortTerm,
   F73*(1+mortRate/12)^12 - (-PMT(mortRate/12, mortTerm*12, C73))*(((1+mortRate/12)^12 - 1)/(mortRate/12)),
   0
)
</f>
        <v>0</v>
      </c>
      <c r="K73" s="13">
        <f>IFERROR(__xludf.DUMMYFUNCTION("IF(A73="""","""",
   IF(F73&gt;0,
      INDEX(FILTER('RE Portfolio'!L$2:L2000,'RE Portfolio'!D$2:D2000=""BUY""), INT((ROW()-2)/amortYears)+1) - G73,
      INDEX(FILTER('RE Portfolio'!L$2:L2000,'RE Portfolio'!D$2:D2000=""BUY""), INT((ROW()-2)/amortYears)+1)
 "&amp;"  )
)
"),25884.357094511706)</f>
        <v>25884.35709</v>
      </c>
      <c r="L73" s="15">
        <f>IFERROR(__xludf.DUMMYFUNCTION("IF(A73="""","""",
  INDEX(FILTER('RE Portfolio'!C$2:C2000,'RE Portfolio'!D$2:D2000=""BUY""), INT((ROW()-2)/amortYears)+1)
  * (1 + VALUE(Assumptions!$B$11))^(D73-1)
)
"),1269301.0634994209)</f>
        <v>1269301.063</v>
      </c>
    </row>
    <row r="74">
      <c r="A74" s="15">
        <f>IFERROR(__xludf.DUMMYFUNCTION("IFERROR(INDEX(FILTER('RE Portfolio'!A$2:A2000,'RE Portfolio'!D$2:D2000=""BUY""), INT((ROW()-2)/amortYears)+1), )
"),2.0)</f>
        <v>2</v>
      </c>
      <c r="B74" s="15">
        <f>IFERROR(__xludf.DUMMYFUNCTION("IFERROR(INDEX(FILTER('RE Portfolio'!B$2:B2000,'RE Portfolio'!D$2:D2000=""BUY""), INT((ROW()-2)/amortYears)+1), )
"),30.0)</f>
        <v>30</v>
      </c>
      <c r="C74" s="15">
        <f>IFERROR(__xludf.DUMMYFUNCTION("IFERROR(INDEX(FILTER('RE Portfolio'!G$2:G2000,'RE Portfolio'!D$2:D2000=""BUY""), INT((ROW()-2)/amortYears)+1), )
"),260931.01909790025)</f>
        <v>260931.0191</v>
      </c>
      <c r="D74" s="15">
        <f>MOD(ROW()-2, amortYears)+1</f>
        <v>35</v>
      </c>
      <c r="E74" s="15">
        <f t="shared" si="1"/>
        <v>64</v>
      </c>
      <c r="F74" s="15">
        <f t="shared" si="2"/>
        <v>0</v>
      </c>
      <c r="G74" s="15">
        <f>IF(D74&lt;=mortTerm, -PMT(mortRate/12, mortTerm*12, C74)*12, 0)
</f>
        <v>0</v>
      </c>
      <c r="H74" s="15">
        <f>IF(D74&lt;=mortTerm, G74 - I74, 0)
</f>
        <v>0</v>
      </c>
      <c r="I74" s="15">
        <f>IF(D74&lt;=mortTerm, F74 - J74, 0)
</f>
        <v>0</v>
      </c>
      <c r="J74" s="15">
        <f>IF(D74&lt;=mortTerm,
   F74*(1+mortRate/12)^12 - (-PMT(mortRate/12, mortTerm*12, C74))*(((1+mortRate/12)^12 - 1)/(mortRate/12)),
   0
)
</f>
        <v>0</v>
      </c>
      <c r="K74" s="13">
        <f>IFERROR(__xludf.DUMMYFUNCTION("IF(A74="""","""",
   IF(F74&gt;0,
      INDEX(FILTER('RE Portfolio'!L$2:L2000,'RE Portfolio'!D$2:D2000=""BUY""), INT((ROW()-2)/amortYears)+1) - G74,
      INDEX(FILTER('RE Portfolio'!L$2:L2000,'RE Portfolio'!D$2:D2000=""BUY""), INT((ROW()-2)/amortYears)+1)
 "&amp;"  )
)
"),25884.357094511706)</f>
        <v>25884.35709</v>
      </c>
      <c r="L74" s="15">
        <f>IFERROR(__xludf.DUMMYFUNCTION("IF(A74="""","""",
  INDEX(FILTER('RE Portfolio'!C$2:C2000,'RE Portfolio'!D$2:D2000=""BUY""), INT((ROW()-2)/amortYears)+1)
  * (1 + VALUE(Assumptions!$B$11))^(D74-1)
)
"),1320073.1060393977)</f>
        <v>1320073.106</v>
      </c>
    </row>
    <row r="75">
      <c r="A75" s="15">
        <f>IFERROR(__xludf.DUMMYFUNCTION("IFERROR(INDEX(FILTER('RE Portfolio'!A$2:A2000,'RE Portfolio'!D$2:D2000=""BUY""), INT((ROW()-2)/amortYears)+1), )
"),2.0)</f>
        <v>2</v>
      </c>
      <c r="B75" s="15">
        <f>IFERROR(__xludf.DUMMYFUNCTION("IFERROR(INDEX(FILTER('RE Portfolio'!B$2:B2000,'RE Portfolio'!D$2:D2000=""BUY""), INT((ROW()-2)/amortYears)+1), )
"),30.0)</f>
        <v>30</v>
      </c>
      <c r="C75" s="15">
        <f>IFERROR(__xludf.DUMMYFUNCTION("IFERROR(INDEX(FILTER('RE Portfolio'!G$2:G2000,'RE Portfolio'!D$2:D2000=""BUY""), INT((ROW()-2)/amortYears)+1), )
"),260931.01909790025)</f>
        <v>260931.0191</v>
      </c>
      <c r="D75" s="15">
        <f>MOD(ROW()-2, amortYears)+1</f>
        <v>36</v>
      </c>
      <c r="E75" s="15">
        <f t="shared" si="1"/>
        <v>65</v>
      </c>
      <c r="F75" s="15">
        <f t="shared" si="2"/>
        <v>0</v>
      </c>
      <c r="G75" s="15">
        <f>IF(D75&lt;=mortTerm, -PMT(mortRate/12, mortTerm*12, C75)*12, 0)
</f>
        <v>0</v>
      </c>
      <c r="H75" s="15">
        <f>IF(D75&lt;=mortTerm, G75 - I75, 0)
</f>
        <v>0</v>
      </c>
      <c r="I75" s="15">
        <f>IF(D75&lt;=mortTerm, F75 - J75, 0)
</f>
        <v>0</v>
      </c>
      <c r="J75" s="15">
        <f>IF(D75&lt;=mortTerm,
   F75*(1+mortRate/12)^12 - (-PMT(mortRate/12, mortTerm*12, C75))*(((1+mortRate/12)^12 - 1)/(mortRate/12)),
   0
)
</f>
        <v>0</v>
      </c>
      <c r="K75" s="13">
        <f>IFERROR(__xludf.DUMMYFUNCTION("IF(A75="""","""",
   IF(F75&gt;0,
      INDEX(FILTER('RE Portfolio'!L$2:L2000,'RE Portfolio'!D$2:D2000=""BUY""), INT((ROW()-2)/amortYears)+1) - G75,
      INDEX(FILTER('RE Portfolio'!L$2:L2000,'RE Portfolio'!D$2:D2000=""BUY""), INT((ROW()-2)/amortYears)+1)
 "&amp;"  )
)
"),25884.357094511706)</f>
        <v>25884.35709</v>
      </c>
      <c r="L75" s="15">
        <f>IFERROR(__xludf.DUMMYFUNCTION("IF(A75="""","""",
  INDEX(FILTER('RE Portfolio'!C$2:C2000,'RE Portfolio'!D$2:D2000=""BUY""), INT((ROW()-2)/amortYears)+1)
  * (1 + VALUE(Assumptions!$B$11))^(D75-1)
)
"),1372876.0302809738)</f>
        <v>1372876.03</v>
      </c>
    </row>
    <row r="76">
      <c r="A76" s="15">
        <f>IFERROR(__xludf.DUMMYFUNCTION("IFERROR(INDEX(FILTER('RE Portfolio'!A$2:A2000,'RE Portfolio'!D$2:D2000=""BUY""), INT((ROW()-2)/amortYears)+1), )
"),2.0)</f>
        <v>2</v>
      </c>
      <c r="B76" s="15">
        <f>IFERROR(__xludf.DUMMYFUNCTION("IFERROR(INDEX(FILTER('RE Portfolio'!B$2:B2000,'RE Portfolio'!D$2:D2000=""BUY""), INT((ROW()-2)/amortYears)+1), )
"),30.0)</f>
        <v>30</v>
      </c>
      <c r="C76" s="15">
        <f>IFERROR(__xludf.DUMMYFUNCTION("IFERROR(INDEX(FILTER('RE Portfolio'!G$2:G2000,'RE Portfolio'!D$2:D2000=""BUY""), INT((ROW()-2)/amortYears)+1), )
"),260931.01909790025)</f>
        <v>260931.0191</v>
      </c>
      <c r="D76" s="15">
        <f>MOD(ROW()-2, amortYears)+1</f>
        <v>37</v>
      </c>
      <c r="E76" s="15">
        <f t="shared" si="1"/>
        <v>66</v>
      </c>
      <c r="F76" s="15">
        <f t="shared" si="2"/>
        <v>0</v>
      </c>
      <c r="G76" s="15">
        <f>IF(D76&lt;=mortTerm, -PMT(mortRate/12, mortTerm*12, C76)*12, 0)
</f>
        <v>0</v>
      </c>
      <c r="H76" s="15">
        <f>IF(D76&lt;=mortTerm, G76 - I76, 0)
</f>
        <v>0</v>
      </c>
      <c r="I76" s="15">
        <f>IF(D76&lt;=mortTerm, F76 - J76, 0)
</f>
        <v>0</v>
      </c>
      <c r="J76" s="15">
        <f>IF(D76&lt;=mortTerm,
   F76*(1+mortRate/12)^12 - (-PMT(mortRate/12, mortTerm*12, C76))*(((1+mortRate/12)^12 - 1)/(mortRate/12)),
   0
)
</f>
        <v>0</v>
      </c>
      <c r="K76" s="13">
        <f>IFERROR(__xludf.DUMMYFUNCTION("IF(A76="""","""",
   IF(F76&gt;0,
      INDEX(FILTER('RE Portfolio'!L$2:L2000,'RE Portfolio'!D$2:D2000=""BUY""), INT((ROW()-2)/amortYears)+1) - G76,
      INDEX(FILTER('RE Portfolio'!L$2:L2000,'RE Portfolio'!D$2:D2000=""BUY""), INT((ROW()-2)/amortYears)+1)
 "&amp;"  )
)
"),25884.357094511706)</f>
        <v>25884.35709</v>
      </c>
      <c r="L76" s="15">
        <f>IFERROR(__xludf.DUMMYFUNCTION("IF(A76="""","""",
  INDEX(FILTER('RE Portfolio'!C$2:C2000,'RE Portfolio'!D$2:D2000=""BUY""), INT((ROW()-2)/amortYears)+1)
  * (1 + VALUE(Assumptions!$B$11))^(D76-1)
)
"),1427791.0714922128)</f>
        <v>1427791.071</v>
      </c>
    </row>
    <row r="77">
      <c r="A77" s="15">
        <f>IFERROR(__xludf.DUMMYFUNCTION("IFERROR(INDEX(FILTER('RE Portfolio'!A$2:A2000,'RE Portfolio'!D$2:D2000=""BUY""), INT((ROW()-2)/amortYears)+1), )
"),2.0)</f>
        <v>2</v>
      </c>
      <c r="B77" s="15">
        <f>IFERROR(__xludf.DUMMYFUNCTION("IFERROR(INDEX(FILTER('RE Portfolio'!B$2:B2000,'RE Portfolio'!D$2:D2000=""BUY""), INT((ROW()-2)/amortYears)+1), )
"),30.0)</f>
        <v>30</v>
      </c>
      <c r="C77" s="15">
        <f>IFERROR(__xludf.DUMMYFUNCTION("IFERROR(INDEX(FILTER('RE Portfolio'!G$2:G2000,'RE Portfolio'!D$2:D2000=""BUY""), INT((ROW()-2)/amortYears)+1), )
"),260931.01909790025)</f>
        <v>260931.0191</v>
      </c>
      <c r="D77" s="15">
        <f>MOD(ROW()-2, amortYears)+1</f>
        <v>38</v>
      </c>
      <c r="E77" s="15">
        <f t="shared" si="1"/>
        <v>67</v>
      </c>
      <c r="F77" s="15">
        <f t="shared" si="2"/>
        <v>0</v>
      </c>
      <c r="G77" s="15">
        <f>IF(D77&lt;=mortTerm, -PMT(mortRate/12, mortTerm*12, C77)*12, 0)
</f>
        <v>0</v>
      </c>
      <c r="H77" s="15">
        <f>IF(D77&lt;=mortTerm, G77 - I77, 0)
</f>
        <v>0</v>
      </c>
      <c r="I77" s="15">
        <f>IF(D77&lt;=mortTerm, F77 - J77, 0)
</f>
        <v>0</v>
      </c>
      <c r="J77" s="15">
        <f>IF(D77&lt;=mortTerm,
   F77*(1+mortRate/12)^12 - (-PMT(mortRate/12, mortTerm*12, C77))*(((1+mortRate/12)^12 - 1)/(mortRate/12)),
   0
)
</f>
        <v>0</v>
      </c>
      <c r="K77" s="13">
        <f>IFERROR(__xludf.DUMMYFUNCTION("IF(A77="""","""",
   IF(F77&gt;0,
      INDEX(FILTER('RE Portfolio'!L$2:L2000,'RE Portfolio'!D$2:D2000=""BUY""), INT((ROW()-2)/amortYears)+1) - G77,
      INDEX(FILTER('RE Portfolio'!L$2:L2000,'RE Portfolio'!D$2:D2000=""BUY""), INT((ROW()-2)/amortYears)+1)
 "&amp;"  )
)
"),25884.357094511706)</f>
        <v>25884.35709</v>
      </c>
      <c r="L77" s="15">
        <f>IFERROR(__xludf.DUMMYFUNCTION("IF(A77="""","""",
  INDEX(FILTER('RE Portfolio'!C$2:C2000,'RE Portfolio'!D$2:D2000=""BUY""), INT((ROW()-2)/amortYears)+1)
  * (1 + VALUE(Assumptions!$B$11))^(D77-1)
)
"),1484902.714351901)</f>
        <v>1484902.714</v>
      </c>
    </row>
    <row r="78">
      <c r="A78" s="15">
        <f>IFERROR(__xludf.DUMMYFUNCTION("IFERROR(INDEX(FILTER('RE Portfolio'!A$2:A2000,'RE Portfolio'!D$2:D2000=""BUY""), INT((ROW()-2)/amortYears)+1), )
"),3.0)</f>
        <v>3</v>
      </c>
      <c r="B78" s="15">
        <f>IFERROR(__xludf.DUMMYFUNCTION("IFERROR(INDEX(FILTER('RE Portfolio'!B$2:B2000,'RE Portfolio'!D$2:D2000=""BUY""), INT((ROW()-2)/amortYears)+1), )
"),33.0)</f>
        <v>33</v>
      </c>
      <c r="C78" s="15">
        <f>IFERROR(__xludf.DUMMYFUNCTION("IFERROR(INDEX(FILTER('RE Portfolio'!G$2:G2000,'RE Portfolio'!D$2:D2000=""BUY""), INT((ROW()-2)/amortYears)+1), )
"),280994.1682382247)</f>
        <v>280994.1682</v>
      </c>
      <c r="D78" s="15">
        <f>MOD(ROW()-2, amortYears)+1</f>
        <v>1</v>
      </c>
      <c r="E78" s="15">
        <f t="shared" si="1"/>
        <v>33</v>
      </c>
      <c r="F78" s="15">
        <f t="shared" si="2"/>
        <v>280994.1682</v>
      </c>
      <c r="G78" s="16">
        <f>IF(D78&lt;=mortTerm, -PMT(mortRate/12, mortTerm*12, C78)*12, 0)
</f>
        <v>21312.89142</v>
      </c>
      <c r="H78" s="16">
        <f>IF(D78&lt;=mortTerm, G78 - I78, 0)
</f>
        <v>18172.14804</v>
      </c>
      <c r="I78" s="16">
        <f>IF(D78&lt;=mortTerm, F78 - J78, 0)
</f>
        <v>3140.743385</v>
      </c>
      <c r="J78" s="16">
        <f>IF(D78&lt;=mortTerm,
   F78*(1+mortRate/12)^12 - (-PMT(mortRate/12, mortTerm*12, C78))*(((1+mortRate/12)^12 - 1)/(mortRate/12)),
   0
)
</f>
        <v>277853.4249</v>
      </c>
      <c r="K78" s="13">
        <f>IFERROR(__xludf.DUMMYFUNCTION("IF(A78="""","""",
   IF(F78&gt;0,
      INDEX(FILTER('RE Portfolio'!L$2:L2000,'RE Portfolio'!D$2:D2000=""BUY""), INT((ROW()-2)/amortYears)+1) - G78,
      INDEX(FILTER('RE Portfolio'!L$2:L2000,'RE Portfolio'!D$2:D2000=""BUY""), INT((ROW()-2)/amortYears)+1)
 "&amp;"  )
)
"),6561.730065465745)</f>
        <v>6561.730065</v>
      </c>
      <c r="L78" s="15">
        <f>IFERROR(__xludf.DUMMYFUNCTION("IF(A78="""","""",
  INDEX(FILTER('RE Portfolio'!C$2:C2000,'RE Portfolio'!D$2:D2000=""BUY""), INT((ROW()-2)/amortYears)+1)
  * (1 + VALUE(Assumptions!$B$11))^(D78-1)
)
"),374658.8909842996)</f>
        <v>374658.891</v>
      </c>
    </row>
    <row r="79">
      <c r="A79" s="15">
        <f>IFERROR(__xludf.DUMMYFUNCTION("IFERROR(INDEX(FILTER('RE Portfolio'!A$2:A2000,'RE Portfolio'!D$2:D2000=""BUY""), INT((ROW()-2)/amortYears)+1), )
"),3.0)</f>
        <v>3</v>
      </c>
      <c r="B79" s="15">
        <f>IFERROR(__xludf.DUMMYFUNCTION("IFERROR(INDEX(FILTER('RE Portfolio'!B$2:B2000,'RE Portfolio'!D$2:D2000=""BUY""), INT((ROW()-2)/amortYears)+1), )
"),33.0)</f>
        <v>33</v>
      </c>
      <c r="C79" s="15">
        <f>IFERROR(__xludf.DUMMYFUNCTION("IFERROR(INDEX(FILTER('RE Portfolio'!G$2:G2000,'RE Portfolio'!D$2:D2000=""BUY""), INT((ROW()-2)/amortYears)+1), )
"),280994.1682382247)</f>
        <v>280994.1682</v>
      </c>
      <c r="D79" s="15">
        <f>MOD(ROW()-2, amortYears)+1</f>
        <v>2</v>
      </c>
      <c r="E79" s="15">
        <f t="shared" si="1"/>
        <v>34</v>
      </c>
      <c r="F79" s="16">
        <f t="shared" si="2"/>
        <v>277853.4249</v>
      </c>
      <c r="G79" s="16">
        <f>IF(D79&lt;=mortTerm, -PMT(mortRate/12, mortTerm*12, C79)*12, 0)
</f>
        <v>21312.89142</v>
      </c>
      <c r="H79" s="16">
        <f>IF(D79&lt;=mortTerm, G79 - I79, 0)
</f>
        <v>17961.80664</v>
      </c>
      <c r="I79" s="16">
        <f>IF(D79&lt;=mortTerm, F79 - J79, 0)
</f>
        <v>3351.084786</v>
      </c>
      <c r="J79" s="16">
        <f>IF(D79&lt;=mortTerm,
   F79*(1+mortRate/12)^12 - (-PMT(mortRate/12, mortTerm*12, C79))*(((1+mortRate/12)^12 - 1)/(mortRate/12)),
   0
)
</f>
        <v>274502.3401</v>
      </c>
      <c r="K79" s="13">
        <f>IFERROR(__xludf.DUMMYFUNCTION("IF(A79="""","""",
   IF(F79&gt;0,
      INDEX(FILTER('RE Portfolio'!L$2:L2000,'RE Portfolio'!D$2:D2000=""BUY""), INT((ROW()-2)/amortYears)+1) - G79,
      INDEX(FILTER('RE Portfolio'!L$2:L2000,'RE Portfolio'!D$2:D2000=""BUY""), INT((ROW()-2)/amortYears)+1)
 "&amp;"  )
)
"),6561.730065465745)</f>
        <v>6561.730065</v>
      </c>
      <c r="L79" s="15">
        <f>IFERROR(__xludf.DUMMYFUNCTION("IF(A79="""","""",
  INDEX(FILTER('RE Portfolio'!C$2:C2000,'RE Portfolio'!D$2:D2000=""BUY""), INT((ROW()-2)/amortYears)+1)
  * (1 + VALUE(Assumptions!$B$11))^(D79-1)
)
"),389645.2466236716)</f>
        <v>389645.2466</v>
      </c>
    </row>
    <row r="80">
      <c r="A80" s="15">
        <f>IFERROR(__xludf.DUMMYFUNCTION("IFERROR(INDEX(FILTER('RE Portfolio'!A$2:A2000,'RE Portfolio'!D$2:D2000=""BUY""), INT((ROW()-2)/amortYears)+1), )
"),3.0)</f>
        <v>3</v>
      </c>
      <c r="B80" s="15">
        <f>IFERROR(__xludf.DUMMYFUNCTION("IFERROR(INDEX(FILTER('RE Portfolio'!B$2:B2000,'RE Portfolio'!D$2:D2000=""BUY""), INT((ROW()-2)/amortYears)+1), )
"),33.0)</f>
        <v>33</v>
      </c>
      <c r="C80" s="15">
        <f>IFERROR(__xludf.DUMMYFUNCTION("IFERROR(INDEX(FILTER('RE Portfolio'!G$2:G2000,'RE Portfolio'!D$2:D2000=""BUY""), INT((ROW()-2)/amortYears)+1), )
"),280994.1682382247)</f>
        <v>280994.1682</v>
      </c>
      <c r="D80" s="15">
        <f>MOD(ROW()-2, amortYears)+1</f>
        <v>3</v>
      </c>
      <c r="E80" s="15">
        <f t="shared" si="1"/>
        <v>35</v>
      </c>
      <c r="F80" s="16">
        <f t="shared" si="2"/>
        <v>274502.3401</v>
      </c>
      <c r="G80" s="16">
        <f>IF(D80&lt;=mortTerm, -PMT(mortRate/12, mortTerm*12, C80)*12, 0)
</f>
        <v>21312.89142</v>
      </c>
      <c r="H80" s="16">
        <f>IF(D80&lt;=mortTerm, G80 - I80, 0)
</f>
        <v>17737.37828</v>
      </c>
      <c r="I80" s="16">
        <f>IF(D80&lt;=mortTerm, F80 - J80, 0)
</f>
        <v>3575.51314</v>
      </c>
      <c r="J80" s="16">
        <f>IF(D80&lt;=mortTerm,
   F80*(1+mortRate/12)^12 - (-PMT(mortRate/12, mortTerm*12, C80))*(((1+mortRate/12)^12 - 1)/(mortRate/12)),
   0
)
</f>
        <v>270926.8269</v>
      </c>
      <c r="K80" s="13">
        <f>IFERROR(__xludf.DUMMYFUNCTION("IF(A80="""","""",
   IF(F80&gt;0,
      INDEX(FILTER('RE Portfolio'!L$2:L2000,'RE Portfolio'!D$2:D2000=""BUY""), INT((ROW()-2)/amortYears)+1) - G80,
      INDEX(FILTER('RE Portfolio'!L$2:L2000,'RE Portfolio'!D$2:D2000=""BUY""), INT((ROW()-2)/amortYears)+1)
 "&amp;"  )
)
"),6561.730065465745)</f>
        <v>6561.730065</v>
      </c>
      <c r="L80" s="15">
        <f>IFERROR(__xludf.DUMMYFUNCTION("IF(A80="""","""",
  INDEX(FILTER('RE Portfolio'!C$2:C2000,'RE Portfolio'!D$2:D2000=""BUY""), INT((ROW()-2)/amortYears)+1)
  * (1 + VALUE(Assumptions!$B$11))^(D80-1)
)
"),405231.0564886185)</f>
        <v>405231.0565</v>
      </c>
    </row>
    <row r="81">
      <c r="A81" s="15">
        <f>IFERROR(__xludf.DUMMYFUNCTION("IFERROR(INDEX(FILTER('RE Portfolio'!A$2:A2000,'RE Portfolio'!D$2:D2000=""BUY""), INT((ROW()-2)/amortYears)+1), )
"),3.0)</f>
        <v>3</v>
      </c>
      <c r="B81" s="15">
        <f>IFERROR(__xludf.DUMMYFUNCTION("IFERROR(INDEX(FILTER('RE Portfolio'!B$2:B2000,'RE Portfolio'!D$2:D2000=""BUY""), INT((ROW()-2)/amortYears)+1), )
"),33.0)</f>
        <v>33</v>
      </c>
      <c r="C81" s="15">
        <f>IFERROR(__xludf.DUMMYFUNCTION("IFERROR(INDEX(FILTER('RE Portfolio'!G$2:G2000,'RE Portfolio'!D$2:D2000=""BUY""), INT((ROW()-2)/amortYears)+1), )
"),280994.1682382247)</f>
        <v>280994.1682</v>
      </c>
      <c r="D81" s="15">
        <f>MOD(ROW()-2, amortYears)+1</f>
        <v>4</v>
      </c>
      <c r="E81" s="15">
        <f t="shared" si="1"/>
        <v>36</v>
      </c>
      <c r="F81" s="16">
        <f t="shared" si="2"/>
        <v>270926.8269</v>
      </c>
      <c r="G81" s="16">
        <f>IF(D81&lt;=mortTerm, -PMT(mortRate/12, mortTerm*12, C81)*12, 0)
</f>
        <v>21312.89142</v>
      </c>
      <c r="H81" s="16">
        <f>IF(D81&lt;=mortTerm, G81 - I81, 0)
</f>
        <v>17497.91955</v>
      </c>
      <c r="I81" s="16">
        <f>IF(D81&lt;=mortTerm, F81 - J81, 0)
</f>
        <v>3814.971877</v>
      </c>
      <c r="J81" s="16">
        <f>IF(D81&lt;=mortTerm,
   F81*(1+mortRate/12)^12 - (-PMT(mortRate/12, mortTerm*12, C81))*(((1+mortRate/12)^12 - 1)/(mortRate/12)),
   0
)
</f>
        <v>267111.8551</v>
      </c>
      <c r="K81" s="13">
        <f>IFERROR(__xludf.DUMMYFUNCTION("IF(A81="""","""",
   IF(F81&gt;0,
      INDEX(FILTER('RE Portfolio'!L$2:L2000,'RE Portfolio'!D$2:D2000=""BUY""), INT((ROW()-2)/amortYears)+1) - G81,
      INDEX(FILTER('RE Portfolio'!L$2:L2000,'RE Portfolio'!D$2:D2000=""BUY""), INT((ROW()-2)/amortYears)+1)
 "&amp;"  )
)
"),6561.730065465745)</f>
        <v>6561.730065</v>
      </c>
      <c r="L81" s="15">
        <f>IFERROR(__xludf.DUMMYFUNCTION("IF(A81="""","""",
  INDEX(FILTER('RE Portfolio'!C$2:C2000,'RE Portfolio'!D$2:D2000=""BUY""), INT((ROW()-2)/amortYears)+1)
  * (1 + VALUE(Assumptions!$B$11))^(D81-1)
)
"),421440.2987481632)</f>
        <v>421440.2987</v>
      </c>
    </row>
    <row r="82">
      <c r="A82" s="15">
        <f>IFERROR(__xludf.DUMMYFUNCTION("IFERROR(INDEX(FILTER('RE Portfolio'!A$2:A2000,'RE Portfolio'!D$2:D2000=""BUY""), INT((ROW()-2)/amortYears)+1), )
"),3.0)</f>
        <v>3</v>
      </c>
      <c r="B82" s="15">
        <f>IFERROR(__xludf.DUMMYFUNCTION("IFERROR(INDEX(FILTER('RE Portfolio'!B$2:B2000,'RE Portfolio'!D$2:D2000=""BUY""), INT((ROW()-2)/amortYears)+1), )
"),33.0)</f>
        <v>33</v>
      </c>
      <c r="C82" s="15">
        <f>IFERROR(__xludf.DUMMYFUNCTION("IFERROR(INDEX(FILTER('RE Portfolio'!G$2:G2000,'RE Portfolio'!D$2:D2000=""BUY""), INT((ROW()-2)/amortYears)+1), )
"),280994.1682382247)</f>
        <v>280994.1682</v>
      </c>
      <c r="D82" s="15">
        <f>MOD(ROW()-2, amortYears)+1</f>
        <v>5</v>
      </c>
      <c r="E82" s="15">
        <f t="shared" si="1"/>
        <v>37</v>
      </c>
      <c r="F82" s="16">
        <f t="shared" si="2"/>
        <v>267111.8551</v>
      </c>
      <c r="G82" s="16">
        <f>IF(D82&lt;=mortTerm, -PMT(mortRate/12, mortTerm*12, C82)*12, 0)
</f>
        <v>21312.89142</v>
      </c>
      <c r="H82" s="16">
        <f>IF(D82&lt;=mortTerm, G82 - I82, 0)
</f>
        <v>17242.42381</v>
      </c>
      <c r="I82" s="16">
        <f>IF(D82&lt;=mortTerm, F82 - J82, 0)
</f>
        <v>4070.467609</v>
      </c>
      <c r="J82" s="16">
        <f>IF(D82&lt;=mortTerm,
   F82*(1+mortRate/12)^12 - (-PMT(mortRate/12, mortTerm*12, C82))*(((1+mortRate/12)^12 - 1)/(mortRate/12)),
   0
)
</f>
        <v>263041.3874</v>
      </c>
      <c r="K82" s="13">
        <f>IFERROR(__xludf.DUMMYFUNCTION("IF(A82="""","""",
   IF(F82&gt;0,
      INDEX(FILTER('RE Portfolio'!L$2:L2000,'RE Portfolio'!D$2:D2000=""BUY""), INT((ROW()-2)/amortYears)+1) - G82,
      INDEX(FILTER('RE Portfolio'!L$2:L2000,'RE Portfolio'!D$2:D2000=""BUY""), INT((ROW()-2)/amortYears)+1)
 "&amp;"  )
)
"),6561.730065465745)</f>
        <v>6561.730065</v>
      </c>
      <c r="L82" s="15">
        <f>IFERROR(__xludf.DUMMYFUNCTION("IF(A82="""","""",
  INDEX(FILTER('RE Portfolio'!C$2:C2000,'RE Portfolio'!D$2:D2000=""BUY""), INT((ROW()-2)/amortYears)+1)
  * (1 + VALUE(Assumptions!$B$11))^(D82-1)
)
"),438297.9106980898)</f>
        <v>438297.9107</v>
      </c>
    </row>
    <row r="83">
      <c r="A83" s="15">
        <f>IFERROR(__xludf.DUMMYFUNCTION("IFERROR(INDEX(FILTER('RE Portfolio'!A$2:A2000,'RE Portfolio'!D$2:D2000=""BUY""), INT((ROW()-2)/amortYears)+1), )
"),3.0)</f>
        <v>3</v>
      </c>
      <c r="B83" s="15">
        <f>IFERROR(__xludf.DUMMYFUNCTION("IFERROR(INDEX(FILTER('RE Portfolio'!B$2:B2000,'RE Portfolio'!D$2:D2000=""BUY""), INT((ROW()-2)/amortYears)+1), )
"),33.0)</f>
        <v>33</v>
      </c>
      <c r="C83" s="15">
        <f>IFERROR(__xludf.DUMMYFUNCTION("IFERROR(INDEX(FILTER('RE Portfolio'!G$2:G2000,'RE Portfolio'!D$2:D2000=""BUY""), INT((ROW()-2)/amortYears)+1), )
"),280994.1682382247)</f>
        <v>280994.1682</v>
      </c>
      <c r="D83" s="15">
        <f>MOD(ROW()-2, amortYears)+1</f>
        <v>6</v>
      </c>
      <c r="E83" s="15">
        <f t="shared" si="1"/>
        <v>38</v>
      </c>
      <c r="F83" s="16">
        <f t="shared" si="2"/>
        <v>263041.3874</v>
      </c>
      <c r="G83" s="16">
        <f>IF(D83&lt;=mortTerm, -PMT(mortRate/12, mortTerm*12, C83)*12, 0)
</f>
        <v>21312.89142</v>
      </c>
      <c r="H83" s="16">
        <f>IF(D83&lt;=mortTerm, G83 - I83, 0)
</f>
        <v>16969.81706</v>
      </c>
      <c r="I83" s="16">
        <f>IF(D83&lt;=mortTerm, F83 - J83, 0)
</f>
        <v>4343.074363</v>
      </c>
      <c r="J83" s="16">
        <f>IF(D83&lt;=mortTerm,
   F83*(1+mortRate/12)^12 - (-PMT(mortRate/12, mortTerm*12, C83))*(((1+mortRate/12)^12 - 1)/(mortRate/12)),
   0
)
</f>
        <v>258698.3131</v>
      </c>
      <c r="K83" s="13">
        <f>IFERROR(__xludf.DUMMYFUNCTION("IF(A83="""","""",
   IF(F83&gt;0,
      INDEX(FILTER('RE Portfolio'!L$2:L2000,'RE Portfolio'!D$2:D2000=""BUY""), INT((ROW()-2)/amortYears)+1) - G83,
      INDEX(FILTER('RE Portfolio'!L$2:L2000,'RE Portfolio'!D$2:D2000=""BUY""), INT((ROW()-2)/amortYears)+1)
 "&amp;"  )
)
"),6561.730065465745)</f>
        <v>6561.730065</v>
      </c>
      <c r="L83" s="15">
        <f>IFERROR(__xludf.DUMMYFUNCTION("IF(A83="""","""",
  INDEX(FILTER('RE Portfolio'!C$2:C2000,'RE Portfolio'!D$2:D2000=""BUY""), INT((ROW()-2)/amortYears)+1)
  * (1 + VALUE(Assumptions!$B$11))^(D83-1)
)
"),455829.82712601335)</f>
        <v>455829.8271</v>
      </c>
    </row>
    <row r="84">
      <c r="A84" s="15">
        <f>IFERROR(__xludf.DUMMYFUNCTION("IFERROR(INDEX(FILTER('RE Portfolio'!A$2:A2000,'RE Portfolio'!D$2:D2000=""BUY""), INT((ROW()-2)/amortYears)+1), )
"),3.0)</f>
        <v>3</v>
      </c>
      <c r="B84" s="15">
        <f>IFERROR(__xludf.DUMMYFUNCTION("IFERROR(INDEX(FILTER('RE Portfolio'!B$2:B2000,'RE Portfolio'!D$2:D2000=""BUY""), INT((ROW()-2)/amortYears)+1), )
"),33.0)</f>
        <v>33</v>
      </c>
      <c r="C84" s="15">
        <f>IFERROR(__xludf.DUMMYFUNCTION("IFERROR(INDEX(FILTER('RE Portfolio'!G$2:G2000,'RE Portfolio'!D$2:D2000=""BUY""), INT((ROW()-2)/amortYears)+1), )
"),280994.1682382247)</f>
        <v>280994.1682</v>
      </c>
      <c r="D84" s="15">
        <f>MOD(ROW()-2, amortYears)+1</f>
        <v>7</v>
      </c>
      <c r="E84" s="15">
        <f t="shared" si="1"/>
        <v>39</v>
      </c>
      <c r="F84" s="16">
        <f t="shared" si="2"/>
        <v>258698.3131</v>
      </c>
      <c r="G84" s="16">
        <f>IF(D84&lt;=mortTerm, -PMT(mortRate/12, mortTerm*12, C84)*12, 0)
</f>
        <v>21312.89142</v>
      </c>
      <c r="H84" s="16">
        <f>IF(D84&lt;=mortTerm, G84 - I84, 0)
</f>
        <v>16678.95333</v>
      </c>
      <c r="I84" s="16">
        <f>IF(D84&lt;=mortTerm, F84 - J84, 0)
</f>
        <v>4633.938097</v>
      </c>
      <c r="J84" s="16">
        <f>IF(D84&lt;=mortTerm,
   F84*(1+mortRate/12)^12 - (-PMT(mortRate/12, mortTerm*12, C84))*(((1+mortRate/12)^12 - 1)/(mortRate/12)),
   0
)
</f>
        <v>254064.375</v>
      </c>
      <c r="K84" s="13">
        <f>IFERROR(__xludf.DUMMYFUNCTION("IF(A84="""","""",
   IF(F84&gt;0,
      INDEX(FILTER('RE Portfolio'!L$2:L2000,'RE Portfolio'!D$2:D2000=""BUY""), INT((ROW()-2)/amortYears)+1) - G84,
      INDEX(FILTER('RE Portfolio'!L$2:L2000,'RE Portfolio'!D$2:D2000=""BUY""), INT((ROW()-2)/amortYears)+1)
 "&amp;"  )
)
"),6561.730065465745)</f>
        <v>6561.730065</v>
      </c>
      <c r="L84" s="15">
        <f>IFERROR(__xludf.DUMMYFUNCTION("IF(A84="""","""",
  INDEX(FILTER('RE Portfolio'!C$2:C2000,'RE Portfolio'!D$2:D2000=""BUY""), INT((ROW()-2)/amortYears)+1)
  * (1 + VALUE(Assumptions!$B$11))^(D84-1)
)
"),474063.02021105395)</f>
        <v>474063.0202</v>
      </c>
    </row>
    <row r="85">
      <c r="A85" s="15">
        <f>IFERROR(__xludf.DUMMYFUNCTION("IFERROR(INDEX(FILTER('RE Portfolio'!A$2:A2000,'RE Portfolio'!D$2:D2000=""BUY""), INT((ROW()-2)/amortYears)+1), )
"),3.0)</f>
        <v>3</v>
      </c>
      <c r="B85" s="15">
        <f>IFERROR(__xludf.DUMMYFUNCTION("IFERROR(INDEX(FILTER('RE Portfolio'!B$2:B2000,'RE Portfolio'!D$2:D2000=""BUY""), INT((ROW()-2)/amortYears)+1), )
"),33.0)</f>
        <v>33</v>
      </c>
      <c r="C85" s="15">
        <f>IFERROR(__xludf.DUMMYFUNCTION("IFERROR(INDEX(FILTER('RE Portfolio'!G$2:G2000,'RE Portfolio'!D$2:D2000=""BUY""), INT((ROW()-2)/amortYears)+1), )
"),280994.1682382247)</f>
        <v>280994.1682</v>
      </c>
      <c r="D85" s="15">
        <f>MOD(ROW()-2, amortYears)+1</f>
        <v>8</v>
      </c>
      <c r="E85" s="15">
        <f t="shared" si="1"/>
        <v>40</v>
      </c>
      <c r="F85" s="16">
        <f t="shared" si="2"/>
        <v>254064.375</v>
      </c>
      <c r="G85" s="16">
        <f>IF(D85&lt;=mortTerm, -PMT(mortRate/12, mortTerm*12, C85)*12, 0)
</f>
        <v>21312.89142</v>
      </c>
      <c r="H85" s="16">
        <f>IF(D85&lt;=mortTerm, G85 - I85, 0)
</f>
        <v>16368.60991</v>
      </c>
      <c r="I85" s="16">
        <f>IF(D85&lt;=mortTerm, F85 - J85, 0)
</f>
        <v>4944.281513</v>
      </c>
      <c r="J85" s="16">
        <f>IF(D85&lt;=mortTerm,
   F85*(1+mortRate/12)^12 - (-PMT(mortRate/12, mortTerm*12, C85))*(((1+mortRate/12)^12 - 1)/(mortRate/12)),
   0
)
</f>
        <v>249120.0935</v>
      </c>
      <c r="K85" s="13">
        <f>IFERROR(__xludf.DUMMYFUNCTION("IF(A85="""","""",
   IF(F85&gt;0,
      INDEX(FILTER('RE Portfolio'!L$2:L2000,'RE Portfolio'!D$2:D2000=""BUY""), INT((ROW()-2)/amortYears)+1) - G85,
      INDEX(FILTER('RE Portfolio'!L$2:L2000,'RE Portfolio'!D$2:D2000=""BUY""), INT((ROW()-2)/amortYears)+1)
 "&amp;"  )
)
"),6561.730065465745)</f>
        <v>6561.730065</v>
      </c>
      <c r="L85" s="15">
        <f>IFERROR(__xludf.DUMMYFUNCTION("IF(A85="""","""",
  INDEX(FILTER('RE Portfolio'!C$2:C2000,'RE Portfolio'!D$2:D2000=""BUY""), INT((ROW()-2)/amortYears)+1)
  * (1 + VALUE(Assumptions!$B$11))^(D85-1)
)
"),493025.5410194961)</f>
        <v>493025.541</v>
      </c>
    </row>
    <row r="86">
      <c r="A86" s="15">
        <f>IFERROR(__xludf.DUMMYFUNCTION("IFERROR(INDEX(FILTER('RE Portfolio'!A$2:A2000,'RE Portfolio'!D$2:D2000=""BUY""), INT((ROW()-2)/amortYears)+1), )
"),3.0)</f>
        <v>3</v>
      </c>
      <c r="B86" s="15">
        <f>IFERROR(__xludf.DUMMYFUNCTION("IFERROR(INDEX(FILTER('RE Portfolio'!B$2:B2000,'RE Portfolio'!D$2:D2000=""BUY""), INT((ROW()-2)/amortYears)+1), )
"),33.0)</f>
        <v>33</v>
      </c>
      <c r="C86" s="15">
        <f>IFERROR(__xludf.DUMMYFUNCTION("IFERROR(INDEX(FILTER('RE Portfolio'!G$2:G2000,'RE Portfolio'!D$2:D2000=""BUY""), INT((ROW()-2)/amortYears)+1), )
"),280994.1682382247)</f>
        <v>280994.1682</v>
      </c>
      <c r="D86" s="15">
        <f>MOD(ROW()-2, amortYears)+1</f>
        <v>9</v>
      </c>
      <c r="E86" s="15">
        <f t="shared" si="1"/>
        <v>41</v>
      </c>
      <c r="F86" s="16">
        <f t="shared" si="2"/>
        <v>249120.0935</v>
      </c>
      <c r="G86" s="16">
        <f>IF(D86&lt;=mortTerm, -PMT(mortRate/12, mortTerm*12, C86)*12, 0)
</f>
        <v>21312.89142</v>
      </c>
      <c r="H86" s="16">
        <f>IF(D86&lt;=mortTerm, G86 - I86, 0)
</f>
        <v>16037.48222</v>
      </c>
      <c r="I86" s="16">
        <f>IF(D86&lt;=mortTerm, F86 - J86, 0)
</f>
        <v>5275.409203</v>
      </c>
      <c r="J86" s="16">
        <f>IF(D86&lt;=mortTerm,
   F86*(1+mortRate/12)^12 - (-PMT(mortRate/12, mortTerm*12, C86))*(((1+mortRate/12)^12 - 1)/(mortRate/12)),
   0
)
</f>
        <v>243844.6843</v>
      </c>
      <c r="K86" s="13">
        <f>IFERROR(__xludf.DUMMYFUNCTION("IF(A86="""","""",
   IF(F86&gt;0,
      INDEX(FILTER('RE Portfolio'!L$2:L2000,'RE Portfolio'!D$2:D2000=""BUY""), INT((ROW()-2)/amortYears)+1) - G86,
      INDEX(FILTER('RE Portfolio'!L$2:L2000,'RE Portfolio'!D$2:D2000=""BUY""), INT((ROW()-2)/amortYears)+1)
 "&amp;"  )
)
"),6561.730065465745)</f>
        <v>6561.730065</v>
      </c>
      <c r="L86" s="15">
        <f>IFERROR(__xludf.DUMMYFUNCTION("IF(A86="""","""",
  INDEX(FILTER('RE Portfolio'!C$2:C2000,'RE Portfolio'!D$2:D2000=""BUY""), INT((ROW()-2)/amortYears)+1)
  * (1 + VALUE(Assumptions!$B$11))^(D86-1)
)
"),512746.5626602759)</f>
        <v>512746.5627</v>
      </c>
    </row>
    <row r="87">
      <c r="A87" s="15">
        <f>IFERROR(__xludf.DUMMYFUNCTION("IFERROR(INDEX(FILTER('RE Portfolio'!A$2:A2000,'RE Portfolio'!D$2:D2000=""BUY""), INT((ROW()-2)/amortYears)+1), )
"),3.0)</f>
        <v>3</v>
      </c>
      <c r="B87" s="15">
        <f>IFERROR(__xludf.DUMMYFUNCTION("IFERROR(INDEX(FILTER('RE Portfolio'!B$2:B2000,'RE Portfolio'!D$2:D2000=""BUY""), INT((ROW()-2)/amortYears)+1), )
"),33.0)</f>
        <v>33</v>
      </c>
      <c r="C87" s="15">
        <f>IFERROR(__xludf.DUMMYFUNCTION("IFERROR(INDEX(FILTER('RE Portfolio'!G$2:G2000,'RE Portfolio'!D$2:D2000=""BUY""), INT((ROW()-2)/amortYears)+1), )
"),280994.1682382247)</f>
        <v>280994.1682</v>
      </c>
      <c r="D87" s="15">
        <f>MOD(ROW()-2, amortYears)+1</f>
        <v>10</v>
      </c>
      <c r="E87" s="15">
        <f t="shared" si="1"/>
        <v>42</v>
      </c>
      <c r="F87" s="16">
        <f t="shared" si="2"/>
        <v>243844.6843</v>
      </c>
      <c r="G87" s="16">
        <f>IF(D87&lt;=mortTerm, -PMT(mortRate/12, mortTerm*12, C87)*12, 0)
</f>
        <v>21312.89142</v>
      </c>
      <c r="H87" s="16">
        <f>IF(D87&lt;=mortTerm, G87 - I87, 0)
</f>
        <v>15684.1783</v>
      </c>
      <c r="I87" s="16">
        <f>IF(D87&lt;=mortTerm, F87 - J87, 0)
</f>
        <v>5628.713127</v>
      </c>
      <c r="J87" s="16">
        <f>IF(D87&lt;=mortTerm,
   F87*(1+mortRate/12)^12 - (-PMT(mortRate/12, mortTerm*12, C87))*(((1+mortRate/12)^12 - 1)/(mortRate/12)),
   0
)
</f>
        <v>238215.9711</v>
      </c>
      <c r="K87" s="13">
        <f>IFERROR(__xludf.DUMMYFUNCTION("IF(A87="""","""",
   IF(F87&gt;0,
      INDEX(FILTER('RE Portfolio'!L$2:L2000,'RE Portfolio'!D$2:D2000=""BUY""), INT((ROW()-2)/amortYears)+1) - G87,
      INDEX(FILTER('RE Portfolio'!L$2:L2000,'RE Portfolio'!D$2:D2000=""BUY""), INT((ROW()-2)/amortYears)+1)
 "&amp;"  )
)
"),6561.730065465745)</f>
        <v>6561.730065</v>
      </c>
      <c r="L87" s="15">
        <f>IFERROR(__xludf.DUMMYFUNCTION("IF(A87="""","""",
  INDEX(FILTER('RE Portfolio'!C$2:C2000,'RE Portfolio'!D$2:D2000=""BUY""), INT((ROW()-2)/amortYears)+1)
  * (1 + VALUE(Assumptions!$B$11))^(D87-1)
)
"),533256.425166687)</f>
        <v>533256.4252</v>
      </c>
    </row>
    <row r="88">
      <c r="A88" s="15">
        <f>IFERROR(__xludf.DUMMYFUNCTION("IFERROR(INDEX(FILTER('RE Portfolio'!A$2:A2000,'RE Portfolio'!D$2:D2000=""BUY""), INT((ROW()-2)/amortYears)+1), )
"),3.0)</f>
        <v>3</v>
      </c>
      <c r="B88" s="15">
        <f>IFERROR(__xludf.DUMMYFUNCTION("IFERROR(INDEX(FILTER('RE Portfolio'!B$2:B2000,'RE Portfolio'!D$2:D2000=""BUY""), INT((ROW()-2)/amortYears)+1), )
"),33.0)</f>
        <v>33</v>
      </c>
      <c r="C88" s="15">
        <f>IFERROR(__xludf.DUMMYFUNCTION("IFERROR(INDEX(FILTER('RE Portfolio'!G$2:G2000,'RE Portfolio'!D$2:D2000=""BUY""), INT((ROW()-2)/amortYears)+1), )
"),280994.1682382247)</f>
        <v>280994.1682</v>
      </c>
      <c r="D88" s="15">
        <f>MOD(ROW()-2, amortYears)+1</f>
        <v>11</v>
      </c>
      <c r="E88" s="15">
        <f t="shared" si="1"/>
        <v>43</v>
      </c>
      <c r="F88" s="16">
        <f t="shared" si="2"/>
        <v>238215.9711</v>
      </c>
      <c r="G88" s="16">
        <f>IF(D88&lt;=mortTerm, -PMT(mortRate/12, mortTerm*12, C88)*12, 0)
</f>
        <v>21312.89142</v>
      </c>
      <c r="H88" s="16">
        <f>IF(D88&lt;=mortTerm, G88 - I88, 0)
</f>
        <v>15307.21295</v>
      </c>
      <c r="I88" s="16">
        <f>IF(D88&lt;=mortTerm, F88 - J88, 0)
</f>
        <v>6005.67847</v>
      </c>
      <c r="J88" s="16">
        <f>IF(D88&lt;=mortTerm,
   F88*(1+mortRate/12)^12 - (-PMT(mortRate/12, mortTerm*12, C88))*(((1+mortRate/12)^12 - 1)/(mortRate/12)),
   0
)
</f>
        <v>232210.2927</v>
      </c>
      <c r="K88" s="13">
        <f>IFERROR(__xludf.DUMMYFUNCTION("IF(A88="""","""",
   IF(F88&gt;0,
      INDEX(FILTER('RE Portfolio'!L$2:L2000,'RE Portfolio'!D$2:D2000=""BUY""), INT((ROW()-2)/amortYears)+1) - G88,
      INDEX(FILTER('RE Portfolio'!L$2:L2000,'RE Portfolio'!D$2:D2000=""BUY""), INT((ROW()-2)/amortYears)+1)
 "&amp;"  )
)
"),6561.730065465745)</f>
        <v>6561.730065</v>
      </c>
      <c r="L88" s="15">
        <f>IFERROR(__xludf.DUMMYFUNCTION("IF(A88="""","""",
  INDEX(FILTER('RE Portfolio'!C$2:C2000,'RE Portfolio'!D$2:D2000=""BUY""), INT((ROW()-2)/amortYears)+1)
  * (1 + VALUE(Assumptions!$B$11))^(D88-1)
)
"),554586.6821733544)</f>
        <v>554586.6822</v>
      </c>
    </row>
    <row r="89">
      <c r="A89" s="15">
        <f>IFERROR(__xludf.DUMMYFUNCTION("IFERROR(INDEX(FILTER('RE Portfolio'!A$2:A2000,'RE Portfolio'!D$2:D2000=""BUY""), INT((ROW()-2)/amortYears)+1), )
"),3.0)</f>
        <v>3</v>
      </c>
      <c r="B89" s="15">
        <f>IFERROR(__xludf.DUMMYFUNCTION("IFERROR(INDEX(FILTER('RE Portfolio'!B$2:B2000,'RE Portfolio'!D$2:D2000=""BUY""), INT((ROW()-2)/amortYears)+1), )
"),33.0)</f>
        <v>33</v>
      </c>
      <c r="C89" s="15">
        <f>IFERROR(__xludf.DUMMYFUNCTION("IFERROR(INDEX(FILTER('RE Portfolio'!G$2:G2000,'RE Portfolio'!D$2:D2000=""BUY""), INT((ROW()-2)/amortYears)+1), )
"),280994.1682382247)</f>
        <v>280994.1682</v>
      </c>
      <c r="D89" s="15">
        <f>MOD(ROW()-2, amortYears)+1</f>
        <v>12</v>
      </c>
      <c r="E89" s="15">
        <f t="shared" si="1"/>
        <v>44</v>
      </c>
      <c r="F89" s="16">
        <f t="shared" si="2"/>
        <v>232210.2927</v>
      </c>
      <c r="G89" s="16">
        <f>IF(D89&lt;=mortTerm, -PMT(mortRate/12, mortTerm*12, C89)*12, 0)
</f>
        <v>21312.89142</v>
      </c>
      <c r="H89" s="16">
        <f>IF(D89&lt;=mortTerm, G89 - I89, 0)
</f>
        <v>14905.00154</v>
      </c>
      <c r="I89" s="16">
        <f>IF(D89&lt;=mortTerm, F89 - J89, 0)
</f>
        <v>6407.889879</v>
      </c>
      <c r="J89" s="16">
        <f>IF(D89&lt;=mortTerm,
   F89*(1+mortRate/12)^12 - (-PMT(mortRate/12, mortTerm*12, C89))*(((1+mortRate/12)^12 - 1)/(mortRate/12)),
   0
)
</f>
        <v>225802.4028</v>
      </c>
      <c r="K89" s="13">
        <f>IFERROR(__xludf.DUMMYFUNCTION("IF(A89="""","""",
   IF(F89&gt;0,
      INDEX(FILTER('RE Portfolio'!L$2:L2000,'RE Portfolio'!D$2:D2000=""BUY""), INT((ROW()-2)/amortYears)+1) - G89,
      INDEX(FILTER('RE Portfolio'!L$2:L2000,'RE Portfolio'!D$2:D2000=""BUY""), INT((ROW()-2)/amortYears)+1)
 "&amp;"  )
)
"),6561.730065465745)</f>
        <v>6561.730065</v>
      </c>
      <c r="L89" s="15">
        <f>IFERROR(__xludf.DUMMYFUNCTION("IF(A89="""","""",
  INDEX(FILTER('RE Portfolio'!C$2:C2000,'RE Portfolio'!D$2:D2000=""BUY""), INT((ROW()-2)/amortYears)+1)
  * (1 + VALUE(Assumptions!$B$11))^(D89-1)
)
"),576770.1494602887)</f>
        <v>576770.1495</v>
      </c>
    </row>
    <row r="90">
      <c r="A90" s="15">
        <f>IFERROR(__xludf.DUMMYFUNCTION("IFERROR(INDEX(FILTER('RE Portfolio'!A$2:A2000,'RE Portfolio'!D$2:D2000=""BUY""), INT((ROW()-2)/amortYears)+1), )
"),3.0)</f>
        <v>3</v>
      </c>
      <c r="B90" s="15">
        <f>IFERROR(__xludf.DUMMYFUNCTION("IFERROR(INDEX(FILTER('RE Portfolio'!B$2:B2000,'RE Portfolio'!D$2:D2000=""BUY""), INT((ROW()-2)/amortYears)+1), )
"),33.0)</f>
        <v>33</v>
      </c>
      <c r="C90" s="15">
        <f>IFERROR(__xludf.DUMMYFUNCTION("IFERROR(INDEX(FILTER('RE Portfolio'!G$2:G2000,'RE Portfolio'!D$2:D2000=""BUY""), INT((ROW()-2)/amortYears)+1), )
"),280994.1682382247)</f>
        <v>280994.1682</v>
      </c>
      <c r="D90" s="15">
        <f>MOD(ROW()-2, amortYears)+1</f>
        <v>13</v>
      </c>
      <c r="E90" s="15">
        <f t="shared" si="1"/>
        <v>45</v>
      </c>
      <c r="F90" s="16">
        <f t="shared" si="2"/>
        <v>225802.4028</v>
      </c>
      <c r="G90" s="16">
        <f>IF(D90&lt;=mortTerm, -PMT(mortRate/12, mortTerm*12, C90)*12, 0)
</f>
        <v>21312.89142</v>
      </c>
      <c r="H90" s="16">
        <f>IF(D90&lt;=mortTerm, G90 - I90, 0)
</f>
        <v>14475.85329</v>
      </c>
      <c r="I90" s="16">
        <f>IF(D90&lt;=mortTerm, F90 - J90, 0)
</f>
        <v>6837.038132</v>
      </c>
      <c r="J90" s="16">
        <f>IF(D90&lt;=mortTerm,
   F90*(1+mortRate/12)^12 - (-PMT(mortRate/12, mortTerm*12, C90))*(((1+mortRate/12)^12 - 1)/(mortRate/12)),
   0
)
</f>
        <v>218965.3647</v>
      </c>
      <c r="K90" s="13">
        <f>IFERROR(__xludf.DUMMYFUNCTION("IF(A90="""","""",
   IF(F90&gt;0,
      INDEX(FILTER('RE Portfolio'!L$2:L2000,'RE Portfolio'!D$2:D2000=""BUY""), INT((ROW()-2)/amortYears)+1) - G90,
      INDEX(FILTER('RE Portfolio'!L$2:L2000,'RE Portfolio'!D$2:D2000=""BUY""), INT((ROW()-2)/amortYears)+1)
 "&amp;"  )
)
"),6561.730065465745)</f>
        <v>6561.730065</v>
      </c>
      <c r="L90" s="15">
        <f>IFERROR(__xludf.DUMMYFUNCTION("IF(A90="""","""",
  INDEX(FILTER('RE Portfolio'!C$2:C2000,'RE Portfolio'!D$2:D2000=""BUY""), INT((ROW()-2)/amortYears)+1)
  * (1 + VALUE(Assumptions!$B$11))^(D90-1)
)
"),599840.9554387003)</f>
        <v>599840.9554</v>
      </c>
    </row>
    <row r="91">
      <c r="A91" s="15">
        <f>IFERROR(__xludf.DUMMYFUNCTION("IFERROR(INDEX(FILTER('RE Portfolio'!A$2:A2000,'RE Portfolio'!D$2:D2000=""BUY""), INT((ROW()-2)/amortYears)+1), )
"),3.0)</f>
        <v>3</v>
      </c>
      <c r="B91" s="15">
        <f>IFERROR(__xludf.DUMMYFUNCTION("IFERROR(INDEX(FILTER('RE Portfolio'!B$2:B2000,'RE Portfolio'!D$2:D2000=""BUY""), INT((ROW()-2)/amortYears)+1), )
"),33.0)</f>
        <v>33</v>
      </c>
      <c r="C91" s="15">
        <f>IFERROR(__xludf.DUMMYFUNCTION("IFERROR(INDEX(FILTER('RE Portfolio'!G$2:G2000,'RE Portfolio'!D$2:D2000=""BUY""), INT((ROW()-2)/amortYears)+1), )
"),280994.1682382247)</f>
        <v>280994.1682</v>
      </c>
      <c r="D91" s="15">
        <f>MOD(ROW()-2, amortYears)+1</f>
        <v>14</v>
      </c>
      <c r="E91" s="15">
        <f t="shared" si="1"/>
        <v>46</v>
      </c>
      <c r="F91" s="16">
        <f t="shared" si="2"/>
        <v>218965.3647</v>
      </c>
      <c r="G91" s="16">
        <f>IF(D91&lt;=mortTerm, -PMT(mortRate/12, mortTerm*12, C91)*12, 0)
</f>
        <v>21312.89142</v>
      </c>
      <c r="H91" s="16">
        <f>IF(D91&lt;=mortTerm, G91 - I91, 0)
</f>
        <v>14017.96419</v>
      </c>
      <c r="I91" s="16">
        <f>IF(D91&lt;=mortTerm, F91 - J91, 0)
</f>
        <v>7294.927238</v>
      </c>
      <c r="J91" s="16">
        <f>IF(D91&lt;=mortTerm,
   F91*(1+mortRate/12)^12 - (-PMT(mortRate/12, mortTerm*12, C91))*(((1+mortRate/12)^12 - 1)/(mortRate/12)),
   0
)
</f>
        <v>211670.4374</v>
      </c>
      <c r="K91" s="13">
        <f>IFERROR(__xludf.DUMMYFUNCTION("IF(A91="""","""",
   IF(F91&gt;0,
      INDEX(FILTER('RE Portfolio'!L$2:L2000,'RE Portfolio'!D$2:D2000=""BUY""), INT((ROW()-2)/amortYears)+1) - G91,
      INDEX(FILTER('RE Portfolio'!L$2:L2000,'RE Portfolio'!D$2:D2000=""BUY""), INT((ROW()-2)/amortYears)+1)
 "&amp;"  )
)
"),6561.730065465745)</f>
        <v>6561.730065</v>
      </c>
      <c r="L91" s="15">
        <f>IFERROR(__xludf.DUMMYFUNCTION("IF(A91="""","""",
  INDEX(FILTER('RE Portfolio'!C$2:C2000,'RE Portfolio'!D$2:D2000=""BUY""), INT((ROW()-2)/amortYears)+1)
  * (1 + VALUE(Assumptions!$B$11))^(D91-1)
)
"),623834.5936562483)</f>
        <v>623834.5937</v>
      </c>
    </row>
    <row r="92">
      <c r="A92" s="15">
        <f>IFERROR(__xludf.DUMMYFUNCTION("IFERROR(INDEX(FILTER('RE Portfolio'!A$2:A2000,'RE Portfolio'!D$2:D2000=""BUY""), INT((ROW()-2)/amortYears)+1), )
"),3.0)</f>
        <v>3</v>
      </c>
      <c r="B92" s="15">
        <f>IFERROR(__xludf.DUMMYFUNCTION("IFERROR(INDEX(FILTER('RE Portfolio'!B$2:B2000,'RE Portfolio'!D$2:D2000=""BUY""), INT((ROW()-2)/amortYears)+1), )
"),33.0)</f>
        <v>33</v>
      </c>
      <c r="C92" s="15">
        <f>IFERROR(__xludf.DUMMYFUNCTION("IFERROR(INDEX(FILTER('RE Portfolio'!G$2:G2000,'RE Portfolio'!D$2:D2000=""BUY""), INT((ROW()-2)/amortYears)+1), )
"),280994.1682382247)</f>
        <v>280994.1682</v>
      </c>
      <c r="D92" s="15">
        <f>MOD(ROW()-2, amortYears)+1</f>
        <v>15</v>
      </c>
      <c r="E92" s="15">
        <f t="shared" si="1"/>
        <v>47</v>
      </c>
      <c r="F92" s="16">
        <f t="shared" si="2"/>
        <v>211670.4374</v>
      </c>
      <c r="G92" s="16">
        <f>IF(D92&lt;=mortTerm, -PMT(mortRate/12, mortTerm*12, C92)*12, 0)
</f>
        <v>21312.89142</v>
      </c>
      <c r="H92" s="16">
        <f>IF(D92&lt;=mortTerm, G92 - I92, 0)
</f>
        <v>13529.4094</v>
      </c>
      <c r="I92" s="16">
        <f>IF(D92&lt;=mortTerm, F92 - J92, 0)
</f>
        <v>7783.482025</v>
      </c>
      <c r="J92" s="16">
        <f>IF(D92&lt;=mortTerm,
   F92*(1+mortRate/12)^12 - (-PMT(mortRate/12, mortTerm*12, C92))*(((1+mortRate/12)^12 - 1)/(mortRate/12)),
   0
)
</f>
        <v>203886.9554</v>
      </c>
      <c r="K92" s="13">
        <f>IFERROR(__xludf.DUMMYFUNCTION("IF(A92="""","""",
   IF(F92&gt;0,
      INDEX(FILTER('RE Portfolio'!L$2:L2000,'RE Portfolio'!D$2:D2000=""BUY""), INT((ROW()-2)/amortYears)+1) - G92,
      INDEX(FILTER('RE Portfolio'!L$2:L2000,'RE Portfolio'!D$2:D2000=""BUY""), INT((ROW()-2)/amortYears)+1)
 "&amp;"  )
)
"),6561.730065465745)</f>
        <v>6561.730065</v>
      </c>
      <c r="L92" s="15">
        <f>IFERROR(__xludf.DUMMYFUNCTION("IF(A92="""","""",
  INDEX(FILTER('RE Portfolio'!C$2:C2000,'RE Portfolio'!D$2:D2000=""BUY""), INT((ROW()-2)/amortYears)+1)
  * (1 + VALUE(Assumptions!$B$11))^(D92-1)
)
"),648787.9774024982)</f>
        <v>648787.9774</v>
      </c>
    </row>
    <row r="93">
      <c r="A93" s="15">
        <f>IFERROR(__xludf.DUMMYFUNCTION("IFERROR(INDEX(FILTER('RE Portfolio'!A$2:A2000,'RE Portfolio'!D$2:D2000=""BUY""), INT((ROW()-2)/amortYears)+1), )
"),3.0)</f>
        <v>3</v>
      </c>
      <c r="B93" s="15">
        <f>IFERROR(__xludf.DUMMYFUNCTION("IFERROR(INDEX(FILTER('RE Portfolio'!B$2:B2000,'RE Portfolio'!D$2:D2000=""BUY""), INT((ROW()-2)/amortYears)+1), )
"),33.0)</f>
        <v>33</v>
      </c>
      <c r="C93" s="15">
        <f>IFERROR(__xludf.DUMMYFUNCTION("IFERROR(INDEX(FILTER('RE Portfolio'!G$2:G2000,'RE Portfolio'!D$2:D2000=""BUY""), INT((ROW()-2)/amortYears)+1), )
"),280994.1682382247)</f>
        <v>280994.1682</v>
      </c>
      <c r="D93" s="15">
        <f>MOD(ROW()-2, amortYears)+1</f>
        <v>16</v>
      </c>
      <c r="E93" s="15">
        <f t="shared" si="1"/>
        <v>48</v>
      </c>
      <c r="F93" s="16">
        <f t="shared" si="2"/>
        <v>203886.9554</v>
      </c>
      <c r="G93" s="16">
        <f>IF(D93&lt;=mortTerm, -PMT(mortRate/12, mortTerm*12, C93)*12, 0)
</f>
        <v>21312.89142</v>
      </c>
      <c r="H93" s="16">
        <f>IF(D93&lt;=mortTerm, G93 - I93, 0)
</f>
        <v>13008.13519</v>
      </c>
      <c r="I93" s="16">
        <f>IF(D93&lt;=mortTerm, F93 - J93, 0)
</f>
        <v>8304.756232</v>
      </c>
      <c r="J93" s="16">
        <f>IF(D93&lt;=mortTerm,
   F93*(1+mortRate/12)^12 - (-PMT(mortRate/12, mortTerm*12, C93))*(((1+mortRate/12)^12 - 1)/(mortRate/12)),
   0
)
</f>
        <v>195582.1992</v>
      </c>
      <c r="K93" s="13">
        <f>IFERROR(__xludf.DUMMYFUNCTION("IF(A93="""","""",
   IF(F93&gt;0,
      INDEX(FILTER('RE Portfolio'!L$2:L2000,'RE Portfolio'!D$2:D2000=""BUY""), INT((ROW()-2)/amortYears)+1) - G93,
      INDEX(FILTER('RE Portfolio'!L$2:L2000,'RE Portfolio'!D$2:D2000=""BUY""), INT((ROW()-2)/amortYears)+1)
 "&amp;"  )
)
"),6561.730065465745)</f>
        <v>6561.730065</v>
      </c>
      <c r="L93" s="15">
        <f>IFERROR(__xludf.DUMMYFUNCTION("IF(A93="""","""",
  INDEX(FILTER('RE Portfolio'!C$2:C2000,'RE Portfolio'!D$2:D2000=""BUY""), INT((ROW()-2)/amortYears)+1)
  * (1 + VALUE(Assumptions!$B$11))^(D93-1)
)
"),674739.4964985981)</f>
        <v>674739.4965</v>
      </c>
    </row>
    <row r="94">
      <c r="A94" s="15">
        <f>IFERROR(__xludf.DUMMYFUNCTION("IFERROR(INDEX(FILTER('RE Portfolio'!A$2:A2000,'RE Portfolio'!D$2:D2000=""BUY""), INT((ROW()-2)/amortYears)+1), )
"),3.0)</f>
        <v>3</v>
      </c>
      <c r="B94" s="15">
        <f>IFERROR(__xludf.DUMMYFUNCTION("IFERROR(INDEX(FILTER('RE Portfolio'!B$2:B2000,'RE Portfolio'!D$2:D2000=""BUY""), INT((ROW()-2)/amortYears)+1), )
"),33.0)</f>
        <v>33</v>
      </c>
      <c r="C94" s="15">
        <f>IFERROR(__xludf.DUMMYFUNCTION("IFERROR(INDEX(FILTER('RE Portfolio'!G$2:G2000,'RE Portfolio'!D$2:D2000=""BUY""), INT((ROW()-2)/amortYears)+1), )
"),280994.1682382247)</f>
        <v>280994.1682</v>
      </c>
      <c r="D94" s="15">
        <f>MOD(ROW()-2, amortYears)+1</f>
        <v>17</v>
      </c>
      <c r="E94" s="15">
        <f t="shared" si="1"/>
        <v>49</v>
      </c>
      <c r="F94" s="16">
        <f t="shared" si="2"/>
        <v>195582.1992</v>
      </c>
      <c r="G94" s="16">
        <f>IF(D94&lt;=mortTerm, -PMT(mortRate/12, mortTerm*12, C94)*12, 0)
</f>
        <v>21312.89142</v>
      </c>
      <c r="H94" s="16">
        <f>IF(D94&lt;=mortTerm, G94 - I94, 0)
</f>
        <v>12451.95029</v>
      </c>
      <c r="I94" s="16">
        <f>IF(D94&lt;=mortTerm, F94 - J94, 0)
</f>
        <v>8860.941137</v>
      </c>
      <c r="J94" s="16">
        <f>IF(D94&lt;=mortTerm,
   F94*(1+mortRate/12)^12 - (-PMT(mortRate/12, mortTerm*12, C94))*(((1+mortRate/12)^12 - 1)/(mortRate/12)),
   0
)
</f>
        <v>186721.258</v>
      </c>
      <c r="K94" s="13">
        <f>IFERROR(__xludf.DUMMYFUNCTION("IF(A94="""","""",
   IF(F94&gt;0,
      INDEX(FILTER('RE Portfolio'!L$2:L2000,'RE Portfolio'!D$2:D2000=""BUY""), INT((ROW()-2)/amortYears)+1) - G94,
      INDEX(FILTER('RE Portfolio'!L$2:L2000,'RE Portfolio'!D$2:D2000=""BUY""), INT((ROW()-2)/amortYears)+1)
 "&amp;"  )
)
"),6561.730065465745)</f>
        <v>6561.730065</v>
      </c>
      <c r="L94" s="15">
        <f>IFERROR(__xludf.DUMMYFUNCTION("IF(A94="""","""",
  INDEX(FILTER('RE Portfolio'!C$2:C2000,'RE Portfolio'!D$2:D2000=""BUY""), INT((ROW()-2)/amortYears)+1)
  * (1 + VALUE(Assumptions!$B$11))^(D94-1)
)
"),701729.0763585422)</f>
        <v>701729.0764</v>
      </c>
    </row>
    <row r="95">
      <c r="A95" s="15">
        <f>IFERROR(__xludf.DUMMYFUNCTION("IFERROR(INDEX(FILTER('RE Portfolio'!A$2:A2000,'RE Portfolio'!D$2:D2000=""BUY""), INT((ROW()-2)/amortYears)+1), )
"),3.0)</f>
        <v>3</v>
      </c>
      <c r="B95" s="15">
        <f>IFERROR(__xludf.DUMMYFUNCTION("IFERROR(INDEX(FILTER('RE Portfolio'!B$2:B2000,'RE Portfolio'!D$2:D2000=""BUY""), INT((ROW()-2)/amortYears)+1), )
"),33.0)</f>
        <v>33</v>
      </c>
      <c r="C95" s="15">
        <f>IFERROR(__xludf.DUMMYFUNCTION("IFERROR(INDEX(FILTER('RE Portfolio'!G$2:G2000,'RE Portfolio'!D$2:D2000=""BUY""), INT((ROW()-2)/amortYears)+1), )
"),280994.1682382247)</f>
        <v>280994.1682</v>
      </c>
      <c r="D95" s="15">
        <f>MOD(ROW()-2, amortYears)+1</f>
        <v>18</v>
      </c>
      <c r="E95" s="15">
        <f t="shared" si="1"/>
        <v>50</v>
      </c>
      <c r="F95" s="16">
        <f t="shared" si="2"/>
        <v>186721.258</v>
      </c>
      <c r="G95" s="16">
        <f>IF(D95&lt;=mortTerm, -PMT(mortRate/12, mortTerm*12, C95)*12, 0)
</f>
        <v>21312.89142</v>
      </c>
      <c r="H95" s="16">
        <f>IF(D95&lt;=mortTerm, G95 - I95, 0)
</f>
        <v>11858.51665</v>
      </c>
      <c r="I95" s="16">
        <f>IF(D95&lt;=mortTerm, F95 - J95, 0)
</f>
        <v>9454.374775</v>
      </c>
      <c r="J95" s="16">
        <f>IF(D95&lt;=mortTerm,
   F95*(1+mortRate/12)^12 - (-PMT(mortRate/12, mortTerm*12, C95))*(((1+mortRate/12)^12 - 1)/(mortRate/12)),
   0
)
</f>
        <v>177266.8832</v>
      </c>
      <c r="K95" s="13">
        <f>IFERROR(__xludf.DUMMYFUNCTION("IF(A95="""","""",
   IF(F95&gt;0,
      INDEX(FILTER('RE Portfolio'!L$2:L2000,'RE Portfolio'!D$2:D2000=""BUY""), INT((ROW()-2)/amortYears)+1) - G95,
      INDEX(FILTER('RE Portfolio'!L$2:L2000,'RE Portfolio'!D$2:D2000=""BUY""), INT((ROW()-2)/amortYears)+1)
 "&amp;"  )
)
"),6561.730065465745)</f>
        <v>6561.730065</v>
      </c>
      <c r="L95" s="15">
        <f>IFERROR(__xludf.DUMMYFUNCTION("IF(A95="""","""",
  INDEX(FILTER('RE Portfolio'!C$2:C2000,'RE Portfolio'!D$2:D2000=""BUY""), INT((ROW()-2)/amortYears)+1)
  * (1 + VALUE(Assumptions!$B$11))^(D95-1)
)
"),729798.2394128839)</f>
        <v>729798.2394</v>
      </c>
    </row>
    <row r="96">
      <c r="A96" s="15">
        <f>IFERROR(__xludf.DUMMYFUNCTION("IFERROR(INDEX(FILTER('RE Portfolio'!A$2:A2000,'RE Portfolio'!D$2:D2000=""BUY""), INT((ROW()-2)/amortYears)+1), )
"),3.0)</f>
        <v>3</v>
      </c>
      <c r="B96" s="15">
        <f>IFERROR(__xludf.DUMMYFUNCTION("IFERROR(INDEX(FILTER('RE Portfolio'!B$2:B2000,'RE Portfolio'!D$2:D2000=""BUY""), INT((ROW()-2)/amortYears)+1), )
"),33.0)</f>
        <v>33</v>
      </c>
      <c r="C96" s="15">
        <f>IFERROR(__xludf.DUMMYFUNCTION("IFERROR(INDEX(FILTER('RE Portfolio'!G$2:G2000,'RE Portfolio'!D$2:D2000=""BUY""), INT((ROW()-2)/amortYears)+1), )
"),280994.1682382247)</f>
        <v>280994.1682</v>
      </c>
      <c r="D96" s="15">
        <f>MOD(ROW()-2, amortYears)+1</f>
        <v>19</v>
      </c>
      <c r="E96" s="15">
        <f t="shared" si="1"/>
        <v>51</v>
      </c>
      <c r="F96" s="16">
        <f t="shared" si="2"/>
        <v>177266.8832</v>
      </c>
      <c r="G96" s="16">
        <f>IF(D96&lt;=mortTerm, -PMT(mortRate/12, mortTerm*12, C96)*12, 0)
</f>
        <v>21312.89142</v>
      </c>
      <c r="H96" s="16">
        <f>IF(D96&lt;=mortTerm, G96 - I96, 0)
</f>
        <v>11225.33966</v>
      </c>
      <c r="I96" s="16">
        <f>IF(D96&lt;=mortTerm, F96 - J96, 0)
</f>
        <v>10087.55176</v>
      </c>
      <c r="J96" s="16">
        <f>IF(D96&lt;=mortTerm,
   F96*(1+mortRate/12)^12 - (-PMT(mortRate/12, mortTerm*12, C96))*(((1+mortRate/12)^12 - 1)/(mortRate/12)),
   0
)
</f>
        <v>167179.3315</v>
      </c>
      <c r="K96" s="13">
        <f>IFERROR(__xludf.DUMMYFUNCTION("IF(A96="""","""",
   IF(F96&gt;0,
      INDEX(FILTER('RE Portfolio'!L$2:L2000,'RE Portfolio'!D$2:D2000=""BUY""), INT((ROW()-2)/amortYears)+1) - G96,
      INDEX(FILTER('RE Portfolio'!L$2:L2000,'RE Portfolio'!D$2:D2000=""BUY""), INT((ROW()-2)/amortYears)+1)
 "&amp;"  )
)
"),6561.730065465745)</f>
        <v>6561.730065</v>
      </c>
      <c r="L96" s="15">
        <f>IFERROR(__xludf.DUMMYFUNCTION("IF(A96="""","""",
  INDEX(FILTER('RE Portfolio'!C$2:C2000,'RE Portfolio'!D$2:D2000=""BUY""), INT((ROW()-2)/amortYears)+1)
  * (1 + VALUE(Assumptions!$B$11))^(D96-1)
)
"),758990.1689893993)</f>
        <v>758990.169</v>
      </c>
    </row>
    <row r="97">
      <c r="A97" s="15">
        <f>IFERROR(__xludf.DUMMYFUNCTION("IFERROR(INDEX(FILTER('RE Portfolio'!A$2:A2000,'RE Portfolio'!D$2:D2000=""BUY""), INT((ROW()-2)/amortYears)+1), )
"),3.0)</f>
        <v>3</v>
      </c>
      <c r="B97" s="15">
        <f>IFERROR(__xludf.DUMMYFUNCTION("IFERROR(INDEX(FILTER('RE Portfolio'!B$2:B2000,'RE Portfolio'!D$2:D2000=""BUY""), INT((ROW()-2)/amortYears)+1), )
"),33.0)</f>
        <v>33</v>
      </c>
      <c r="C97" s="15">
        <f>IFERROR(__xludf.DUMMYFUNCTION("IFERROR(INDEX(FILTER('RE Portfolio'!G$2:G2000,'RE Portfolio'!D$2:D2000=""BUY""), INT((ROW()-2)/amortYears)+1), )
"),280994.1682382247)</f>
        <v>280994.1682</v>
      </c>
      <c r="D97" s="15">
        <f>MOD(ROW()-2, amortYears)+1</f>
        <v>20</v>
      </c>
      <c r="E97" s="15">
        <f t="shared" si="1"/>
        <v>52</v>
      </c>
      <c r="F97" s="16">
        <f t="shared" si="2"/>
        <v>167179.3315</v>
      </c>
      <c r="G97" s="16">
        <f>IF(D97&lt;=mortTerm, -PMT(mortRate/12, mortTerm*12, C97)*12, 0)
</f>
        <v>21312.89142</v>
      </c>
      <c r="H97" s="16">
        <f>IF(D97&lt;=mortTerm, G97 - I97, 0)
</f>
        <v>10549.75764</v>
      </c>
      <c r="I97" s="16">
        <f>IF(D97&lt;=mortTerm, F97 - J97, 0)
</f>
        <v>10763.13379</v>
      </c>
      <c r="J97" s="16">
        <f>IF(D97&lt;=mortTerm,
   F97*(1+mortRate/12)^12 - (-PMT(mortRate/12, mortTerm*12, C97))*(((1+mortRate/12)^12 - 1)/(mortRate/12)),
   0
)
</f>
        <v>156416.1977</v>
      </c>
      <c r="K97" s="13">
        <f>IFERROR(__xludf.DUMMYFUNCTION("IF(A97="""","""",
   IF(F97&gt;0,
      INDEX(FILTER('RE Portfolio'!L$2:L2000,'RE Portfolio'!D$2:D2000=""BUY""), INT((ROW()-2)/amortYears)+1) - G97,
      INDEX(FILTER('RE Portfolio'!L$2:L2000,'RE Portfolio'!D$2:D2000=""BUY""), INT((ROW()-2)/amortYears)+1)
 "&amp;"  )
)
"),6561.730065465745)</f>
        <v>6561.730065</v>
      </c>
      <c r="L97" s="15">
        <f>IFERROR(__xludf.DUMMYFUNCTION("IF(A97="""","""",
  INDEX(FILTER('RE Portfolio'!C$2:C2000,'RE Portfolio'!D$2:D2000=""BUY""), INT((ROW()-2)/amortYears)+1)
  * (1 + VALUE(Assumptions!$B$11))^(D97-1)
)
"),789349.7757489752)</f>
        <v>789349.7757</v>
      </c>
    </row>
    <row r="98">
      <c r="A98" s="15">
        <f>IFERROR(__xludf.DUMMYFUNCTION("IFERROR(INDEX(FILTER('RE Portfolio'!A$2:A2000,'RE Portfolio'!D$2:D2000=""BUY""), INT((ROW()-2)/amortYears)+1), )
"),3.0)</f>
        <v>3</v>
      </c>
      <c r="B98" s="15">
        <f>IFERROR(__xludf.DUMMYFUNCTION("IFERROR(INDEX(FILTER('RE Portfolio'!B$2:B2000,'RE Portfolio'!D$2:D2000=""BUY""), INT((ROW()-2)/amortYears)+1), )
"),33.0)</f>
        <v>33</v>
      </c>
      <c r="C98" s="15">
        <f>IFERROR(__xludf.DUMMYFUNCTION("IFERROR(INDEX(FILTER('RE Portfolio'!G$2:G2000,'RE Portfolio'!D$2:D2000=""BUY""), INT((ROW()-2)/amortYears)+1), )
"),280994.1682382247)</f>
        <v>280994.1682</v>
      </c>
      <c r="D98" s="15">
        <f>MOD(ROW()-2, amortYears)+1</f>
        <v>21</v>
      </c>
      <c r="E98" s="15">
        <f t="shared" si="1"/>
        <v>53</v>
      </c>
      <c r="F98" s="16">
        <f t="shared" si="2"/>
        <v>156416.1977</v>
      </c>
      <c r="G98" s="16">
        <f>IF(D98&lt;=mortTerm, -PMT(mortRate/12, mortTerm*12, C98)*12, 0)
</f>
        <v>21312.89142</v>
      </c>
      <c r="H98" s="16">
        <f>IF(D98&lt;=mortTerm, G98 - I98, 0)
</f>
        <v>9828.930633</v>
      </c>
      <c r="I98" s="16">
        <f>IF(D98&lt;=mortTerm, F98 - J98, 0)
</f>
        <v>11483.96079</v>
      </c>
      <c r="J98" s="16">
        <f>IF(D98&lt;=mortTerm,
   F98*(1+mortRate/12)^12 - (-PMT(mortRate/12, mortTerm*12, C98))*(((1+mortRate/12)^12 - 1)/(mortRate/12)),
   0
)
</f>
        <v>144932.2369</v>
      </c>
      <c r="K98" s="13">
        <f>IFERROR(__xludf.DUMMYFUNCTION("IF(A98="""","""",
   IF(F98&gt;0,
      INDEX(FILTER('RE Portfolio'!L$2:L2000,'RE Portfolio'!D$2:D2000=""BUY""), INT((ROW()-2)/amortYears)+1) - G98,
      INDEX(FILTER('RE Portfolio'!L$2:L2000,'RE Portfolio'!D$2:D2000=""BUY""), INT((ROW()-2)/amortYears)+1)
 "&amp;"  )
)
"),6561.730065465745)</f>
        <v>6561.730065</v>
      </c>
      <c r="L98" s="15">
        <f>IFERROR(__xludf.DUMMYFUNCTION("IF(A98="""","""",
  INDEX(FILTER('RE Portfolio'!C$2:C2000,'RE Portfolio'!D$2:D2000=""BUY""), INT((ROW()-2)/amortYears)+1)
  * (1 + VALUE(Assumptions!$B$11))^(D98-1)
)
"),820923.7667789343)</f>
        <v>820923.7668</v>
      </c>
    </row>
    <row r="99">
      <c r="A99" s="15">
        <f>IFERROR(__xludf.DUMMYFUNCTION("IFERROR(INDEX(FILTER('RE Portfolio'!A$2:A2000,'RE Portfolio'!D$2:D2000=""BUY""), INT((ROW()-2)/amortYears)+1), )
"),3.0)</f>
        <v>3</v>
      </c>
      <c r="B99" s="15">
        <f>IFERROR(__xludf.DUMMYFUNCTION("IFERROR(INDEX(FILTER('RE Portfolio'!B$2:B2000,'RE Portfolio'!D$2:D2000=""BUY""), INT((ROW()-2)/amortYears)+1), )
"),33.0)</f>
        <v>33</v>
      </c>
      <c r="C99" s="15">
        <f>IFERROR(__xludf.DUMMYFUNCTION("IFERROR(INDEX(FILTER('RE Portfolio'!G$2:G2000,'RE Portfolio'!D$2:D2000=""BUY""), INT((ROW()-2)/amortYears)+1), )
"),280994.1682382247)</f>
        <v>280994.1682</v>
      </c>
      <c r="D99" s="15">
        <f>MOD(ROW()-2, amortYears)+1</f>
        <v>22</v>
      </c>
      <c r="E99" s="15">
        <f t="shared" si="1"/>
        <v>54</v>
      </c>
      <c r="F99" s="16">
        <f t="shared" si="2"/>
        <v>144932.2369</v>
      </c>
      <c r="G99" s="16">
        <f>IF(D99&lt;=mortTerm, -PMT(mortRate/12, mortTerm*12, C99)*12, 0)
</f>
        <v>21312.89142</v>
      </c>
      <c r="H99" s="16">
        <f>IF(D99&lt;=mortTerm, G99 - I99, 0)
</f>
        <v>9059.828511</v>
      </c>
      <c r="I99" s="16">
        <f>IF(D99&lt;=mortTerm, F99 - J99, 0)
</f>
        <v>12253.06291</v>
      </c>
      <c r="J99" s="16">
        <f>IF(D99&lt;=mortTerm,
   F99*(1+mortRate/12)^12 - (-PMT(mortRate/12, mortTerm*12, C99))*(((1+mortRate/12)^12 - 1)/(mortRate/12)),
   0
)
</f>
        <v>132679.174</v>
      </c>
      <c r="K99" s="13">
        <f>IFERROR(__xludf.DUMMYFUNCTION("IF(A99="""","""",
   IF(F99&gt;0,
      INDEX(FILTER('RE Portfolio'!L$2:L2000,'RE Portfolio'!D$2:D2000=""BUY""), INT((ROW()-2)/amortYears)+1) - G99,
      INDEX(FILTER('RE Portfolio'!L$2:L2000,'RE Portfolio'!D$2:D2000=""BUY""), INT((ROW()-2)/amortYears)+1)
 "&amp;"  )
)
"),6561.730065465745)</f>
        <v>6561.730065</v>
      </c>
      <c r="L99" s="15">
        <f>IFERROR(__xludf.DUMMYFUNCTION("IF(A99="""","""",
  INDEX(FILTER('RE Portfolio'!C$2:C2000,'RE Portfolio'!D$2:D2000=""BUY""), INT((ROW()-2)/amortYears)+1)
  * (1 + VALUE(Assumptions!$B$11))^(D99-1)
)
"),853760.7174500917)</f>
        <v>853760.7175</v>
      </c>
    </row>
    <row r="100">
      <c r="A100" s="15">
        <f>IFERROR(__xludf.DUMMYFUNCTION("IFERROR(INDEX(FILTER('RE Portfolio'!A$2:A2000,'RE Portfolio'!D$2:D2000=""BUY""), INT((ROW()-2)/amortYears)+1), )
"),3.0)</f>
        <v>3</v>
      </c>
      <c r="B100" s="15">
        <f>IFERROR(__xludf.DUMMYFUNCTION("IFERROR(INDEX(FILTER('RE Portfolio'!B$2:B2000,'RE Portfolio'!D$2:D2000=""BUY""), INT((ROW()-2)/amortYears)+1), )
"),33.0)</f>
        <v>33</v>
      </c>
      <c r="C100" s="15">
        <f>IFERROR(__xludf.DUMMYFUNCTION("IFERROR(INDEX(FILTER('RE Portfolio'!G$2:G2000,'RE Portfolio'!D$2:D2000=""BUY""), INT((ROW()-2)/amortYears)+1), )
"),280994.1682382247)</f>
        <v>280994.1682</v>
      </c>
      <c r="D100" s="15">
        <f>MOD(ROW()-2, amortYears)+1</f>
        <v>23</v>
      </c>
      <c r="E100" s="15">
        <f t="shared" si="1"/>
        <v>55</v>
      </c>
      <c r="F100" s="16">
        <f t="shared" si="2"/>
        <v>132679.174</v>
      </c>
      <c r="G100" s="16">
        <f>IF(D100&lt;=mortTerm, -PMT(mortRate/12, mortTerm*12, C100)*12, 0)
</f>
        <v>21312.89142</v>
      </c>
      <c r="H100" s="16">
        <f>IF(D100&lt;=mortTerm, G100 - I100, 0)
</f>
        <v>8239.218195</v>
      </c>
      <c r="I100" s="16">
        <f>IF(D100&lt;=mortTerm, F100 - J100, 0)
</f>
        <v>13073.67323</v>
      </c>
      <c r="J100" s="16">
        <f>IF(D100&lt;=mortTerm,
   F100*(1+mortRate/12)^12 - (-PMT(mortRate/12, mortTerm*12, C100))*(((1+mortRate/12)^12 - 1)/(mortRate/12)),
   0
)
</f>
        <v>119605.5008</v>
      </c>
      <c r="K100" s="13">
        <f>IFERROR(__xludf.DUMMYFUNCTION("IF(A100="""","""",
   IF(F100&gt;0,
      INDEX(FILTER('RE Portfolio'!L$2:L2000,'RE Portfolio'!D$2:D2000=""BUY""), INT((ROW()-2)/amortYears)+1) - G100,
      INDEX(FILTER('RE Portfolio'!L$2:L2000,'RE Portfolio'!D$2:D2000=""BUY""), INT((ROW()-2)/amortYears)+1"&amp;")
   )
)
"),6561.730065465745)</f>
        <v>6561.730065</v>
      </c>
      <c r="L100" s="15">
        <f>IFERROR(__xludf.DUMMYFUNCTION("IF(A100="""","""",
  INDEX(FILTER('RE Portfolio'!C$2:C2000,'RE Portfolio'!D$2:D2000=""BUY""), INT((ROW()-2)/amortYears)+1)
  * (1 + VALUE(Assumptions!$B$11))^(D100-1)
)
"),887911.1461480954)</f>
        <v>887911.1461</v>
      </c>
    </row>
    <row r="101">
      <c r="A101" s="15">
        <f>IFERROR(__xludf.DUMMYFUNCTION("IFERROR(INDEX(FILTER('RE Portfolio'!A$2:A2000,'RE Portfolio'!D$2:D2000=""BUY""), INT((ROW()-2)/amortYears)+1), )
"),3.0)</f>
        <v>3</v>
      </c>
      <c r="B101" s="15">
        <f>IFERROR(__xludf.DUMMYFUNCTION("IFERROR(INDEX(FILTER('RE Portfolio'!B$2:B2000,'RE Portfolio'!D$2:D2000=""BUY""), INT((ROW()-2)/amortYears)+1), )
"),33.0)</f>
        <v>33</v>
      </c>
      <c r="C101" s="15">
        <f>IFERROR(__xludf.DUMMYFUNCTION("IFERROR(INDEX(FILTER('RE Portfolio'!G$2:G2000,'RE Portfolio'!D$2:D2000=""BUY""), INT((ROW()-2)/amortYears)+1), )
"),280994.1682382247)</f>
        <v>280994.1682</v>
      </c>
      <c r="D101" s="15">
        <f>MOD(ROW()-2, amortYears)+1</f>
        <v>24</v>
      </c>
      <c r="E101" s="15">
        <f t="shared" si="1"/>
        <v>56</v>
      </c>
      <c r="F101" s="16">
        <f t="shared" si="2"/>
        <v>119605.5008</v>
      </c>
      <c r="G101" s="16">
        <f>IF(D101&lt;=mortTerm, -PMT(mortRate/12, mortTerm*12, C101)*12, 0)
</f>
        <v>21312.89142</v>
      </c>
      <c r="H101" s="16">
        <f>IF(D101&lt;=mortTerm, G101 - I101, 0)
</f>
        <v>7363.650086</v>
      </c>
      <c r="I101" s="16">
        <f>IF(D101&lt;=mortTerm, F101 - J101, 0)
</f>
        <v>13949.24134</v>
      </c>
      <c r="J101" s="16">
        <f>IF(D101&lt;=mortTerm,
   F101*(1+mortRate/12)^12 - (-PMT(mortRate/12, mortTerm*12, C101))*(((1+mortRate/12)^12 - 1)/(mortRate/12)),
   0
)
</f>
        <v>105656.2594</v>
      </c>
      <c r="K101" s="13">
        <f>IFERROR(__xludf.DUMMYFUNCTION("IF(A101="""","""",
   IF(F101&gt;0,
      INDEX(FILTER('RE Portfolio'!L$2:L2000,'RE Portfolio'!D$2:D2000=""BUY""), INT((ROW()-2)/amortYears)+1) - G101,
      INDEX(FILTER('RE Portfolio'!L$2:L2000,'RE Portfolio'!D$2:D2000=""BUY""), INT((ROW()-2)/amortYears)+1"&amp;")
   )
)
"),6561.730065465745)</f>
        <v>6561.730065</v>
      </c>
      <c r="L101" s="15">
        <f>IFERROR(__xludf.DUMMYFUNCTION("IF(A101="""","""",
  INDEX(FILTER('RE Portfolio'!C$2:C2000,'RE Portfolio'!D$2:D2000=""BUY""), INT((ROW()-2)/amortYears)+1)
  * (1 + VALUE(Assumptions!$B$11))^(D101-1)
)
"),923427.5919940192)</f>
        <v>923427.592</v>
      </c>
    </row>
    <row r="102">
      <c r="A102" s="15">
        <f>IFERROR(__xludf.DUMMYFUNCTION("IFERROR(INDEX(FILTER('RE Portfolio'!A$2:A2000,'RE Portfolio'!D$2:D2000=""BUY""), INT((ROW()-2)/amortYears)+1), )
"),3.0)</f>
        <v>3</v>
      </c>
      <c r="B102" s="15">
        <f>IFERROR(__xludf.DUMMYFUNCTION("IFERROR(INDEX(FILTER('RE Portfolio'!B$2:B2000,'RE Portfolio'!D$2:D2000=""BUY""), INT((ROW()-2)/amortYears)+1), )
"),33.0)</f>
        <v>33</v>
      </c>
      <c r="C102" s="15">
        <f>IFERROR(__xludf.DUMMYFUNCTION("IFERROR(INDEX(FILTER('RE Portfolio'!G$2:G2000,'RE Portfolio'!D$2:D2000=""BUY""), INT((ROW()-2)/amortYears)+1), )
"),280994.1682382247)</f>
        <v>280994.1682</v>
      </c>
      <c r="D102" s="15">
        <f>MOD(ROW()-2, amortYears)+1</f>
        <v>25</v>
      </c>
      <c r="E102" s="15">
        <f t="shared" si="1"/>
        <v>57</v>
      </c>
      <c r="F102" s="16">
        <f t="shared" si="2"/>
        <v>105656.2594</v>
      </c>
      <c r="G102" s="16">
        <f>IF(D102&lt;=mortTerm, -PMT(mortRate/12, mortTerm*12, C102)*12, 0)
</f>
        <v>21312.89142</v>
      </c>
      <c r="H102" s="16">
        <f>IF(D102&lt;=mortTerm, G102 - I102, 0)
</f>
        <v>6429.44356</v>
      </c>
      <c r="I102" s="16">
        <f>IF(D102&lt;=mortTerm, F102 - J102, 0)
</f>
        <v>14883.44786</v>
      </c>
      <c r="J102" s="16">
        <f>IF(D102&lt;=mortTerm,
   F102*(1+mortRate/12)^12 - (-PMT(mortRate/12, mortTerm*12, C102))*(((1+mortRate/12)^12 - 1)/(mortRate/12)),
   0
)
</f>
        <v>90772.81157</v>
      </c>
      <c r="K102" s="13">
        <f>IFERROR(__xludf.DUMMYFUNCTION("IF(A102="""","""",
   IF(F102&gt;0,
      INDEX(FILTER('RE Portfolio'!L$2:L2000,'RE Portfolio'!D$2:D2000=""BUY""), INT((ROW()-2)/amortYears)+1) - G102,
      INDEX(FILTER('RE Portfolio'!L$2:L2000,'RE Portfolio'!D$2:D2000=""BUY""), INT((ROW()-2)/amortYears)+1"&amp;")
   )
)
"),6561.730065465745)</f>
        <v>6561.730065</v>
      </c>
      <c r="L102" s="15">
        <f>IFERROR(__xludf.DUMMYFUNCTION("IF(A102="""","""",
  INDEX(FILTER('RE Portfolio'!C$2:C2000,'RE Portfolio'!D$2:D2000=""BUY""), INT((ROW()-2)/amortYears)+1)
  * (1 + VALUE(Assumptions!$B$11))^(D102-1)
)
"),960364.6956737802)</f>
        <v>960364.6957</v>
      </c>
    </row>
    <row r="103">
      <c r="A103" s="15">
        <f>IFERROR(__xludf.DUMMYFUNCTION("IFERROR(INDEX(FILTER('RE Portfolio'!A$2:A2000,'RE Portfolio'!D$2:D2000=""BUY""), INT((ROW()-2)/amortYears)+1), )
"),3.0)</f>
        <v>3</v>
      </c>
      <c r="B103" s="15">
        <f>IFERROR(__xludf.DUMMYFUNCTION("IFERROR(INDEX(FILTER('RE Portfolio'!B$2:B2000,'RE Portfolio'!D$2:D2000=""BUY""), INT((ROW()-2)/amortYears)+1), )
"),33.0)</f>
        <v>33</v>
      </c>
      <c r="C103" s="15">
        <f>IFERROR(__xludf.DUMMYFUNCTION("IFERROR(INDEX(FILTER('RE Portfolio'!G$2:G2000,'RE Portfolio'!D$2:D2000=""BUY""), INT((ROW()-2)/amortYears)+1), )
"),280994.1682382247)</f>
        <v>280994.1682</v>
      </c>
      <c r="D103" s="15">
        <f>MOD(ROW()-2, amortYears)+1</f>
        <v>26</v>
      </c>
      <c r="E103" s="15">
        <f t="shared" si="1"/>
        <v>58</v>
      </c>
      <c r="F103" s="16">
        <f t="shared" si="2"/>
        <v>90772.81157</v>
      </c>
      <c r="G103" s="16">
        <f>IF(D103&lt;=mortTerm, -PMT(mortRate/12, mortTerm*12, C103)*12, 0)
</f>
        <v>21312.89142</v>
      </c>
      <c r="H103" s="16">
        <f>IF(D103&lt;=mortTerm, G103 - I103, 0)
</f>
        <v>5432.671492</v>
      </c>
      <c r="I103" s="16">
        <f>IF(D103&lt;=mortTerm, F103 - J103, 0)
</f>
        <v>15880.21993</v>
      </c>
      <c r="J103" s="16">
        <f>IF(D103&lt;=mortTerm,
   F103*(1+mortRate/12)^12 - (-PMT(mortRate/12, mortTerm*12, C103))*(((1+mortRate/12)^12 - 1)/(mortRate/12)),
   0
)
</f>
        <v>74892.59163</v>
      </c>
      <c r="K103" s="13">
        <f>IFERROR(__xludf.DUMMYFUNCTION("IF(A103="""","""",
   IF(F103&gt;0,
      INDEX(FILTER('RE Portfolio'!L$2:L2000,'RE Portfolio'!D$2:D2000=""BUY""), INT((ROW()-2)/amortYears)+1) - G103,
      INDEX(FILTER('RE Portfolio'!L$2:L2000,'RE Portfolio'!D$2:D2000=""BUY""), INT((ROW()-2)/amortYears)+1"&amp;")
   )
)
"),6561.730065465745)</f>
        <v>6561.730065</v>
      </c>
      <c r="L103" s="15">
        <f>IFERROR(__xludf.DUMMYFUNCTION("IF(A103="""","""",
  INDEX(FILTER('RE Portfolio'!C$2:C2000,'RE Portfolio'!D$2:D2000=""BUY""), INT((ROW()-2)/amortYears)+1)
  * (1 + VALUE(Assumptions!$B$11))^(D103-1)
)
"),998779.2835007312)</f>
        <v>998779.2835</v>
      </c>
    </row>
    <row r="104">
      <c r="A104" s="15">
        <f>IFERROR(__xludf.DUMMYFUNCTION("IFERROR(INDEX(FILTER('RE Portfolio'!A$2:A2000,'RE Portfolio'!D$2:D2000=""BUY""), INT((ROW()-2)/amortYears)+1), )
"),3.0)</f>
        <v>3</v>
      </c>
      <c r="B104" s="15">
        <f>IFERROR(__xludf.DUMMYFUNCTION("IFERROR(INDEX(FILTER('RE Portfolio'!B$2:B2000,'RE Portfolio'!D$2:D2000=""BUY""), INT((ROW()-2)/amortYears)+1), )
"),33.0)</f>
        <v>33</v>
      </c>
      <c r="C104" s="15">
        <f>IFERROR(__xludf.DUMMYFUNCTION("IFERROR(INDEX(FILTER('RE Portfolio'!G$2:G2000,'RE Portfolio'!D$2:D2000=""BUY""), INT((ROW()-2)/amortYears)+1), )
"),280994.1682382247)</f>
        <v>280994.1682</v>
      </c>
      <c r="D104" s="15">
        <f>MOD(ROW()-2, amortYears)+1</f>
        <v>27</v>
      </c>
      <c r="E104" s="15">
        <f t="shared" si="1"/>
        <v>59</v>
      </c>
      <c r="F104" s="16">
        <f t="shared" si="2"/>
        <v>74892.59163</v>
      </c>
      <c r="G104" s="16">
        <f>IF(D104&lt;=mortTerm, -PMT(mortRate/12, mortTerm*12, C104)*12, 0)
</f>
        <v>21312.89142</v>
      </c>
      <c r="H104" s="16">
        <f>IF(D104&lt;=mortTerm, G104 - I104, 0)
</f>
        <v>4369.143753</v>
      </c>
      <c r="I104" s="16">
        <f>IF(D104&lt;=mortTerm, F104 - J104, 0)
</f>
        <v>16943.74767</v>
      </c>
      <c r="J104" s="16">
        <f>IF(D104&lt;=mortTerm,
   F104*(1+mortRate/12)^12 - (-PMT(mortRate/12, mortTerm*12, C104))*(((1+mortRate/12)^12 - 1)/(mortRate/12)),
   0
)
</f>
        <v>57948.84396</v>
      </c>
      <c r="K104" s="13">
        <f>IFERROR(__xludf.DUMMYFUNCTION("IF(A104="""","""",
   IF(F104&gt;0,
      INDEX(FILTER('RE Portfolio'!L$2:L2000,'RE Portfolio'!D$2:D2000=""BUY""), INT((ROW()-2)/amortYears)+1) - G104,
      INDEX(FILTER('RE Portfolio'!L$2:L2000,'RE Portfolio'!D$2:D2000=""BUY""), INT((ROW()-2)/amortYears)+1"&amp;")
   )
)
"),6561.730065465745)</f>
        <v>6561.730065</v>
      </c>
      <c r="L104" s="15">
        <f>IFERROR(__xludf.DUMMYFUNCTION("IF(A104="""","""",
  INDEX(FILTER('RE Portfolio'!C$2:C2000,'RE Portfolio'!D$2:D2000=""BUY""), INT((ROW()-2)/amortYears)+1)
  * (1 + VALUE(Assumptions!$B$11))^(D104-1)
)
"),1038730.4548407606)</f>
        <v>1038730.455</v>
      </c>
    </row>
    <row r="105">
      <c r="A105" s="15">
        <f>IFERROR(__xludf.DUMMYFUNCTION("IFERROR(INDEX(FILTER('RE Portfolio'!A$2:A2000,'RE Portfolio'!D$2:D2000=""BUY""), INT((ROW()-2)/amortYears)+1), )
"),3.0)</f>
        <v>3</v>
      </c>
      <c r="B105" s="15">
        <f>IFERROR(__xludf.DUMMYFUNCTION("IFERROR(INDEX(FILTER('RE Portfolio'!B$2:B2000,'RE Portfolio'!D$2:D2000=""BUY""), INT((ROW()-2)/amortYears)+1), )
"),33.0)</f>
        <v>33</v>
      </c>
      <c r="C105" s="15">
        <f>IFERROR(__xludf.DUMMYFUNCTION("IFERROR(INDEX(FILTER('RE Portfolio'!G$2:G2000,'RE Portfolio'!D$2:D2000=""BUY""), INT((ROW()-2)/amortYears)+1), )
"),280994.1682382247)</f>
        <v>280994.1682</v>
      </c>
      <c r="D105" s="15">
        <f>MOD(ROW()-2, amortYears)+1</f>
        <v>28</v>
      </c>
      <c r="E105" s="15">
        <f t="shared" si="1"/>
        <v>60</v>
      </c>
      <c r="F105" s="16">
        <f t="shared" si="2"/>
        <v>57948.84396</v>
      </c>
      <c r="G105" s="16">
        <f>IF(D105&lt;=mortTerm, -PMT(mortRate/12, mortTerm*12, C105)*12, 0)
</f>
        <v>21312.89142</v>
      </c>
      <c r="H105" s="16">
        <f>IF(D105&lt;=mortTerm, G105 - I105, 0)
</f>
        <v>3234.389592</v>
      </c>
      <c r="I105" s="16">
        <f>IF(D105&lt;=mortTerm, F105 - J105, 0)
</f>
        <v>18078.50183</v>
      </c>
      <c r="J105" s="16">
        <f>IF(D105&lt;=mortTerm,
   F105*(1+mortRate/12)^12 - (-PMT(mortRate/12, mortTerm*12, C105))*(((1+mortRate/12)^12 - 1)/(mortRate/12)),
   0
)
</f>
        <v>39870.34213</v>
      </c>
      <c r="K105" s="13">
        <f>IFERROR(__xludf.DUMMYFUNCTION("IF(A105="""","""",
   IF(F105&gt;0,
      INDEX(FILTER('RE Portfolio'!L$2:L2000,'RE Portfolio'!D$2:D2000=""BUY""), INT((ROW()-2)/amortYears)+1) - G105,
      INDEX(FILTER('RE Portfolio'!L$2:L2000,'RE Portfolio'!D$2:D2000=""BUY""), INT((ROW()-2)/amortYears)+1"&amp;")
   )
)
"),6561.730065465745)</f>
        <v>6561.730065</v>
      </c>
      <c r="L105" s="15">
        <f>IFERROR(__xludf.DUMMYFUNCTION("IF(A105="""","""",
  INDEX(FILTER('RE Portfolio'!C$2:C2000,'RE Portfolio'!D$2:D2000=""BUY""), INT((ROW()-2)/amortYears)+1)
  * (1 + VALUE(Assumptions!$B$11))^(D105-1)
)
"),1080279.673034391)</f>
        <v>1080279.673</v>
      </c>
    </row>
    <row r="106">
      <c r="A106" s="15">
        <f>IFERROR(__xludf.DUMMYFUNCTION("IFERROR(INDEX(FILTER('RE Portfolio'!A$2:A2000,'RE Portfolio'!D$2:D2000=""BUY""), INT((ROW()-2)/amortYears)+1), )
"),3.0)</f>
        <v>3</v>
      </c>
      <c r="B106" s="15">
        <f>IFERROR(__xludf.DUMMYFUNCTION("IFERROR(INDEX(FILTER('RE Portfolio'!B$2:B2000,'RE Portfolio'!D$2:D2000=""BUY""), INT((ROW()-2)/amortYears)+1), )
"),33.0)</f>
        <v>33</v>
      </c>
      <c r="C106" s="15">
        <f>IFERROR(__xludf.DUMMYFUNCTION("IFERROR(INDEX(FILTER('RE Portfolio'!G$2:G2000,'RE Portfolio'!D$2:D2000=""BUY""), INT((ROW()-2)/amortYears)+1), )
"),280994.1682382247)</f>
        <v>280994.1682</v>
      </c>
      <c r="D106" s="15">
        <f>MOD(ROW()-2, amortYears)+1</f>
        <v>29</v>
      </c>
      <c r="E106" s="15">
        <f t="shared" si="1"/>
        <v>61</v>
      </c>
      <c r="F106" s="16">
        <f t="shared" si="2"/>
        <v>39870.34213</v>
      </c>
      <c r="G106" s="16">
        <f>IF(D106&lt;=mortTerm, -PMT(mortRate/12, mortTerm*12, C106)*12, 0)
</f>
        <v>21312.89142</v>
      </c>
      <c r="H106" s="16">
        <f>IF(D106&lt;=mortTerm, G106 - I106, 0)
</f>
        <v>2023.638843</v>
      </c>
      <c r="I106" s="16">
        <f>IF(D106&lt;=mortTerm, F106 - J106, 0)
</f>
        <v>19289.25258</v>
      </c>
      <c r="J106" s="16">
        <f>IF(D106&lt;=mortTerm,
   F106*(1+mortRate/12)^12 - (-PMT(mortRate/12, mortTerm*12, C106))*(((1+mortRate/12)^12 - 1)/(mortRate/12)),
   0
)
</f>
        <v>20581.08955</v>
      </c>
      <c r="K106" s="13">
        <f>IFERROR(__xludf.DUMMYFUNCTION("IF(A106="""","""",
   IF(F106&gt;0,
      INDEX(FILTER('RE Portfolio'!L$2:L2000,'RE Portfolio'!D$2:D2000=""BUY""), INT((ROW()-2)/amortYears)+1) - G106,
      INDEX(FILTER('RE Portfolio'!L$2:L2000,'RE Portfolio'!D$2:D2000=""BUY""), INT((ROW()-2)/amortYears)+1"&amp;")
   )
)
"),6561.730065465745)</f>
        <v>6561.730065</v>
      </c>
      <c r="L106" s="15">
        <f>IFERROR(__xludf.DUMMYFUNCTION("IF(A106="""","""",
  INDEX(FILTER('RE Portfolio'!C$2:C2000,'RE Portfolio'!D$2:D2000=""BUY""), INT((ROW()-2)/amortYears)+1)
  * (1 + VALUE(Assumptions!$B$11))^(D106-1)
)
"),1123490.8599557667)</f>
        <v>1123490.86</v>
      </c>
    </row>
    <row r="107">
      <c r="A107" s="15">
        <f>IFERROR(__xludf.DUMMYFUNCTION("IFERROR(INDEX(FILTER('RE Portfolio'!A$2:A2000,'RE Portfolio'!D$2:D2000=""BUY""), INT((ROW()-2)/amortYears)+1), )
"),3.0)</f>
        <v>3</v>
      </c>
      <c r="B107" s="15">
        <f>IFERROR(__xludf.DUMMYFUNCTION("IFERROR(INDEX(FILTER('RE Portfolio'!B$2:B2000,'RE Portfolio'!D$2:D2000=""BUY""), INT((ROW()-2)/amortYears)+1), )
"),33.0)</f>
        <v>33</v>
      </c>
      <c r="C107" s="15">
        <f>IFERROR(__xludf.DUMMYFUNCTION("IFERROR(INDEX(FILTER('RE Portfolio'!G$2:G2000,'RE Portfolio'!D$2:D2000=""BUY""), INT((ROW()-2)/amortYears)+1), )
"),280994.1682382247)</f>
        <v>280994.1682</v>
      </c>
      <c r="D107" s="15">
        <f>MOD(ROW()-2, amortYears)+1</f>
        <v>30</v>
      </c>
      <c r="E107" s="15">
        <f t="shared" si="1"/>
        <v>62</v>
      </c>
      <c r="F107" s="16">
        <f t="shared" si="2"/>
        <v>20581.08955</v>
      </c>
      <c r="G107" s="16">
        <f>IF(D107&lt;=mortTerm, -PMT(mortRate/12, mortTerm*12, C107)*12, 0)
</f>
        <v>21312.89142</v>
      </c>
      <c r="H107" s="16">
        <f>IF(D107&lt;=mortTerm, G107 - I107, 0)
</f>
        <v>731.8018736</v>
      </c>
      <c r="I107" s="16">
        <f>IF(D107&lt;=mortTerm, F107 - J107, 0)
</f>
        <v>20581.08955</v>
      </c>
      <c r="J107" s="16">
        <f>IF(D107&lt;=mortTerm,
   F107*(1+mortRate/12)^12 - (-PMT(mortRate/12, mortTerm*12, C107))*(((1+mortRate/12)^12 - 1)/(mortRate/12)),
   0
)
</f>
        <v>0.0000000001018634066</v>
      </c>
      <c r="K107" s="13">
        <f>IFERROR(__xludf.DUMMYFUNCTION("IF(A107="""","""",
   IF(F107&gt;0,
      INDEX(FILTER('RE Portfolio'!L$2:L2000,'RE Portfolio'!D$2:D2000=""BUY""), INT((ROW()-2)/amortYears)+1) - G107,
      INDEX(FILTER('RE Portfolio'!L$2:L2000,'RE Portfolio'!D$2:D2000=""BUY""), INT((ROW()-2)/amortYears)+1"&amp;")
   )
)
"),6561.730065465745)</f>
        <v>6561.730065</v>
      </c>
      <c r="L107" s="15">
        <f>IFERROR(__xludf.DUMMYFUNCTION("IF(A107="""","""",
  INDEX(FILTER('RE Portfolio'!C$2:C2000,'RE Portfolio'!D$2:D2000=""BUY""), INT((ROW()-2)/amortYears)+1)
  * (1 + VALUE(Assumptions!$B$11))^(D107-1)
)
"),1168430.4943539975)</f>
        <v>1168430.494</v>
      </c>
    </row>
    <row r="108">
      <c r="A108" s="15">
        <f>IFERROR(__xludf.DUMMYFUNCTION("IFERROR(INDEX(FILTER('RE Portfolio'!A$2:A2000,'RE Portfolio'!D$2:D2000=""BUY""), INT((ROW()-2)/amortYears)+1), )
"),3.0)</f>
        <v>3</v>
      </c>
      <c r="B108" s="15">
        <f>IFERROR(__xludf.DUMMYFUNCTION("IFERROR(INDEX(FILTER('RE Portfolio'!B$2:B2000,'RE Portfolio'!D$2:D2000=""BUY""), INT((ROW()-2)/amortYears)+1), )
"),33.0)</f>
        <v>33</v>
      </c>
      <c r="C108" s="15">
        <f>IFERROR(__xludf.DUMMYFUNCTION("IFERROR(INDEX(FILTER('RE Portfolio'!G$2:G2000,'RE Portfolio'!D$2:D2000=""BUY""), INT((ROW()-2)/amortYears)+1), )
"),280994.1682382247)</f>
        <v>280994.1682</v>
      </c>
      <c r="D108" s="15">
        <f>MOD(ROW()-2, amortYears)+1</f>
        <v>31</v>
      </c>
      <c r="E108" s="15">
        <f t="shared" si="1"/>
        <v>63</v>
      </c>
      <c r="F108" s="16">
        <f t="shared" si="2"/>
        <v>0.0000000001018634066</v>
      </c>
      <c r="G108" s="15">
        <f>IF(D108&lt;=mortTerm, -PMT(mortRate/12, mortTerm*12, C108)*12, 0)
</f>
        <v>0</v>
      </c>
      <c r="H108" s="15">
        <f>IF(D108&lt;=mortTerm, G108 - I108, 0)
</f>
        <v>0</v>
      </c>
      <c r="I108" s="15">
        <f>IF(D108&lt;=mortTerm, F108 - J108, 0)
</f>
        <v>0</v>
      </c>
      <c r="J108" s="15">
        <f>IF(D108&lt;=mortTerm,
   F108*(1+mortRate/12)^12 - (-PMT(mortRate/12, mortTerm*12, C108))*(((1+mortRate/12)^12 - 1)/(mortRate/12)),
   0
)
</f>
        <v>0</v>
      </c>
      <c r="K108" s="13">
        <f>IFERROR(__xludf.DUMMYFUNCTION("IF(A108="""","""",
   IF(F108&gt;0,
      INDEX(FILTER('RE Portfolio'!L$2:L2000,'RE Portfolio'!D$2:D2000=""BUY""), INT((ROW()-2)/amortYears)+1) - G108,
      INDEX(FILTER('RE Portfolio'!L$2:L2000,'RE Portfolio'!D$2:D2000=""BUY""), INT((ROW()-2)/amortYears)+1"&amp;")
   )
)
"),27874.621489231882)</f>
        <v>27874.62149</v>
      </c>
      <c r="L108" s="15">
        <f>IFERROR(__xludf.DUMMYFUNCTION("IF(A108="""","""",
  INDEX(FILTER('RE Portfolio'!C$2:C2000,'RE Portfolio'!D$2:D2000=""BUY""), INT((ROW()-2)/amortYears)+1)
  * (1 + VALUE(Assumptions!$B$11))^(D108-1)
)
"),1215167.7141281574)</f>
        <v>1215167.714</v>
      </c>
    </row>
    <row r="109">
      <c r="A109" s="15">
        <f>IFERROR(__xludf.DUMMYFUNCTION("IFERROR(INDEX(FILTER('RE Portfolio'!A$2:A2000,'RE Portfolio'!D$2:D2000=""BUY""), INT((ROW()-2)/amortYears)+1), )
"),3.0)</f>
        <v>3</v>
      </c>
      <c r="B109" s="15">
        <f>IFERROR(__xludf.DUMMYFUNCTION("IFERROR(INDEX(FILTER('RE Portfolio'!B$2:B2000,'RE Portfolio'!D$2:D2000=""BUY""), INT((ROW()-2)/amortYears)+1), )
"),33.0)</f>
        <v>33</v>
      </c>
      <c r="C109" s="15">
        <f>IFERROR(__xludf.DUMMYFUNCTION("IFERROR(INDEX(FILTER('RE Portfolio'!G$2:G2000,'RE Portfolio'!D$2:D2000=""BUY""), INT((ROW()-2)/amortYears)+1), )
"),280994.1682382247)</f>
        <v>280994.1682</v>
      </c>
      <c r="D109" s="15">
        <f>MOD(ROW()-2, amortYears)+1</f>
        <v>32</v>
      </c>
      <c r="E109" s="15">
        <f t="shared" si="1"/>
        <v>64</v>
      </c>
      <c r="F109" s="15">
        <f t="shared" si="2"/>
        <v>0</v>
      </c>
      <c r="G109" s="15">
        <f>IF(D109&lt;=mortTerm, -PMT(mortRate/12, mortTerm*12, C109)*12, 0)
</f>
        <v>0</v>
      </c>
      <c r="H109" s="15">
        <f>IF(D109&lt;=mortTerm, G109 - I109, 0)
</f>
        <v>0</v>
      </c>
      <c r="I109" s="15">
        <f>IF(D109&lt;=mortTerm, F109 - J109, 0)
</f>
        <v>0</v>
      </c>
      <c r="J109" s="15">
        <f>IF(D109&lt;=mortTerm,
   F109*(1+mortRate/12)^12 - (-PMT(mortRate/12, mortTerm*12, C109))*(((1+mortRate/12)^12 - 1)/(mortRate/12)),
   0
)
</f>
        <v>0</v>
      </c>
      <c r="K109" s="13">
        <f>IFERROR(__xludf.DUMMYFUNCTION("IF(A109="""","""",
   IF(F109&gt;0,
      INDEX(FILTER('RE Portfolio'!L$2:L2000,'RE Portfolio'!D$2:D2000=""BUY""), INT((ROW()-2)/amortYears)+1) - G109,
      INDEX(FILTER('RE Portfolio'!L$2:L2000,'RE Portfolio'!D$2:D2000=""BUY""), INT((ROW()-2)/amortYears)+1"&amp;")
   )
)
"),27874.621489231882)</f>
        <v>27874.62149</v>
      </c>
      <c r="L109" s="15">
        <f>IFERROR(__xludf.DUMMYFUNCTION("IF(A109="""","""",
  INDEX(FILTER('RE Portfolio'!C$2:C2000,'RE Portfolio'!D$2:D2000=""BUY""), INT((ROW()-2)/amortYears)+1)
  * (1 + VALUE(Assumptions!$B$11))^(D109-1)
)
"),1263774.4226932838)</f>
        <v>1263774.423</v>
      </c>
    </row>
    <row r="110">
      <c r="A110" s="15">
        <f>IFERROR(__xludf.DUMMYFUNCTION("IFERROR(INDEX(FILTER('RE Portfolio'!A$2:A2000,'RE Portfolio'!D$2:D2000=""BUY""), INT((ROW()-2)/amortYears)+1), )
"),3.0)</f>
        <v>3</v>
      </c>
      <c r="B110" s="15">
        <f>IFERROR(__xludf.DUMMYFUNCTION("IFERROR(INDEX(FILTER('RE Portfolio'!B$2:B2000,'RE Portfolio'!D$2:D2000=""BUY""), INT((ROW()-2)/amortYears)+1), )
"),33.0)</f>
        <v>33</v>
      </c>
      <c r="C110" s="15">
        <f>IFERROR(__xludf.DUMMYFUNCTION("IFERROR(INDEX(FILTER('RE Portfolio'!G$2:G2000,'RE Portfolio'!D$2:D2000=""BUY""), INT((ROW()-2)/amortYears)+1), )
"),280994.1682382247)</f>
        <v>280994.1682</v>
      </c>
      <c r="D110" s="15">
        <f>MOD(ROW()-2, amortYears)+1</f>
        <v>33</v>
      </c>
      <c r="E110" s="15">
        <f t="shared" si="1"/>
        <v>65</v>
      </c>
      <c r="F110" s="15">
        <f t="shared" si="2"/>
        <v>0</v>
      </c>
      <c r="G110" s="15">
        <f>IF(D110&lt;=mortTerm, -PMT(mortRate/12, mortTerm*12, C110)*12, 0)
</f>
        <v>0</v>
      </c>
      <c r="H110" s="15">
        <f>IF(D110&lt;=mortTerm, G110 - I110, 0)
</f>
        <v>0</v>
      </c>
      <c r="I110" s="15">
        <f>IF(D110&lt;=mortTerm, F110 - J110, 0)
</f>
        <v>0</v>
      </c>
      <c r="J110" s="15">
        <f>IF(D110&lt;=mortTerm,
   F110*(1+mortRate/12)^12 - (-PMT(mortRate/12, mortTerm*12, C110))*(((1+mortRate/12)^12 - 1)/(mortRate/12)),
   0
)
</f>
        <v>0</v>
      </c>
      <c r="K110" s="13">
        <f>IFERROR(__xludf.DUMMYFUNCTION("IF(A110="""","""",
   IF(F110&gt;0,
      INDEX(FILTER('RE Portfolio'!L$2:L2000,'RE Portfolio'!D$2:D2000=""BUY""), INT((ROW()-2)/amortYears)+1) - G110,
      INDEX(FILTER('RE Portfolio'!L$2:L2000,'RE Portfolio'!D$2:D2000=""BUY""), INT((ROW()-2)/amortYears)+1"&amp;")
   )
)
"),27874.621489231882)</f>
        <v>27874.62149</v>
      </c>
      <c r="L110" s="15">
        <f>IFERROR(__xludf.DUMMYFUNCTION("IF(A110="""","""",
  INDEX(FILTER('RE Portfolio'!C$2:C2000,'RE Portfolio'!D$2:D2000=""BUY""), INT((ROW()-2)/amortYears)+1)
  * (1 + VALUE(Assumptions!$B$11))^(D110-1)
)
"),1314325.399601015)</f>
        <v>1314325.4</v>
      </c>
    </row>
    <row r="111">
      <c r="A111" s="15">
        <f>IFERROR(__xludf.DUMMYFUNCTION("IFERROR(INDEX(FILTER('RE Portfolio'!A$2:A2000,'RE Portfolio'!D$2:D2000=""BUY""), INT((ROW()-2)/amortYears)+1), )
"),3.0)</f>
        <v>3</v>
      </c>
      <c r="B111" s="15">
        <f>IFERROR(__xludf.DUMMYFUNCTION("IFERROR(INDEX(FILTER('RE Portfolio'!B$2:B2000,'RE Portfolio'!D$2:D2000=""BUY""), INT((ROW()-2)/amortYears)+1), )
"),33.0)</f>
        <v>33</v>
      </c>
      <c r="C111" s="15">
        <f>IFERROR(__xludf.DUMMYFUNCTION("IFERROR(INDEX(FILTER('RE Portfolio'!G$2:G2000,'RE Portfolio'!D$2:D2000=""BUY""), INT((ROW()-2)/amortYears)+1), )
"),280994.1682382247)</f>
        <v>280994.1682</v>
      </c>
      <c r="D111" s="15">
        <f>MOD(ROW()-2, amortYears)+1</f>
        <v>34</v>
      </c>
      <c r="E111" s="15">
        <f t="shared" si="1"/>
        <v>66</v>
      </c>
      <c r="F111" s="15">
        <f t="shared" si="2"/>
        <v>0</v>
      </c>
      <c r="G111" s="15">
        <f>IF(D111&lt;=mortTerm, -PMT(mortRate/12, mortTerm*12, C111)*12, 0)
</f>
        <v>0</v>
      </c>
      <c r="H111" s="15">
        <f>IF(D111&lt;=mortTerm, G111 - I111, 0)
</f>
        <v>0</v>
      </c>
      <c r="I111" s="15">
        <f>IF(D111&lt;=mortTerm, F111 - J111, 0)
</f>
        <v>0</v>
      </c>
      <c r="J111" s="15">
        <f>IF(D111&lt;=mortTerm,
   F111*(1+mortRate/12)^12 - (-PMT(mortRate/12, mortTerm*12, C111))*(((1+mortRate/12)^12 - 1)/(mortRate/12)),
   0
)
</f>
        <v>0</v>
      </c>
      <c r="K111" s="13">
        <f>IFERROR(__xludf.DUMMYFUNCTION("IF(A111="""","""",
   IF(F111&gt;0,
      INDEX(FILTER('RE Portfolio'!L$2:L2000,'RE Portfolio'!D$2:D2000=""BUY""), INT((ROW()-2)/amortYears)+1) - G111,
      INDEX(FILTER('RE Portfolio'!L$2:L2000,'RE Portfolio'!D$2:D2000=""BUY""), INT((ROW()-2)/amortYears)+1"&amp;")
   )
)
"),27874.621489231882)</f>
        <v>27874.62149</v>
      </c>
      <c r="L111" s="15">
        <f>IFERROR(__xludf.DUMMYFUNCTION("IF(A111="""","""",
  INDEX(FILTER('RE Portfolio'!C$2:C2000,'RE Portfolio'!D$2:D2000=""BUY""), INT((ROW()-2)/amortYears)+1)
  * (1 + VALUE(Assumptions!$B$11))^(D111-1)
)
"),1366898.4155850557)</f>
        <v>1366898.416</v>
      </c>
    </row>
    <row r="112">
      <c r="A112" s="15">
        <f>IFERROR(__xludf.DUMMYFUNCTION("IFERROR(INDEX(FILTER('RE Portfolio'!A$2:A2000,'RE Portfolio'!D$2:D2000=""BUY""), INT((ROW()-2)/amortYears)+1), )
"),3.0)</f>
        <v>3</v>
      </c>
      <c r="B112" s="15">
        <f>IFERROR(__xludf.DUMMYFUNCTION("IFERROR(INDEX(FILTER('RE Portfolio'!B$2:B2000,'RE Portfolio'!D$2:D2000=""BUY""), INT((ROW()-2)/amortYears)+1), )
"),33.0)</f>
        <v>33</v>
      </c>
      <c r="C112" s="15">
        <f>IFERROR(__xludf.DUMMYFUNCTION("IFERROR(INDEX(FILTER('RE Portfolio'!G$2:G2000,'RE Portfolio'!D$2:D2000=""BUY""), INT((ROW()-2)/amortYears)+1), )
"),280994.1682382247)</f>
        <v>280994.1682</v>
      </c>
      <c r="D112" s="15">
        <f>MOD(ROW()-2, amortYears)+1</f>
        <v>35</v>
      </c>
      <c r="E112" s="15">
        <f t="shared" si="1"/>
        <v>67</v>
      </c>
      <c r="F112" s="15">
        <f t="shared" si="2"/>
        <v>0</v>
      </c>
      <c r="G112" s="15">
        <f>IF(D112&lt;=mortTerm, -PMT(mortRate/12, mortTerm*12, C112)*12, 0)
</f>
        <v>0</v>
      </c>
      <c r="H112" s="15">
        <f>IF(D112&lt;=mortTerm, G112 - I112, 0)
</f>
        <v>0</v>
      </c>
      <c r="I112" s="15">
        <f>IF(D112&lt;=mortTerm, F112 - J112, 0)
</f>
        <v>0</v>
      </c>
      <c r="J112" s="15">
        <f>IF(D112&lt;=mortTerm,
   F112*(1+mortRate/12)^12 - (-PMT(mortRate/12, mortTerm*12, C112))*(((1+mortRate/12)^12 - 1)/(mortRate/12)),
   0
)
</f>
        <v>0</v>
      </c>
      <c r="K112" s="13">
        <f>IFERROR(__xludf.DUMMYFUNCTION("IF(A112="""","""",
   IF(F112&gt;0,
      INDEX(FILTER('RE Portfolio'!L$2:L2000,'RE Portfolio'!D$2:D2000=""BUY""), INT((ROW()-2)/amortYears)+1) - G112,
      INDEX(FILTER('RE Portfolio'!L$2:L2000,'RE Portfolio'!D$2:D2000=""BUY""), INT((ROW()-2)/amortYears)+1"&amp;")
   )
)
"),27874.621489231882)</f>
        <v>27874.62149</v>
      </c>
      <c r="L112" s="15">
        <f>IFERROR(__xludf.DUMMYFUNCTION("IF(A112="""","""",
  INDEX(FILTER('RE Portfolio'!C$2:C2000,'RE Portfolio'!D$2:D2000=""BUY""), INT((ROW()-2)/amortYears)+1)
  * (1 + VALUE(Assumptions!$B$11))^(D112-1)
)
"),1421574.3522084581)</f>
        <v>1421574.352</v>
      </c>
    </row>
    <row r="113">
      <c r="A113" s="15">
        <f>IFERROR(__xludf.DUMMYFUNCTION("IFERROR(INDEX(FILTER('RE Portfolio'!A$2:A2000,'RE Portfolio'!D$2:D2000=""BUY""), INT((ROW()-2)/amortYears)+1), )
"),3.0)</f>
        <v>3</v>
      </c>
      <c r="B113" s="15">
        <f>IFERROR(__xludf.DUMMYFUNCTION("IFERROR(INDEX(FILTER('RE Portfolio'!B$2:B2000,'RE Portfolio'!D$2:D2000=""BUY""), INT((ROW()-2)/amortYears)+1), )
"),33.0)</f>
        <v>33</v>
      </c>
      <c r="C113" s="15">
        <f>IFERROR(__xludf.DUMMYFUNCTION("IFERROR(INDEX(FILTER('RE Portfolio'!G$2:G2000,'RE Portfolio'!D$2:D2000=""BUY""), INT((ROW()-2)/amortYears)+1), )
"),280994.1682382247)</f>
        <v>280994.1682</v>
      </c>
      <c r="D113" s="15">
        <f>MOD(ROW()-2, amortYears)+1</f>
        <v>36</v>
      </c>
      <c r="E113" s="15">
        <f t="shared" si="1"/>
        <v>68</v>
      </c>
      <c r="F113" s="15">
        <f t="shared" si="2"/>
        <v>0</v>
      </c>
      <c r="G113" s="15">
        <f>IF(D113&lt;=mortTerm, -PMT(mortRate/12, mortTerm*12, C113)*12, 0)
</f>
        <v>0</v>
      </c>
      <c r="H113" s="15">
        <f>IF(D113&lt;=mortTerm, G113 - I113, 0)
</f>
        <v>0</v>
      </c>
      <c r="I113" s="15">
        <f>IF(D113&lt;=mortTerm, F113 - J113, 0)
</f>
        <v>0</v>
      </c>
      <c r="J113" s="15">
        <f>IF(D113&lt;=mortTerm,
   F113*(1+mortRate/12)^12 - (-PMT(mortRate/12, mortTerm*12, C113))*(((1+mortRate/12)^12 - 1)/(mortRate/12)),
   0
)
</f>
        <v>0</v>
      </c>
      <c r="K113" s="13">
        <f>IFERROR(__xludf.DUMMYFUNCTION("IF(A113="""","""",
   IF(F113&gt;0,
      INDEX(FILTER('RE Portfolio'!L$2:L2000,'RE Portfolio'!D$2:D2000=""BUY""), INT((ROW()-2)/amortYears)+1) - G113,
      INDEX(FILTER('RE Portfolio'!L$2:L2000,'RE Portfolio'!D$2:D2000=""BUY""), INT((ROW()-2)/amortYears)+1"&amp;")
   )
)
"),27874.621489231882)</f>
        <v>27874.62149</v>
      </c>
      <c r="L113" s="15">
        <f>IFERROR(__xludf.DUMMYFUNCTION("IF(A113="""","""",
  INDEX(FILTER('RE Portfolio'!C$2:C2000,'RE Portfolio'!D$2:D2000=""BUY""), INT((ROW()-2)/amortYears)+1)
  * (1 + VALUE(Assumptions!$B$11))^(D113-1)
)
"),1478437.3262967966)</f>
        <v>1478437.326</v>
      </c>
    </row>
    <row r="114">
      <c r="A114" s="15">
        <f>IFERROR(__xludf.DUMMYFUNCTION("IFERROR(INDEX(FILTER('RE Portfolio'!A$2:A2000,'RE Portfolio'!D$2:D2000=""BUY""), INT((ROW()-2)/amortYears)+1), )
"),3.0)</f>
        <v>3</v>
      </c>
      <c r="B114" s="15">
        <f>IFERROR(__xludf.DUMMYFUNCTION("IFERROR(INDEX(FILTER('RE Portfolio'!B$2:B2000,'RE Portfolio'!D$2:D2000=""BUY""), INT((ROW()-2)/amortYears)+1), )
"),33.0)</f>
        <v>33</v>
      </c>
      <c r="C114" s="15">
        <f>IFERROR(__xludf.DUMMYFUNCTION("IFERROR(INDEX(FILTER('RE Portfolio'!G$2:G2000,'RE Portfolio'!D$2:D2000=""BUY""), INT((ROW()-2)/amortYears)+1), )
"),280994.1682382247)</f>
        <v>280994.1682</v>
      </c>
      <c r="D114" s="15">
        <f>MOD(ROW()-2, amortYears)+1</f>
        <v>37</v>
      </c>
      <c r="E114" s="15">
        <f t="shared" si="1"/>
        <v>69</v>
      </c>
      <c r="F114" s="15">
        <f t="shared" si="2"/>
        <v>0</v>
      </c>
      <c r="G114" s="15">
        <f>IF(D114&lt;=mortTerm, -PMT(mortRate/12, mortTerm*12, C114)*12, 0)
</f>
        <v>0</v>
      </c>
      <c r="H114" s="15">
        <f>IF(D114&lt;=mortTerm, G114 - I114, 0)
</f>
        <v>0</v>
      </c>
      <c r="I114" s="15">
        <f>IF(D114&lt;=mortTerm, F114 - J114, 0)
</f>
        <v>0</v>
      </c>
      <c r="J114" s="15">
        <f>IF(D114&lt;=mortTerm,
   F114*(1+mortRate/12)^12 - (-PMT(mortRate/12, mortTerm*12, C114))*(((1+mortRate/12)^12 - 1)/(mortRate/12)),
   0
)
</f>
        <v>0</v>
      </c>
      <c r="K114" s="13">
        <f>IFERROR(__xludf.DUMMYFUNCTION("IF(A114="""","""",
   IF(F114&gt;0,
      INDEX(FILTER('RE Portfolio'!L$2:L2000,'RE Portfolio'!D$2:D2000=""BUY""), INT((ROW()-2)/amortYears)+1) - G114,
      INDEX(FILTER('RE Portfolio'!L$2:L2000,'RE Portfolio'!D$2:D2000=""BUY""), INT((ROW()-2)/amortYears)+1"&amp;")
   )
)
"),27874.621489231882)</f>
        <v>27874.62149</v>
      </c>
      <c r="L114" s="15">
        <f>IFERROR(__xludf.DUMMYFUNCTION("IF(A114="""","""",
  INDEX(FILTER('RE Portfolio'!C$2:C2000,'RE Portfolio'!D$2:D2000=""BUY""), INT((ROW()-2)/amortYears)+1)
  * (1 + VALUE(Assumptions!$B$11))^(D114-1)
)
"),1537574.8193486684)</f>
        <v>1537574.819</v>
      </c>
    </row>
    <row r="115">
      <c r="A115" s="15">
        <f>IFERROR(__xludf.DUMMYFUNCTION("IFERROR(INDEX(FILTER('RE Portfolio'!A$2:A2000,'RE Portfolio'!D$2:D2000=""BUY""), INT((ROW()-2)/amortYears)+1), )
"),3.0)</f>
        <v>3</v>
      </c>
      <c r="B115" s="15">
        <f>IFERROR(__xludf.DUMMYFUNCTION("IFERROR(INDEX(FILTER('RE Portfolio'!B$2:B2000,'RE Portfolio'!D$2:D2000=""BUY""), INT((ROW()-2)/amortYears)+1), )
"),33.0)</f>
        <v>33</v>
      </c>
      <c r="C115" s="15">
        <f>IFERROR(__xludf.DUMMYFUNCTION("IFERROR(INDEX(FILTER('RE Portfolio'!G$2:G2000,'RE Portfolio'!D$2:D2000=""BUY""), INT((ROW()-2)/amortYears)+1), )
"),280994.1682382247)</f>
        <v>280994.1682</v>
      </c>
      <c r="D115" s="15">
        <f>MOD(ROW()-2, amortYears)+1</f>
        <v>38</v>
      </c>
      <c r="E115" s="15">
        <f t="shared" si="1"/>
        <v>70</v>
      </c>
      <c r="F115" s="15">
        <f t="shared" si="2"/>
        <v>0</v>
      </c>
      <c r="G115" s="15">
        <f>IF(D115&lt;=mortTerm, -PMT(mortRate/12, mortTerm*12, C115)*12, 0)
</f>
        <v>0</v>
      </c>
      <c r="H115" s="15">
        <f>IF(D115&lt;=mortTerm, G115 - I115, 0)
</f>
        <v>0</v>
      </c>
      <c r="I115" s="15">
        <f>IF(D115&lt;=mortTerm, F115 - J115, 0)
</f>
        <v>0</v>
      </c>
      <c r="J115" s="15">
        <f>IF(D115&lt;=mortTerm,
   F115*(1+mortRate/12)^12 - (-PMT(mortRate/12, mortTerm*12, C115))*(((1+mortRate/12)^12 - 1)/(mortRate/12)),
   0
)
</f>
        <v>0</v>
      </c>
      <c r="K115" s="13">
        <f>IFERROR(__xludf.DUMMYFUNCTION("IF(A115="""","""",
   IF(F115&gt;0,
      INDEX(FILTER('RE Portfolio'!L$2:L2000,'RE Portfolio'!D$2:D2000=""BUY""), INT((ROW()-2)/amortYears)+1) - G115,
      INDEX(FILTER('RE Portfolio'!L$2:L2000,'RE Portfolio'!D$2:D2000=""BUY""), INT((ROW()-2)/amortYears)+1"&amp;")
   )
)
"),27874.621489231882)</f>
        <v>27874.62149</v>
      </c>
      <c r="L115" s="15">
        <f>IFERROR(__xludf.DUMMYFUNCTION("IF(A115="""","""",
  INDEX(FILTER('RE Portfolio'!C$2:C2000,'RE Portfolio'!D$2:D2000=""BUY""), INT((ROW()-2)/amortYears)+1)
  * (1 + VALUE(Assumptions!$B$11))^(D115-1)
)
"),1599077.8121226148)</f>
        <v>1599077.812</v>
      </c>
    </row>
    <row r="116">
      <c r="A116" s="15">
        <f>IFERROR(__xludf.DUMMYFUNCTION("IFERROR(INDEX(FILTER('RE Portfolio'!A$2:A2000,'RE Portfolio'!D$2:D2000=""BUY""), INT((ROW()-2)/amortYears)+1), )
"),4.0)</f>
        <v>4</v>
      </c>
      <c r="B116" s="15">
        <f>IFERROR(__xludf.DUMMYFUNCTION("IFERROR(INDEX(FILTER('RE Portfolio'!B$2:B2000,'RE Portfolio'!D$2:D2000=""BUY""), INT((ROW()-2)/amortYears)+1), )
"),35.0)</f>
        <v>35</v>
      </c>
      <c r="C116" s="15">
        <f>IFERROR(__xludf.DUMMYFUNCTION("IFERROR(INDEX(FILTER('RE Portfolio'!G$2:G2000,'RE Portfolio'!D$2:D2000=""BUY""), INT((ROW()-2)/amortYears)+1), )
"),295219.49800528475)</f>
        <v>295219.498</v>
      </c>
      <c r="D116" s="15">
        <f>MOD(ROW()-2, amortYears)+1</f>
        <v>1</v>
      </c>
      <c r="E116" s="15">
        <f t="shared" si="1"/>
        <v>35</v>
      </c>
      <c r="F116" s="15">
        <f t="shared" si="2"/>
        <v>295219.498</v>
      </c>
      <c r="G116" s="16">
        <f>IF(D116&lt;=mortTerm, -PMT(mortRate/12, mortTerm*12, C116)*12, 0)
</f>
        <v>22391.85655</v>
      </c>
      <c r="H116" s="16">
        <f>IF(D116&lt;=mortTerm, G116 - I116, 0)
</f>
        <v>19092.11303</v>
      </c>
      <c r="I116" s="16">
        <f>IF(D116&lt;=mortTerm, F116 - J116, 0)
</f>
        <v>3299.743519</v>
      </c>
      <c r="J116" s="16">
        <f>IF(D116&lt;=mortTerm,
   F116*(1+mortRate/12)^12 - (-PMT(mortRate/12, mortTerm*12, C116))*(((1+mortRate/12)^12 - 1)/(mortRate/12)),
   0
)
</f>
        <v>291919.7545</v>
      </c>
      <c r="K116" s="13">
        <f>IFERROR(__xludf.DUMMYFUNCTION("IF(A116="""","""",
   IF(F116&gt;0,
      INDEX(FILTER('RE Portfolio'!L$2:L2000,'RE Portfolio'!D$2:D2000=""BUY""), INT((ROW()-2)/amortYears)+1) - G116,
      INDEX(FILTER('RE Portfolio'!L$2:L2000,'RE Portfolio'!D$2:D2000=""BUY""), INT((ROW()-2)/amortYears)+1"&amp;")
   )
)
"),6893.917650029962)</f>
        <v>6893.91765</v>
      </c>
      <c r="L116" s="15">
        <f>IFERROR(__xludf.DUMMYFUNCTION("IF(A116="""","""",
  INDEX(FILTER('RE Portfolio'!C$2:C2000,'RE Portfolio'!D$2:D2000=""BUY""), INT((ROW()-2)/amortYears)+1)
  * (1 + VALUE(Assumptions!$B$11))^(D116-1)
)
"),393625.9973403797)</f>
        <v>393625.9973</v>
      </c>
    </row>
    <row r="117">
      <c r="A117" s="15">
        <f>IFERROR(__xludf.DUMMYFUNCTION("IFERROR(INDEX(FILTER('RE Portfolio'!A$2:A2000,'RE Portfolio'!D$2:D2000=""BUY""), INT((ROW()-2)/amortYears)+1), )
"),4.0)</f>
        <v>4</v>
      </c>
      <c r="B117" s="15">
        <f>IFERROR(__xludf.DUMMYFUNCTION("IFERROR(INDEX(FILTER('RE Portfolio'!B$2:B2000,'RE Portfolio'!D$2:D2000=""BUY""), INT((ROW()-2)/amortYears)+1), )
"),35.0)</f>
        <v>35</v>
      </c>
      <c r="C117" s="15">
        <f>IFERROR(__xludf.DUMMYFUNCTION("IFERROR(INDEX(FILTER('RE Portfolio'!G$2:G2000,'RE Portfolio'!D$2:D2000=""BUY""), INT((ROW()-2)/amortYears)+1), )
"),295219.49800528475)</f>
        <v>295219.498</v>
      </c>
      <c r="D117" s="15">
        <f>MOD(ROW()-2, amortYears)+1</f>
        <v>2</v>
      </c>
      <c r="E117" s="15">
        <f t="shared" si="1"/>
        <v>36</v>
      </c>
      <c r="F117" s="16">
        <f t="shared" si="2"/>
        <v>291919.7545</v>
      </c>
      <c r="G117" s="16">
        <f>IF(D117&lt;=mortTerm, -PMT(mortRate/12, mortTerm*12, C117)*12, 0)
</f>
        <v>22391.85655</v>
      </c>
      <c r="H117" s="16">
        <f>IF(D117&lt;=mortTerm, G117 - I117, 0)
</f>
        <v>18871.1231</v>
      </c>
      <c r="I117" s="16">
        <f>IF(D117&lt;=mortTerm, F117 - J117, 0)
</f>
        <v>3520.733453</v>
      </c>
      <c r="J117" s="16">
        <f>IF(D117&lt;=mortTerm,
   F117*(1+mortRate/12)^12 - (-PMT(mortRate/12, mortTerm*12, C117))*(((1+mortRate/12)^12 - 1)/(mortRate/12)),
   0
)
</f>
        <v>288399.021</v>
      </c>
      <c r="K117" s="13">
        <f>IFERROR(__xludf.DUMMYFUNCTION("IF(A117="""","""",
   IF(F117&gt;0,
      INDEX(FILTER('RE Portfolio'!L$2:L2000,'RE Portfolio'!D$2:D2000=""BUY""), INT((ROW()-2)/amortYears)+1) - G117,
      INDEX(FILTER('RE Portfolio'!L$2:L2000,'RE Portfolio'!D$2:D2000=""BUY""), INT((ROW()-2)/amortYears)+1"&amp;")
   )
)
"),6893.917650029962)</f>
        <v>6893.91765</v>
      </c>
      <c r="L117" s="15">
        <f>IFERROR(__xludf.DUMMYFUNCTION("IF(A117="""","""",
  INDEX(FILTER('RE Portfolio'!C$2:C2000,'RE Portfolio'!D$2:D2000=""BUY""), INT((ROW()-2)/amortYears)+1)
  * (1 + VALUE(Assumptions!$B$11))^(D117-1)
)
"),409371.03723399487)</f>
        <v>409371.0372</v>
      </c>
    </row>
    <row r="118">
      <c r="A118" s="15">
        <f>IFERROR(__xludf.DUMMYFUNCTION("IFERROR(INDEX(FILTER('RE Portfolio'!A$2:A2000,'RE Portfolio'!D$2:D2000=""BUY""), INT((ROW()-2)/amortYears)+1), )
"),4.0)</f>
        <v>4</v>
      </c>
      <c r="B118" s="15">
        <f>IFERROR(__xludf.DUMMYFUNCTION("IFERROR(INDEX(FILTER('RE Portfolio'!B$2:B2000,'RE Portfolio'!D$2:D2000=""BUY""), INT((ROW()-2)/amortYears)+1), )
"),35.0)</f>
        <v>35</v>
      </c>
      <c r="C118" s="15">
        <f>IFERROR(__xludf.DUMMYFUNCTION("IFERROR(INDEX(FILTER('RE Portfolio'!G$2:G2000,'RE Portfolio'!D$2:D2000=""BUY""), INT((ROW()-2)/amortYears)+1), )
"),295219.49800528475)</f>
        <v>295219.498</v>
      </c>
      <c r="D118" s="15">
        <f>MOD(ROW()-2, amortYears)+1</f>
        <v>3</v>
      </c>
      <c r="E118" s="15">
        <f t="shared" si="1"/>
        <v>37</v>
      </c>
      <c r="F118" s="16">
        <f t="shared" si="2"/>
        <v>288399.021</v>
      </c>
      <c r="G118" s="16">
        <f>IF(D118&lt;=mortTerm, -PMT(mortRate/12, mortTerm*12, C118)*12, 0)
</f>
        <v>22391.85655</v>
      </c>
      <c r="H118" s="16">
        <f>IF(D118&lt;=mortTerm, G118 - I118, 0)
</f>
        <v>18635.33306</v>
      </c>
      <c r="I118" s="16">
        <f>IF(D118&lt;=mortTerm, F118 - J118, 0)
</f>
        <v>3756.523493</v>
      </c>
      <c r="J118" s="16">
        <f>IF(D118&lt;=mortTerm,
   F118*(1+mortRate/12)^12 - (-PMT(mortRate/12, mortTerm*12, C118))*(((1+mortRate/12)^12 - 1)/(mortRate/12)),
   0
)
</f>
        <v>284642.4975</v>
      </c>
      <c r="K118" s="13">
        <f>IFERROR(__xludf.DUMMYFUNCTION("IF(A118="""","""",
   IF(F118&gt;0,
      INDEX(FILTER('RE Portfolio'!L$2:L2000,'RE Portfolio'!D$2:D2000=""BUY""), INT((ROW()-2)/amortYears)+1) - G118,
      INDEX(FILTER('RE Portfolio'!L$2:L2000,'RE Portfolio'!D$2:D2000=""BUY""), INT((ROW()-2)/amortYears)+1"&amp;")
   )
)
"),6893.917650029962)</f>
        <v>6893.91765</v>
      </c>
      <c r="L118" s="15">
        <f>IFERROR(__xludf.DUMMYFUNCTION("IF(A118="""","""",
  INDEX(FILTER('RE Portfolio'!C$2:C2000,'RE Portfolio'!D$2:D2000=""BUY""), INT((ROW()-2)/amortYears)+1)
  * (1 + VALUE(Assumptions!$B$11))^(D118-1)
)
"),425745.8787233547)</f>
        <v>425745.8787</v>
      </c>
    </row>
    <row r="119">
      <c r="A119" s="15">
        <f>IFERROR(__xludf.DUMMYFUNCTION("IFERROR(INDEX(FILTER('RE Portfolio'!A$2:A2000,'RE Portfolio'!D$2:D2000=""BUY""), INT((ROW()-2)/amortYears)+1), )
"),4.0)</f>
        <v>4</v>
      </c>
      <c r="B119" s="15">
        <f>IFERROR(__xludf.DUMMYFUNCTION("IFERROR(INDEX(FILTER('RE Portfolio'!B$2:B2000,'RE Portfolio'!D$2:D2000=""BUY""), INT((ROW()-2)/amortYears)+1), )
"),35.0)</f>
        <v>35</v>
      </c>
      <c r="C119" s="15">
        <f>IFERROR(__xludf.DUMMYFUNCTION("IFERROR(INDEX(FILTER('RE Portfolio'!G$2:G2000,'RE Portfolio'!D$2:D2000=""BUY""), INT((ROW()-2)/amortYears)+1), )
"),295219.49800528475)</f>
        <v>295219.498</v>
      </c>
      <c r="D119" s="15">
        <f>MOD(ROW()-2, amortYears)+1</f>
        <v>4</v>
      </c>
      <c r="E119" s="15">
        <f t="shared" si="1"/>
        <v>38</v>
      </c>
      <c r="F119" s="16">
        <f t="shared" si="2"/>
        <v>284642.4975</v>
      </c>
      <c r="G119" s="16">
        <f>IF(D119&lt;=mortTerm, -PMT(mortRate/12, mortTerm*12, C119)*12, 0)
</f>
        <v>22391.85655</v>
      </c>
      <c r="H119" s="16">
        <f>IF(D119&lt;=mortTerm, G119 - I119, 0)
</f>
        <v>18383.75172</v>
      </c>
      <c r="I119" s="16">
        <f>IF(D119&lt;=mortTerm, F119 - J119, 0)
</f>
        <v>4008.104828</v>
      </c>
      <c r="J119" s="16">
        <f>IF(D119&lt;=mortTerm,
   F119*(1+mortRate/12)^12 - (-PMT(mortRate/12, mortTerm*12, C119))*(((1+mortRate/12)^12 - 1)/(mortRate/12)),
   0
)
</f>
        <v>280634.3927</v>
      </c>
      <c r="K119" s="13">
        <f>IFERROR(__xludf.DUMMYFUNCTION("IF(A119="""","""",
   IF(F119&gt;0,
      INDEX(FILTER('RE Portfolio'!L$2:L2000,'RE Portfolio'!D$2:D2000=""BUY""), INT((ROW()-2)/amortYears)+1) - G119,
      INDEX(FILTER('RE Portfolio'!L$2:L2000,'RE Portfolio'!D$2:D2000=""BUY""), INT((ROW()-2)/amortYears)+1"&amp;")
   )
)
"),6893.917650029962)</f>
        <v>6893.91765</v>
      </c>
      <c r="L119" s="15">
        <f>IFERROR(__xludf.DUMMYFUNCTION("IF(A119="""","""",
  INDEX(FILTER('RE Portfolio'!C$2:C2000,'RE Portfolio'!D$2:D2000=""BUY""), INT((ROW()-2)/amortYears)+1)
  * (1 + VALUE(Assumptions!$B$11))^(D119-1)
)
"),442775.7138722889)</f>
        <v>442775.7139</v>
      </c>
    </row>
    <row r="120">
      <c r="A120" s="15">
        <f>IFERROR(__xludf.DUMMYFUNCTION("IFERROR(INDEX(FILTER('RE Portfolio'!A$2:A2000,'RE Portfolio'!D$2:D2000=""BUY""), INT((ROW()-2)/amortYears)+1), )
"),4.0)</f>
        <v>4</v>
      </c>
      <c r="B120" s="15">
        <f>IFERROR(__xludf.DUMMYFUNCTION("IFERROR(INDEX(FILTER('RE Portfolio'!B$2:B2000,'RE Portfolio'!D$2:D2000=""BUY""), INT((ROW()-2)/amortYears)+1), )
"),35.0)</f>
        <v>35</v>
      </c>
      <c r="C120" s="15">
        <f>IFERROR(__xludf.DUMMYFUNCTION("IFERROR(INDEX(FILTER('RE Portfolio'!G$2:G2000,'RE Portfolio'!D$2:D2000=""BUY""), INT((ROW()-2)/amortYears)+1), )
"),295219.49800528475)</f>
        <v>295219.498</v>
      </c>
      <c r="D120" s="15">
        <f>MOD(ROW()-2, amortYears)+1</f>
        <v>5</v>
      </c>
      <c r="E120" s="15">
        <f t="shared" si="1"/>
        <v>39</v>
      </c>
      <c r="F120" s="16">
        <f t="shared" si="2"/>
        <v>280634.3927</v>
      </c>
      <c r="G120" s="16">
        <f>IF(D120&lt;=mortTerm, -PMT(mortRate/12, mortTerm*12, C120)*12, 0)
</f>
        <v>22391.85655</v>
      </c>
      <c r="H120" s="16">
        <f>IF(D120&lt;=mortTerm, G120 - I120, 0)
</f>
        <v>18115.32152</v>
      </c>
      <c r="I120" s="16">
        <f>IF(D120&lt;=mortTerm, F120 - J120, 0)
</f>
        <v>4276.535032</v>
      </c>
      <c r="J120" s="16">
        <f>IF(D120&lt;=mortTerm,
   F120*(1+mortRate/12)^12 - (-PMT(mortRate/12, mortTerm*12, C120))*(((1+mortRate/12)^12 - 1)/(mortRate/12)),
   0
)
</f>
        <v>276357.8577</v>
      </c>
      <c r="K120" s="13">
        <f>IFERROR(__xludf.DUMMYFUNCTION("IF(A120="""","""",
   IF(F120&gt;0,
      INDEX(FILTER('RE Portfolio'!L$2:L2000,'RE Portfolio'!D$2:D2000=""BUY""), INT((ROW()-2)/amortYears)+1) - G120,
      INDEX(FILTER('RE Portfolio'!L$2:L2000,'RE Portfolio'!D$2:D2000=""BUY""), INT((ROW()-2)/amortYears)+1"&amp;")
   )
)
"),6893.917650029962)</f>
        <v>6893.91765</v>
      </c>
      <c r="L120" s="15">
        <f>IFERROR(__xludf.DUMMYFUNCTION("IF(A120="""","""",
  INDEX(FILTER('RE Portfolio'!C$2:C2000,'RE Portfolio'!D$2:D2000=""BUY""), INT((ROW()-2)/amortYears)+1)
  * (1 + VALUE(Assumptions!$B$11))^(D120-1)
)
"),460486.7424271805)</f>
        <v>460486.7424</v>
      </c>
    </row>
    <row r="121">
      <c r="A121" s="15">
        <f>IFERROR(__xludf.DUMMYFUNCTION("IFERROR(INDEX(FILTER('RE Portfolio'!A$2:A2000,'RE Portfolio'!D$2:D2000=""BUY""), INT((ROW()-2)/amortYears)+1), )
"),4.0)</f>
        <v>4</v>
      </c>
      <c r="B121" s="15">
        <f>IFERROR(__xludf.DUMMYFUNCTION("IFERROR(INDEX(FILTER('RE Portfolio'!B$2:B2000,'RE Portfolio'!D$2:D2000=""BUY""), INT((ROW()-2)/amortYears)+1), )
"),35.0)</f>
        <v>35</v>
      </c>
      <c r="C121" s="15">
        <f>IFERROR(__xludf.DUMMYFUNCTION("IFERROR(INDEX(FILTER('RE Portfolio'!G$2:G2000,'RE Portfolio'!D$2:D2000=""BUY""), INT((ROW()-2)/amortYears)+1), )
"),295219.49800528475)</f>
        <v>295219.498</v>
      </c>
      <c r="D121" s="15">
        <f>MOD(ROW()-2, amortYears)+1</f>
        <v>6</v>
      </c>
      <c r="E121" s="15">
        <f t="shared" si="1"/>
        <v>40</v>
      </c>
      <c r="F121" s="16">
        <f t="shared" si="2"/>
        <v>276357.8577</v>
      </c>
      <c r="G121" s="16">
        <f>IF(D121&lt;=mortTerm, -PMT(mortRate/12, mortTerm*12, C121)*12, 0)
</f>
        <v>22391.85655</v>
      </c>
      <c r="H121" s="16">
        <f>IF(D121&lt;=mortTerm, G121 - I121, 0)
</f>
        <v>17828.91405</v>
      </c>
      <c r="I121" s="16">
        <f>IF(D121&lt;=mortTerm, F121 - J121, 0)
</f>
        <v>4562.942503</v>
      </c>
      <c r="J121" s="16">
        <f>IF(D121&lt;=mortTerm,
   F121*(1+mortRate/12)^12 - (-PMT(mortRate/12, mortTerm*12, C121))*(((1+mortRate/12)^12 - 1)/(mortRate/12)),
   0
)
</f>
        <v>271794.9152</v>
      </c>
      <c r="K121" s="13">
        <f>IFERROR(__xludf.DUMMYFUNCTION("IF(A121="""","""",
   IF(F121&gt;0,
      INDEX(FILTER('RE Portfolio'!L$2:L2000,'RE Portfolio'!D$2:D2000=""BUY""), INT((ROW()-2)/amortYears)+1) - G121,
      INDEX(FILTER('RE Portfolio'!L$2:L2000,'RE Portfolio'!D$2:D2000=""BUY""), INT((ROW()-2)/amortYears)+1"&amp;")
   )
)
"),6893.917650029962)</f>
        <v>6893.91765</v>
      </c>
      <c r="L121" s="15">
        <f>IFERROR(__xludf.DUMMYFUNCTION("IF(A121="""","""",
  INDEX(FILTER('RE Portfolio'!C$2:C2000,'RE Portfolio'!D$2:D2000=""BUY""), INT((ROW()-2)/amortYears)+1)
  * (1 + VALUE(Assumptions!$B$11))^(D121-1)
)
"),478906.21212426765)</f>
        <v>478906.2121</v>
      </c>
    </row>
    <row r="122">
      <c r="A122" s="15">
        <f>IFERROR(__xludf.DUMMYFUNCTION("IFERROR(INDEX(FILTER('RE Portfolio'!A$2:A2000,'RE Portfolio'!D$2:D2000=""BUY""), INT((ROW()-2)/amortYears)+1), )
"),4.0)</f>
        <v>4</v>
      </c>
      <c r="B122" s="15">
        <f>IFERROR(__xludf.DUMMYFUNCTION("IFERROR(INDEX(FILTER('RE Portfolio'!B$2:B2000,'RE Portfolio'!D$2:D2000=""BUY""), INT((ROW()-2)/amortYears)+1), )
"),35.0)</f>
        <v>35</v>
      </c>
      <c r="C122" s="15">
        <f>IFERROR(__xludf.DUMMYFUNCTION("IFERROR(INDEX(FILTER('RE Portfolio'!G$2:G2000,'RE Portfolio'!D$2:D2000=""BUY""), INT((ROW()-2)/amortYears)+1), )
"),295219.49800528475)</f>
        <v>295219.498</v>
      </c>
      <c r="D122" s="15">
        <f>MOD(ROW()-2, amortYears)+1</f>
        <v>7</v>
      </c>
      <c r="E122" s="15">
        <f t="shared" si="1"/>
        <v>41</v>
      </c>
      <c r="F122" s="16">
        <f t="shared" si="2"/>
        <v>271794.9152</v>
      </c>
      <c r="G122" s="16">
        <f>IF(D122&lt;=mortTerm, -PMT(mortRate/12, mortTerm*12, C122)*12, 0)
</f>
        <v>22391.85655</v>
      </c>
      <c r="H122" s="16">
        <f>IF(D122&lt;=mortTerm, G122 - I122, 0)
</f>
        <v>17523.32534</v>
      </c>
      <c r="I122" s="16">
        <f>IF(D122&lt;=mortTerm, F122 - J122, 0)
</f>
        <v>4868.531213</v>
      </c>
      <c r="J122" s="16">
        <f>IF(D122&lt;=mortTerm,
   F122*(1+mortRate/12)^12 - (-PMT(mortRate/12, mortTerm*12, C122))*(((1+mortRate/12)^12 - 1)/(mortRate/12)),
   0
)
</f>
        <v>266926.384</v>
      </c>
      <c r="K122" s="13">
        <f>IFERROR(__xludf.DUMMYFUNCTION("IF(A122="""","""",
   IF(F122&gt;0,
      INDEX(FILTER('RE Portfolio'!L$2:L2000,'RE Portfolio'!D$2:D2000=""BUY""), INT((ROW()-2)/amortYears)+1) - G122,
      INDEX(FILTER('RE Portfolio'!L$2:L2000,'RE Portfolio'!D$2:D2000=""BUY""), INT((ROW()-2)/amortYears)+1"&amp;")
   )
)
"),6893.917650029962)</f>
        <v>6893.91765</v>
      </c>
      <c r="L122" s="15">
        <f>IFERROR(__xludf.DUMMYFUNCTION("IF(A122="""","""",
  INDEX(FILTER('RE Portfolio'!C$2:C2000,'RE Portfolio'!D$2:D2000=""BUY""), INT((ROW()-2)/amortYears)+1)
  * (1 + VALUE(Assumptions!$B$11))^(D122-1)
)
"),498062.4606092385)</f>
        <v>498062.4606</v>
      </c>
    </row>
    <row r="123">
      <c r="A123" s="15">
        <f>IFERROR(__xludf.DUMMYFUNCTION("IFERROR(INDEX(FILTER('RE Portfolio'!A$2:A2000,'RE Portfolio'!D$2:D2000=""BUY""), INT((ROW()-2)/amortYears)+1), )
"),4.0)</f>
        <v>4</v>
      </c>
      <c r="B123" s="15">
        <f>IFERROR(__xludf.DUMMYFUNCTION("IFERROR(INDEX(FILTER('RE Portfolio'!B$2:B2000,'RE Portfolio'!D$2:D2000=""BUY""), INT((ROW()-2)/amortYears)+1), )
"),35.0)</f>
        <v>35</v>
      </c>
      <c r="C123" s="15">
        <f>IFERROR(__xludf.DUMMYFUNCTION("IFERROR(INDEX(FILTER('RE Portfolio'!G$2:G2000,'RE Portfolio'!D$2:D2000=""BUY""), INT((ROW()-2)/amortYears)+1), )
"),295219.49800528475)</f>
        <v>295219.498</v>
      </c>
      <c r="D123" s="15">
        <f>MOD(ROW()-2, amortYears)+1</f>
        <v>8</v>
      </c>
      <c r="E123" s="15">
        <f t="shared" si="1"/>
        <v>42</v>
      </c>
      <c r="F123" s="16">
        <f t="shared" si="2"/>
        <v>266926.384</v>
      </c>
      <c r="G123" s="16">
        <f>IF(D123&lt;=mortTerm, -PMT(mortRate/12, mortTerm*12, C123)*12, 0)
</f>
        <v>22391.85655</v>
      </c>
      <c r="H123" s="16">
        <f>IF(D123&lt;=mortTerm, G123 - I123, 0)
</f>
        <v>17197.27079</v>
      </c>
      <c r="I123" s="16">
        <f>IF(D123&lt;=mortTerm, F123 - J123, 0)
</f>
        <v>5194.585765</v>
      </c>
      <c r="J123" s="16">
        <f>IF(D123&lt;=mortTerm,
   F123*(1+mortRate/12)^12 - (-PMT(mortRate/12, mortTerm*12, C123))*(((1+mortRate/12)^12 - 1)/(mortRate/12)),
   0
)
</f>
        <v>261731.7982</v>
      </c>
      <c r="K123" s="13">
        <f>IFERROR(__xludf.DUMMYFUNCTION("IF(A123="""","""",
   IF(F123&gt;0,
      INDEX(FILTER('RE Portfolio'!L$2:L2000,'RE Portfolio'!D$2:D2000=""BUY""), INT((ROW()-2)/amortYears)+1) - G123,
      INDEX(FILTER('RE Portfolio'!L$2:L2000,'RE Portfolio'!D$2:D2000=""BUY""), INT((ROW()-2)/amortYears)+1"&amp;")
   )
)
"),6893.917650029962)</f>
        <v>6893.91765</v>
      </c>
      <c r="L123" s="15">
        <f>IFERROR(__xludf.DUMMYFUNCTION("IF(A123="""","""",
  INDEX(FILTER('RE Portfolio'!C$2:C2000,'RE Portfolio'!D$2:D2000=""BUY""), INT((ROW()-2)/amortYears)+1)
  * (1 + VALUE(Assumptions!$B$11))^(D123-1)
)
"),517984.959033608)</f>
        <v>517984.959</v>
      </c>
    </row>
    <row r="124">
      <c r="A124" s="15">
        <f>IFERROR(__xludf.DUMMYFUNCTION("IFERROR(INDEX(FILTER('RE Portfolio'!A$2:A2000,'RE Portfolio'!D$2:D2000=""BUY""), INT((ROW()-2)/amortYears)+1), )
"),4.0)</f>
        <v>4</v>
      </c>
      <c r="B124" s="15">
        <f>IFERROR(__xludf.DUMMYFUNCTION("IFERROR(INDEX(FILTER('RE Portfolio'!B$2:B2000,'RE Portfolio'!D$2:D2000=""BUY""), INT((ROW()-2)/amortYears)+1), )
"),35.0)</f>
        <v>35</v>
      </c>
      <c r="C124" s="15">
        <f>IFERROR(__xludf.DUMMYFUNCTION("IFERROR(INDEX(FILTER('RE Portfolio'!G$2:G2000,'RE Portfolio'!D$2:D2000=""BUY""), INT((ROW()-2)/amortYears)+1), )
"),295219.49800528475)</f>
        <v>295219.498</v>
      </c>
      <c r="D124" s="15">
        <f>MOD(ROW()-2, amortYears)+1</f>
        <v>9</v>
      </c>
      <c r="E124" s="15">
        <f t="shared" si="1"/>
        <v>43</v>
      </c>
      <c r="F124" s="16">
        <f t="shared" si="2"/>
        <v>261731.7982</v>
      </c>
      <c r="G124" s="16">
        <f>IF(D124&lt;=mortTerm, -PMT(mortRate/12, mortTerm*12, C124)*12, 0)
</f>
        <v>22391.85655</v>
      </c>
      <c r="H124" s="16">
        <f>IF(D124&lt;=mortTerm, G124 - I124, 0)
</f>
        <v>16849.37976</v>
      </c>
      <c r="I124" s="16">
        <f>IF(D124&lt;=mortTerm, F124 - J124, 0)
</f>
        <v>5542.476794</v>
      </c>
      <c r="J124" s="16">
        <f>IF(D124&lt;=mortTerm,
   F124*(1+mortRate/12)^12 - (-PMT(mortRate/12, mortTerm*12, C124))*(((1+mortRate/12)^12 - 1)/(mortRate/12)),
   0
)
</f>
        <v>256189.3214</v>
      </c>
      <c r="K124" s="13">
        <f>IFERROR(__xludf.DUMMYFUNCTION("IF(A124="""","""",
   IF(F124&gt;0,
      INDEX(FILTER('RE Portfolio'!L$2:L2000,'RE Portfolio'!D$2:D2000=""BUY""), INT((ROW()-2)/amortYears)+1) - G124,
      INDEX(FILTER('RE Portfolio'!L$2:L2000,'RE Portfolio'!D$2:D2000=""BUY""), INT((ROW()-2)/amortYears)+1"&amp;")
   )
)
"),6893.917650029962)</f>
        <v>6893.91765</v>
      </c>
      <c r="L124" s="15">
        <f>IFERROR(__xludf.DUMMYFUNCTION("IF(A124="""","""",
  INDEX(FILTER('RE Portfolio'!C$2:C2000,'RE Portfolio'!D$2:D2000=""BUY""), INT((ROW()-2)/amortYears)+1)
  * (1 + VALUE(Assumptions!$B$11))^(D124-1)
)
"),538704.3573949523)</f>
        <v>538704.3574</v>
      </c>
    </row>
    <row r="125">
      <c r="A125" s="15">
        <f>IFERROR(__xludf.DUMMYFUNCTION("IFERROR(INDEX(FILTER('RE Portfolio'!A$2:A2000,'RE Portfolio'!D$2:D2000=""BUY""), INT((ROW()-2)/amortYears)+1), )
"),4.0)</f>
        <v>4</v>
      </c>
      <c r="B125" s="15">
        <f>IFERROR(__xludf.DUMMYFUNCTION("IFERROR(INDEX(FILTER('RE Portfolio'!B$2:B2000,'RE Portfolio'!D$2:D2000=""BUY""), INT((ROW()-2)/amortYears)+1), )
"),35.0)</f>
        <v>35</v>
      </c>
      <c r="C125" s="15">
        <f>IFERROR(__xludf.DUMMYFUNCTION("IFERROR(INDEX(FILTER('RE Portfolio'!G$2:G2000,'RE Portfolio'!D$2:D2000=""BUY""), INT((ROW()-2)/amortYears)+1), )
"),295219.49800528475)</f>
        <v>295219.498</v>
      </c>
      <c r="D125" s="15">
        <f>MOD(ROW()-2, amortYears)+1</f>
        <v>10</v>
      </c>
      <c r="E125" s="15">
        <f t="shared" si="1"/>
        <v>44</v>
      </c>
      <c r="F125" s="16">
        <f t="shared" si="2"/>
        <v>256189.3214</v>
      </c>
      <c r="G125" s="16">
        <f>IF(D125&lt;=mortTerm, -PMT(mortRate/12, mortTerm*12, C125)*12, 0)
</f>
        <v>22391.85655</v>
      </c>
      <c r="H125" s="16">
        <f>IF(D125&lt;=mortTerm, G125 - I125, 0)
</f>
        <v>16478.18982</v>
      </c>
      <c r="I125" s="16">
        <f>IF(D125&lt;=mortTerm, F125 - J125, 0)
</f>
        <v>5913.666729</v>
      </c>
      <c r="J125" s="16">
        <f>IF(D125&lt;=mortTerm,
   F125*(1+mortRate/12)^12 - (-PMT(mortRate/12, mortTerm*12, C125))*(((1+mortRate/12)^12 - 1)/(mortRate/12)),
   0
)
</f>
        <v>250275.6547</v>
      </c>
      <c r="K125" s="13">
        <f>IFERROR(__xludf.DUMMYFUNCTION("IF(A125="""","""",
   IF(F125&gt;0,
      INDEX(FILTER('RE Portfolio'!L$2:L2000,'RE Portfolio'!D$2:D2000=""BUY""), INT((ROW()-2)/amortYears)+1) - G125,
      INDEX(FILTER('RE Portfolio'!L$2:L2000,'RE Portfolio'!D$2:D2000=""BUY""), INT((ROW()-2)/amortYears)+1"&amp;")
   )
)
"),6893.917650029962)</f>
        <v>6893.91765</v>
      </c>
      <c r="L125" s="15">
        <f>IFERROR(__xludf.DUMMYFUNCTION("IF(A125="""","""",
  INDEX(FILTER('RE Portfolio'!C$2:C2000,'RE Portfolio'!D$2:D2000=""BUY""), INT((ROW()-2)/amortYears)+1)
  * (1 + VALUE(Assumptions!$B$11))^(D125-1)
)
"),560252.5316907504)</f>
        <v>560252.5317</v>
      </c>
    </row>
    <row r="126">
      <c r="A126" s="15">
        <f>IFERROR(__xludf.DUMMYFUNCTION("IFERROR(INDEX(FILTER('RE Portfolio'!A$2:A2000,'RE Portfolio'!D$2:D2000=""BUY""), INT((ROW()-2)/amortYears)+1), )
"),4.0)</f>
        <v>4</v>
      </c>
      <c r="B126" s="15">
        <f>IFERROR(__xludf.DUMMYFUNCTION("IFERROR(INDEX(FILTER('RE Portfolio'!B$2:B2000,'RE Portfolio'!D$2:D2000=""BUY""), INT((ROW()-2)/amortYears)+1), )
"),35.0)</f>
        <v>35</v>
      </c>
      <c r="C126" s="15">
        <f>IFERROR(__xludf.DUMMYFUNCTION("IFERROR(INDEX(FILTER('RE Portfolio'!G$2:G2000,'RE Portfolio'!D$2:D2000=""BUY""), INT((ROW()-2)/amortYears)+1), )
"),295219.49800528475)</f>
        <v>295219.498</v>
      </c>
      <c r="D126" s="15">
        <f>MOD(ROW()-2, amortYears)+1</f>
        <v>11</v>
      </c>
      <c r="E126" s="15">
        <f t="shared" si="1"/>
        <v>45</v>
      </c>
      <c r="F126" s="16">
        <f t="shared" si="2"/>
        <v>250275.6547</v>
      </c>
      <c r="G126" s="16">
        <f>IF(D126&lt;=mortTerm, -PMT(mortRate/12, mortTerm*12, C126)*12, 0)
</f>
        <v>22391.85655</v>
      </c>
      <c r="H126" s="16">
        <f>IF(D126&lt;=mortTerm, G126 - I126, 0)
</f>
        <v>16082.14061</v>
      </c>
      <c r="I126" s="16">
        <f>IF(D126&lt;=mortTerm, F126 - J126, 0)
</f>
        <v>6309.715942</v>
      </c>
      <c r="J126" s="16">
        <f>IF(D126&lt;=mortTerm,
   F126*(1+mortRate/12)^12 - (-PMT(mortRate/12, mortTerm*12, C126))*(((1+mortRate/12)^12 - 1)/(mortRate/12)),
   0
)
</f>
        <v>243965.9387</v>
      </c>
      <c r="K126" s="13">
        <f>IFERROR(__xludf.DUMMYFUNCTION("IF(A126="""","""",
   IF(F126&gt;0,
      INDEX(FILTER('RE Portfolio'!L$2:L2000,'RE Portfolio'!D$2:D2000=""BUY""), INT((ROW()-2)/amortYears)+1) - G126,
      INDEX(FILTER('RE Portfolio'!L$2:L2000,'RE Portfolio'!D$2:D2000=""BUY""), INT((ROW()-2)/amortYears)+1"&amp;")
   )
)
"),6893.917650029962)</f>
        <v>6893.91765</v>
      </c>
      <c r="L126" s="15">
        <f>IFERROR(__xludf.DUMMYFUNCTION("IF(A126="""","""",
  INDEX(FILTER('RE Portfolio'!C$2:C2000,'RE Portfolio'!D$2:D2000=""BUY""), INT((ROW()-2)/amortYears)+1)
  * (1 + VALUE(Assumptions!$B$11))^(D126-1)
)
"),582662.6329583805)</f>
        <v>582662.633</v>
      </c>
    </row>
    <row r="127">
      <c r="A127" s="15">
        <f>IFERROR(__xludf.DUMMYFUNCTION("IFERROR(INDEX(FILTER('RE Portfolio'!A$2:A2000,'RE Portfolio'!D$2:D2000=""BUY""), INT((ROW()-2)/amortYears)+1), )
"),4.0)</f>
        <v>4</v>
      </c>
      <c r="B127" s="15">
        <f>IFERROR(__xludf.DUMMYFUNCTION("IFERROR(INDEX(FILTER('RE Portfolio'!B$2:B2000,'RE Portfolio'!D$2:D2000=""BUY""), INT((ROW()-2)/amortYears)+1), )
"),35.0)</f>
        <v>35</v>
      </c>
      <c r="C127" s="15">
        <f>IFERROR(__xludf.DUMMYFUNCTION("IFERROR(INDEX(FILTER('RE Portfolio'!G$2:G2000,'RE Portfolio'!D$2:D2000=""BUY""), INT((ROW()-2)/amortYears)+1), )
"),295219.49800528475)</f>
        <v>295219.498</v>
      </c>
      <c r="D127" s="15">
        <f>MOD(ROW()-2, amortYears)+1</f>
        <v>12</v>
      </c>
      <c r="E127" s="15">
        <f t="shared" si="1"/>
        <v>46</v>
      </c>
      <c r="F127" s="16">
        <f t="shared" si="2"/>
        <v>243965.9387</v>
      </c>
      <c r="G127" s="16">
        <f>IF(D127&lt;=mortTerm, -PMT(mortRate/12, mortTerm*12, C127)*12, 0)
</f>
        <v>22391.85655</v>
      </c>
      <c r="H127" s="16">
        <f>IF(D127&lt;=mortTerm, G127 - I127, 0)
</f>
        <v>15659.56725</v>
      </c>
      <c r="I127" s="16">
        <f>IF(D127&lt;=mortTerm, F127 - J127, 0)
</f>
        <v>6732.289305</v>
      </c>
      <c r="J127" s="16">
        <f>IF(D127&lt;=mortTerm,
   F127*(1+mortRate/12)^12 - (-PMT(mortRate/12, mortTerm*12, C127))*(((1+mortRate/12)^12 - 1)/(mortRate/12)),
   0
)
</f>
        <v>237233.6494</v>
      </c>
      <c r="K127" s="13">
        <f>IFERROR(__xludf.DUMMYFUNCTION("IF(A127="""","""",
   IF(F127&gt;0,
      INDEX(FILTER('RE Portfolio'!L$2:L2000,'RE Portfolio'!D$2:D2000=""BUY""), INT((ROW()-2)/amortYears)+1) - G127,
      INDEX(FILTER('RE Portfolio'!L$2:L2000,'RE Portfolio'!D$2:D2000=""BUY""), INT((ROW()-2)/amortYears)+1"&amp;")
   )
)
"),6893.917650029962)</f>
        <v>6893.91765</v>
      </c>
      <c r="L127" s="15">
        <f>IFERROR(__xludf.DUMMYFUNCTION("IF(A127="""","""",
  INDEX(FILTER('RE Portfolio'!C$2:C2000,'RE Portfolio'!D$2:D2000=""BUY""), INT((ROW()-2)/amortYears)+1)
  * (1 + VALUE(Assumptions!$B$11))^(D127-1)
)
"),605969.1382767158)</f>
        <v>605969.1383</v>
      </c>
    </row>
    <row r="128">
      <c r="A128" s="15">
        <f>IFERROR(__xludf.DUMMYFUNCTION("IFERROR(INDEX(FILTER('RE Portfolio'!A$2:A2000,'RE Portfolio'!D$2:D2000=""BUY""), INT((ROW()-2)/amortYears)+1), )
"),4.0)</f>
        <v>4</v>
      </c>
      <c r="B128" s="15">
        <f>IFERROR(__xludf.DUMMYFUNCTION("IFERROR(INDEX(FILTER('RE Portfolio'!B$2:B2000,'RE Portfolio'!D$2:D2000=""BUY""), INT((ROW()-2)/amortYears)+1), )
"),35.0)</f>
        <v>35</v>
      </c>
      <c r="C128" s="15">
        <f>IFERROR(__xludf.DUMMYFUNCTION("IFERROR(INDEX(FILTER('RE Portfolio'!G$2:G2000,'RE Portfolio'!D$2:D2000=""BUY""), INT((ROW()-2)/amortYears)+1), )
"),295219.49800528475)</f>
        <v>295219.498</v>
      </c>
      <c r="D128" s="15">
        <f>MOD(ROW()-2, amortYears)+1</f>
        <v>13</v>
      </c>
      <c r="E128" s="15">
        <f t="shared" si="1"/>
        <v>47</v>
      </c>
      <c r="F128" s="16">
        <f t="shared" si="2"/>
        <v>237233.6494</v>
      </c>
      <c r="G128" s="16">
        <f>IF(D128&lt;=mortTerm, -PMT(mortRate/12, mortTerm*12, C128)*12, 0)
</f>
        <v>22391.85655</v>
      </c>
      <c r="H128" s="16">
        <f>IF(D128&lt;=mortTerm, G128 - I128, 0)
</f>
        <v>15208.69336</v>
      </c>
      <c r="I128" s="16">
        <f>IF(D128&lt;=mortTerm, F128 - J128, 0)
</f>
        <v>7183.163188</v>
      </c>
      <c r="J128" s="16">
        <f>IF(D128&lt;=mortTerm,
   F128*(1+mortRate/12)^12 - (-PMT(mortRate/12, mortTerm*12, C128))*(((1+mortRate/12)^12 - 1)/(mortRate/12)),
   0
)
</f>
        <v>230050.4862</v>
      </c>
      <c r="K128" s="13">
        <f>IFERROR(__xludf.DUMMYFUNCTION("IF(A128="""","""",
   IF(F128&gt;0,
      INDEX(FILTER('RE Portfolio'!L$2:L2000,'RE Portfolio'!D$2:D2000=""BUY""), INT((ROW()-2)/amortYears)+1) - G128,
      INDEX(FILTER('RE Portfolio'!L$2:L2000,'RE Portfolio'!D$2:D2000=""BUY""), INT((ROW()-2)/amortYears)+1"&amp;")
   )
)
"),6893.917650029962)</f>
        <v>6893.91765</v>
      </c>
      <c r="L128" s="15">
        <f>IFERROR(__xludf.DUMMYFUNCTION("IF(A128="""","""",
  INDEX(FILTER('RE Portfolio'!C$2:C2000,'RE Portfolio'!D$2:D2000=""BUY""), INT((ROW()-2)/amortYears)+1)
  * (1 + VALUE(Assumptions!$B$11))^(D128-1)
)
"),630207.9038077844)</f>
        <v>630207.9038</v>
      </c>
    </row>
    <row r="129">
      <c r="A129" s="15">
        <f>IFERROR(__xludf.DUMMYFUNCTION("IFERROR(INDEX(FILTER('RE Portfolio'!A$2:A2000,'RE Portfolio'!D$2:D2000=""BUY""), INT((ROW()-2)/amortYears)+1), )
"),4.0)</f>
        <v>4</v>
      </c>
      <c r="B129" s="15">
        <f>IFERROR(__xludf.DUMMYFUNCTION("IFERROR(INDEX(FILTER('RE Portfolio'!B$2:B2000,'RE Portfolio'!D$2:D2000=""BUY""), INT((ROW()-2)/amortYears)+1), )
"),35.0)</f>
        <v>35</v>
      </c>
      <c r="C129" s="15">
        <f>IFERROR(__xludf.DUMMYFUNCTION("IFERROR(INDEX(FILTER('RE Portfolio'!G$2:G2000,'RE Portfolio'!D$2:D2000=""BUY""), INT((ROW()-2)/amortYears)+1), )
"),295219.49800528475)</f>
        <v>295219.498</v>
      </c>
      <c r="D129" s="15">
        <f>MOD(ROW()-2, amortYears)+1</f>
        <v>14</v>
      </c>
      <c r="E129" s="15">
        <f t="shared" si="1"/>
        <v>48</v>
      </c>
      <c r="F129" s="16">
        <f t="shared" si="2"/>
        <v>230050.4862</v>
      </c>
      <c r="G129" s="16">
        <f>IF(D129&lt;=mortTerm, -PMT(mortRate/12, mortTerm*12, C129)*12, 0)
</f>
        <v>22391.85655</v>
      </c>
      <c r="H129" s="16">
        <f>IF(D129&lt;=mortTerm, G129 - I129, 0)
</f>
        <v>14727.62362</v>
      </c>
      <c r="I129" s="16">
        <f>IF(D129&lt;=mortTerm, F129 - J129, 0)
</f>
        <v>7664.232929</v>
      </c>
      <c r="J129" s="16">
        <f>IF(D129&lt;=mortTerm,
   F129*(1+mortRate/12)^12 - (-PMT(mortRate/12, mortTerm*12, C129))*(((1+mortRate/12)^12 - 1)/(mortRate/12)),
   0
)
</f>
        <v>222386.2533</v>
      </c>
      <c r="K129" s="13">
        <f>IFERROR(__xludf.DUMMYFUNCTION("IF(A129="""","""",
   IF(F129&gt;0,
      INDEX(FILTER('RE Portfolio'!L$2:L2000,'RE Portfolio'!D$2:D2000=""BUY""), INT((ROW()-2)/amortYears)+1) - G129,
      INDEX(FILTER('RE Portfolio'!L$2:L2000,'RE Portfolio'!D$2:D2000=""BUY""), INT((ROW()-2)/amortYears)+1"&amp;")
   )
)
"),6893.917650029962)</f>
        <v>6893.91765</v>
      </c>
      <c r="L129" s="15">
        <f>IFERROR(__xludf.DUMMYFUNCTION("IF(A129="""","""",
  INDEX(FILTER('RE Portfolio'!C$2:C2000,'RE Portfolio'!D$2:D2000=""BUY""), INT((ROW()-2)/amortYears)+1)
  * (1 + VALUE(Assumptions!$B$11))^(D129-1)
)
"),655416.2199600958)</f>
        <v>655416.22</v>
      </c>
    </row>
    <row r="130">
      <c r="A130" s="15">
        <f>IFERROR(__xludf.DUMMYFUNCTION("IFERROR(INDEX(FILTER('RE Portfolio'!A$2:A2000,'RE Portfolio'!D$2:D2000=""BUY""), INT((ROW()-2)/amortYears)+1), )
"),4.0)</f>
        <v>4</v>
      </c>
      <c r="B130" s="15">
        <f>IFERROR(__xludf.DUMMYFUNCTION("IFERROR(INDEX(FILTER('RE Portfolio'!B$2:B2000,'RE Portfolio'!D$2:D2000=""BUY""), INT((ROW()-2)/amortYears)+1), )
"),35.0)</f>
        <v>35</v>
      </c>
      <c r="C130" s="15">
        <f>IFERROR(__xludf.DUMMYFUNCTION("IFERROR(INDEX(FILTER('RE Portfolio'!G$2:G2000,'RE Portfolio'!D$2:D2000=""BUY""), INT((ROW()-2)/amortYears)+1), )
"),295219.49800528475)</f>
        <v>295219.498</v>
      </c>
      <c r="D130" s="15">
        <f>MOD(ROW()-2, amortYears)+1</f>
        <v>15</v>
      </c>
      <c r="E130" s="15">
        <f t="shared" si="1"/>
        <v>49</v>
      </c>
      <c r="F130" s="16">
        <f t="shared" si="2"/>
        <v>222386.2533</v>
      </c>
      <c r="G130" s="16">
        <f>IF(D130&lt;=mortTerm, -PMT(mortRate/12, mortTerm*12, C130)*12, 0)
</f>
        <v>22391.85655</v>
      </c>
      <c r="H130" s="16">
        <f>IF(D130&lt;=mortTerm, G130 - I130, 0)
</f>
        <v>14214.33575</v>
      </c>
      <c r="I130" s="16">
        <f>IF(D130&lt;=mortTerm, F130 - J130, 0)
</f>
        <v>8177.520803</v>
      </c>
      <c r="J130" s="16">
        <f>IF(D130&lt;=mortTerm,
   F130*(1+mortRate/12)^12 - (-PMT(mortRate/12, mortTerm*12, C130))*(((1+mortRate/12)^12 - 1)/(mortRate/12)),
   0
)
</f>
        <v>214208.7325</v>
      </c>
      <c r="K130" s="13">
        <f>IFERROR(__xludf.DUMMYFUNCTION("IF(A130="""","""",
   IF(F130&gt;0,
      INDEX(FILTER('RE Portfolio'!L$2:L2000,'RE Portfolio'!D$2:D2000=""BUY""), INT((ROW()-2)/amortYears)+1) - G130,
      INDEX(FILTER('RE Portfolio'!L$2:L2000,'RE Portfolio'!D$2:D2000=""BUY""), INT((ROW()-2)/amortYears)+1"&amp;")
   )
)
"),6893.917650029962)</f>
        <v>6893.91765</v>
      </c>
      <c r="L130" s="15">
        <f>IFERROR(__xludf.DUMMYFUNCTION("IF(A130="""","""",
  INDEX(FILTER('RE Portfolio'!C$2:C2000,'RE Portfolio'!D$2:D2000=""BUY""), INT((ROW()-2)/amortYears)+1)
  * (1 + VALUE(Assumptions!$B$11))^(D130-1)
)
"),681632.8687584996)</f>
        <v>681632.8688</v>
      </c>
    </row>
    <row r="131">
      <c r="A131" s="15">
        <f>IFERROR(__xludf.DUMMYFUNCTION("IFERROR(INDEX(FILTER('RE Portfolio'!A$2:A2000,'RE Portfolio'!D$2:D2000=""BUY""), INT((ROW()-2)/amortYears)+1), )
"),4.0)</f>
        <v>4</v>
      </c>
      <c r="B131" s="15">
        <f>IFERROR(__xludf.DUMMYFUNCTION("IFERROR(INDEX(FILTER('RE Portfolio'!B$2:B2000,'RE Portfolio'!D$2:D2000=""BUY""), INT((ROW()-2)/amortYears)+1), )
"),35.0)</f>
        <v>35</v>
      </c>
      <c r="C131" s="15">
        <f>IFERROR(__xludf.DUMMYFUNCTION("IFERROR(INDEX(FILTER('RE Portfolio'!G$2:G2000,'RE Portfolio'!D$2:D2000=""BUY""), INT((ROW()-2)/amortYears)+1), )
"),295219.49800528475)</f>
        <v>295219.498</v>
      </c>
      <c r="D131" s="15">
        <f>MOD(ROW()-2, amortYears)+1</f>
        <v>16</v>
      </c>
      <c r="E131" s="15">
        <f t="shared" si="1"/>
        <v>50</v>
      </c>
      <c r="F131" s="16">
        <f t="shared" si="2"/>
        <v>214208.7325</v>
      </c>
      <c r="G131" s="16">
        <f>IF(D131&lt;=mortTerm, -PMT(mortRate/12, mortTerm*12, C131)*12, 0)
</f>
        <v>22391.85655</v>
      </c>
      <c r="H131" s="16">
        <f>IF(D131&lt;=mortTerm, G131 - I131, 0)
</f>
        <v>13666.67204</v>
      </c>
      <c r="I131" s="16">
        <f>IF(D131&lt;=mortTerm, F131 - J131, 0)
</f>
        <v>8725.184516</v>
      </c>
      <c r="J131" s="16">
        <f>IF(D131&lt;=mortTerm,
   F131*(1+mortRate/12)^12 - (-PMT(mortRate/12, mortTerm*12, C131))*(((1+mortRate/12)^12 - 1)/(mortRate/12)),
   0
)
</f>
        <v>205483.548</v>
      </c>
      <c r="K131" s="13">
        <f>IFERROR(__xludf.DUMMYFUNCTION("IF(A131="""","""",
   IF(F131&gt;0,
      INDEX(FILTER('RE Portfolio'!L$2:L2000,'RE Portfolio'!D$2:D2000=""BUY""), INT((ROW()-2)/amortYears)+1) - G131,
      INDEX(FILTER('RE Portfolio'!L$2:L2000,'RE Portfolio'!D$2:D2000=""BUY""), INT((ROW()-2)/amortYears)+1"&amp;")
   )
)
"),6893.917650029962)</f>
        <v>6893.91765</v>
      </c>
      <c r="L131" s="15">
        <f>IFERROR(__xludf.DUMMYFUNCTION("IF(A131="""","""",
  INDEX(FILTER('RE Portfolio'!C$2:C2000,'RE Portfolio'!D$2:D2000=""BUY""), INT((ROW()-2)/amortYears)+1)
  * (1 + VALUE(Assumptions!$B$11))^(D131-1)
)
"),708898.1835088396)</f>
        <v>708898.1835</v>
      </c>
    </row>
    <row r="132">
      <c r="A132" s="15">
        <f>IFERROR(__xludf.DUMMYFUNCTION("IFERROR(INDEX(FILTER('RE Portfolio'!A$2:A2000,'RE Portfolio'!D$2:D2000=""BUY""), INT((ROW()-2)/amortYears)+1), )
"),4.0)</f>
        <v>4</v>
      </c>
      <c r="B132" s="15">
        <f>IFERROR(__xludf.DUMMYFUNCTION("IFERROR(INDEX(FILTER('RE Portfolio'!B$2:B2000,'RE Portfolio'!D$2:D2000=""BUY""), INT((ROW()-2)/amortYears)+1), )
"),35.0)</f>
        <v>35</v>
      </c>
      <c r="C132" s="15">
        <f>IFERROR(__xludf.DUMMYFUNCTION("IFERROR(INDEX(FILTER('RE Portfolio'!G$2:G2000,'RE Portfolio'!D$2:D2000=""BUY""), INT((ROW()-2)/amortYears)+1), )
"),295219.49800528475)</f>
        <v>295219.498</v>
      </c>
      <c r="D132" s="15">
        <f>MOD(ROW()-2, amortYears)+1</f>
        <v>17</v>
      </c>
      <c r="E132" s="15">
        <f t="shared" si="1"/>
        <v>51</v>
      </c>
      <c r="F132" s="16">
        <f t="shared" si="2"/>
        <v>205483.548</v>
      </c>
      <c r="G132" s="16">
        <f>IF(D132&lt;=mortTerm, -PMT(mortRate/12, mortTerm*12, C132)*12, 0)
</f>
        <v>22391.85655</v>
      </c>
      <c r="H132" s="16">
        <f>IF(D132&lt;=mortTerm, G132 - I132, 0)
</f>
        <v>13082.33027</v>
      </c>
      <c r="I132" s="16">
        <f>IF(D132&lt;=mortTerm, F132 - J132, 0)
</f>
        <v>9309.526282</v>
      </c>
      <c r="J132" s="16">
        <f>IF(D132&lt;=mortTerm,
   F132*(1+mortRate/12)^12 - (-PMT(mortRate/12, mortTerm*12, C132))*(((1+mortRate/12)^12 - 1)/(mortRate/12)),
   0
)
</f>
        <v>196174.0217</v>
      </c>
      <c r="K132" s="13">
        <f>IFERROR(__xludf.DUMMYFUNCTION("IF(A132="""","""",
   IF(F132&gt;0,
      INDEX(FILTER('RE Portfolio'!L$2:L2000,'RE Portfolio'!D$2:D2000=""BUY""), INT((ROW()-2)/amortYears)+1) - G132,
      INDEX(FILTER('RE Portfolio'!L$2:L2000,'RE Portfolio'!D$2:D2000=""BUY""), INT((ROW()-2)/amortYears)+1"&amp;")
   )
)
"),6893.917650029962)</f>
        <v>6893.91765</v>
      </c>
      <c r="L132" s="15">
        <f>IFERROR(__xludf.DUMMYFUNCTION("IF(A132="""","""",
  INDEX(FILTER('RE Portfolio'!C$2:C2000,'RE Portfolio'!D$2:D2000=""BUY""), INT((ROW()-2)/amortYears)+1)
  * (1 + VALUE(Assumptions!$B$11))^(D132-1)
)
"),737254.1108491932)</f>
        <v>737254.1108</v>
      </c>
    </row>
    <row r="133">
      <c r="A133" s="15">
        <f>IFERROR(__xludf.DUMMYFUNCTION("IFERROR(INDEX(FILTER('RE Portfolio'!A$2:A2000,'RE Portfolio'!D$2:D2000=""BUY""), INT((ROW()-2)/amortYears)+1), )
"),4.0)</f>
        <v>4</v>
      </c>
      <c r="B133" s="15">
        <f>IFERROR(__xludf.DUMMYFUNCTION("IFERROR(INDEX(FILTER('RE Portfolio'!B$2:B2000,'RE Portfolio'!D$2:D2000=""BUY""), INT((ROW()-2)/amortYears)+1), )
"),35.0)</f>
        <v>35</v>
      </c>
      <c r="C133" s="15">
        <f>IFERROR(__xludf.DUMMYFUNCTION("IFERROR(INDEX(FILTER('RE Portfolio'!G$2:G2000,'RE Portfolio'!D$2:D2000=""BUY""), INT((ROW()-2)/amortYears)+1), )
"),295219.49800528475)</f>
        <v>295219.498</v>
      </c>
      <c r="D133" s="15">
        <f>MOD(ROW()-2, amortYears)+1</f>
        <v>18</v>
      </c>
      <c r="E133" s="15">
        <f t="shared" si="1"/>
        <v>52</v>
      </c>
      <c r="F133" s="16">
        <f t="shared" si="2"/>
        <v>196174.0217</v>
      </c>
      <c r="G133" s="16">
        <f>IF(D133&lt;=mortTerm, -PMT(mortRate/12, mortTerm*12, C133)*12, 0)
</f>
        <v>22391.85655</v>
      </c>
      <c r="H133" s="16">
        <f>IF(D133&lt;=mortTerm, G133 - I133, 0)
</f>
        <v>12458.85405</v>
      </c>
      <c r="I133" s="16">
        <f>IF(D133&lt;=mortTerm, F133 - J133, 0)
</f>
        <v>9933.002498</v>
      </c>
      <c r="J133" s="16">
        <f>IF(D133&lt;=mortTerm,
   F133*(1+mortRate/12)^12 - (-PMT(mortRate/12, mortTerm*12, C133))*(((1+mortRate/12)^12 - 1)/(mortRate/12)),
   0
)
</f>
        <v>186241.0192</v>
      </c>
      <c r="K133" s="13">
        <f>IFERROR(__xludf.DUMMYFUNCTION("IF(A133="""","""",
   IF(F133&gt;0,
      INDEX(FILTER('RE Portfolio'!L$2:L2000,'RE Portfolio'!D$2:D2000=""BUY""), INT((ROW()-2)/amortYears)+1) - G133,
      INDEX(FILTER('RE Portfolio'!L$2:L2000,'RE Portfolio'!D$2:D2000=""BUY""), INT((ROW()-2)/amortYears)+1"&amp;")
   )
)
"),6893.917650029962)</f>
        <v>6893.91765</v>
      </c>
      <c r="L133" s="15">
        <f>IFERROR(__xludf.DUMMYFUNCTION("IF(A133="""","""",
  INDEX(FILTER('RE Portfolio'!C$2:C2000,'RE Portfolio'!D$2:D2000=""BUY""), INT((ROW()-2)/amortYears)+1)
  * (1 + VALUE(Assumptions!$B$11))^(D133-1)
)
"),766744.275283161)</f>
        <v>766744.2753</v>
      </c>
    </row>
    <row r="134">
      <c r="A134" s="15">
        <f>IFERROR(__xludf.DUMMYFUNCTION("IFERROR(INDEX(FILTER('RE Portfolio'!A$2:A2000,'RE Portfolio'!D$2:D2000=""BUY""), INT((ROW()-2)/amortYears)+1), )
"),4.0)</f>
        <v>4</v>
      </c>
      <c r="B134" s="15">
        <f>IFERROR(__xludf.DUMMYFUNCTION("IFERROR(INDEX(FILTER('RE Portfolio'!B$2:B2000,'RE Portfolio'!D$2:D2000=""BUY""), INT((ROW()-2)/amortYears)+1), )
"),35.0)</f>
        <v>35</v>
      </c>
      <c r="C134" s="15">
        <f>IFERROR(__xludf.DUMMYFUNCTION("IFERROR(INDEX(FILTER('RE Portfolio'!G$2:G2000,'RE Portfolio'!D$2:D2000=""BUY""), INT((ROW()-2)/amortYears)+1), )
"),295219.49800528475)</f>
        <v>295219.498</v>
      </c>
      <c r="D134" s="15">
        <f>MOD(ROW()-2, amortYears)+1</f>
        <v>19</v>
      </c>
      <c r="E134" s="15">
        <f t="shared" si="1"/>
        <v>53</v>
      </c>
      <c r="F134" s="16">
        <f t="shared" si="2"/>
        <v>186241.0192</v>
      </c>
      <c r="G134" s="16">
        <f>IF(D134&lt;=mortTerm, -PMT(mortRate/12, mortTerm*12, C134)*12, 0)
</f>
        <v>22391.85655</v>
      </c>
      <c r="H134" s="16">
        <f>IF(D134&lt;=mortTerm, G134 - I134, 0)
</f>
        <v>11793.62248</v>
      </c>
      <c r="I134" s="16">
        <f>IF(D134&lt;=mortTerm, F134 - J134, 0)
</f>
        <v>10598.23407</v>
      </c>
      <c r="J134" s="16">
        <f>IF(D134&lt;=mortTerm,
   F134*(1+mortRate/12)^12 - (-PMT(mortRate/12, mortTerm*12, C134))*(((1+mortRate/12)^12 - 1)/(mortRate/12)),
   0
)
</f>
        <v>175642.7851</v>
      </c>
      <c r="K134" s="13">
        <f>IFERROR(__xludf.DUMMYFUNCTION("IF(A134="""","""",
   IF(F134&gt;0,
      INDEX(FILTER('RE Portfolio'!L$2:L2000,'RE Portfolio'!D$2:D2000=""BUY""), INT((ROW()-2)/amortYears)+1) - G134,
      INDEX(FILTER('RE Portfolio'!L$2:L2000,'RE Portfolio'!D$2:D2000=""BUY""), INT((ROW()-2)/amortYears)+1"&amp;")
   )
)
"),6893.917650029962)</f>
        <v>6893.91765</v>
      </c>
      <c r="L134" s="15">
        <f>IFERROR(__xludf.DUMMYFUNCTION("IF(A134="""","""",
  INDEX(FILTER('RE Portfolio'!C$2:C2000,'RE Portfolio'!D$2:D2000=""BUY""), INT((ROW()-2)/amortYears)+1)
  * (1 + VALUE(Assumptions!$B$11))^(D134-1)
)
"),797414.0462944875)</f>
        <v>797414.0463</v>
      </c>
    </row>
    <row r="135">
      <c r="A135" s="15">
        <f>IFERROR(__xludf.DUMMYFUNCTION("IFERROR(INDEX(FILTER('RE Portfolio'!A$2:A2000,'RE Portfolio'!D$2:D2000=""BUY""), INT((ROW()-2)/amortYears)+1), )
"),4.0)</f>
        <v>4</v>
      </c>
      <c r="B135" s="15">
        <f>IFERROR(__xludf.DUMMYFUNCTION("IFERROR(INDEX(FILTER('RE Portfolio'!B$2:B2000,'RE Portfolio'!D$2:D2000=""BUY""), INT((ROW()-2)/amortYears)+1), )
"),35.0)</f>
        <v>35</v>
      </c>
      <c r="C135" s="15">
        <f>IFERROR(__xludf.DUMMYFUNCTION("IFERROR(INDEX(FILTER('RE Portfolio'!G$2:G2000,'RE Portfolio'!D$2:D2000=""BUY""), INT((ROW()-2)/amortYears)+1), )
"),295219.49800528475)</f>
        <v>295219.498</v>
      </c>
      <c r="D135" s="15">
        <f>MOD(ROW()-2, amortYears)+1</f>
        <v>20</v>
      </c>
      <c r="E135" s="15">
        <f t="shared" si="1"/>
        <v>54</v>
      </c>
      <c r="F135" s="16">
        <f t="shared" si="2"/>
        <v>175642.7851</v>
      </c>
      <c r="G135" s="16">
        <f>IF(D135&lt;=mortTerm, -PMT(mortRate/12, mortTerm*12, C135)*12, 0)
</f>
        <v>22391.85655</v>
      </c>
      <c r="H135" s="16">
        <f>IF(D135&lt;=mortTerm, G135 - I135, 0)
</f>
        <v>11083.83912</v>
      </c>
      <c r="I135" s="16">
        <f>IF(D135&lt;=mortTerm, F135 - J135, 0)
</f>
        <v>11308.01744</v>
      </c>
      <c r="J135" s="16">
        <f>IF(D135&lt;=mortTerm,
   F135*(1+mortRate/12)^12 - (-PMT(mortRate/12, mortTerm*12, C135))*(((1+mortRate/12)^12 - 1)/(mortRate/12)),
   0
)
</f>
        <v>164334.7677</v>
      </c>
      <c r="K135" s="13">
        <f>IFERROR(__xludf.DUMMYFUNCTION("IF(A135="""","""",
   IF(F135&gt;0,
      INDEX(FILTER('RE Portfolio'!L$2:L2000,'RE Portfolio'!D$2:D2000=""BUY""), INT((ROW()-2)/amortYears)+1) - G135,
      INDEX(FILTER('RE Portfolio'!L$2:L2000,'RE Portfolio'!D$2:D2000=""BUY""), INT((ROW()-2)/amortYears)+1"&amp;")
   )
)
"),6893.917650029962)</f>
        <v>6893.91765</v>
      </c>
      <c r="L135" s="15">
        <f>IFERROR(__xludf.DUMMYFUNCTION("IF(A135="""","""",
  INDEX(FILTER('RE Portfolio'!C$2:C2000,'RE Portfolio'!D$2:D2000=""BUY""), INT((ROW()-2)/amortYears)+1)
  * (1 + VALUE(Assumptions!$B$11))^(D135-1)
)
"),829310.608146267)</f>
        <v>829310.6081</v>
      </c>
    </row>
    <row r="136">
      <c r="A136" s="15">
        <f>IFERROR(__xludf.DUMMYFUNCTION("IFERROR(INDEX(FILTER('RE Portfolio'!A$2:A2000,'RE Portfolio'!D$2:D2000=""BUY""), INT((ROW()-2)/amortYears)+1), )
"),4.0)</f>
        <v>4</v>
      </c>
      <c r="B136" s="15">
        <f>IFERROR(__xludf.DUMMYFUNCTION("IFERROR(INDEX(FILTER('RE Portfolio'!B$2:B2000,'RE Portfolio'!D$2:D2000=""BUY""), INT((ROW()-2)/amortYears)+1), )
"),35.0)</f>
        <v>35</v>
      </c>
      <c r="C136" s="15">
        <f>IFERROR(__xludf.DUMMYFUNCTION("IFERROR(INDEX(FILTER('RE Portfolio'!G$2:G2000,'RE Portfolio'!D$2:D2000=""BUY""), INT((ROW()-2)/amortYears)+1), )
"),295219.49800528475)</f>
        <v>295219.498</v>
      </c>
      <c r="D136" s="15">
        <f>MOD(ROW()-2, amortYears)+1</f>
        <v>21</v>
      </c>
      <c r="E136" s="15">
        <f t="shared" si="1"/>
        <v>55</v>
      </c>
      <c r="F136" s="16">
        <f t="shared" si="2"/>
        <v>164334.7677</v>
      </c>
      <c r="G136" s="16">
        <f>IF(D136&lt;=mortTerm, -PMT(mortRate/12, mortTerm*12, C136)*12, 0)
</f>
        <v>22391.85655</v>
      </c>
      <c r="H136" s="16">
        <f>IF(D136&lt;=mortTerm, G136 - I136, 0)
</f>
        <v>10326.52025</v>
      </c>
      <c r="I136" s="16">
        <f>IF(D136&lt;=mortTerm, F136 - J136, 0)
</f>
        <v>12065.33631</v>
      </c>
      <c r="J136" s="16">
        <f>IF(D136&lt;=mortTerm,
   F136*(1+mortRate/12)^12 - (-PMT(mortRate/12, mortTerm*12, C136))*(((1+mortRate/12)^12 - 1)/(mortRate/12)),
   0
)
</f>
        <v>152269.4314</v>
      </c>
      <c r="K136" s="13">
        <f>IFERROR(__xludf.DUMMYFUNCTION("IF(A136="""","""",
   IF(F136&gt;0,
      INDEX(FILTER('RE Portfolio'!L$2:L2000,'RE Portfolio'!D$2:D2000=""BUY""), INT((ROW()-2)/amortYears)+1) - G136,
      INDEX(FILTER('RE Portfolio'!L$2:L2000,'RE Portfolio'!D$2:D2000=""BUY""), INT((ROW()-2)/amortYears)+1"&amp;")
   )
)
"),6893.917650029962)</f>
        <v>6893.91765</v>
      </c>
      <c r="L136" s="15">
        <f>IFERROR(__xludf.DUMMYFUNCTION("IF(A136="""","""",
  INDEX(FILTER('RE Portfolio'!C$2:C2000,'RE Portfolio'!D$2:D2000=""BUY""), INT((ROW()-2)/amortYears)+1)
  * (1 + VALUE(Assumptions!$B$11))^(D136-1)
)
"),862483.0324721177)</f>
        <v>862483.0325</v>
      </c>
    </row>
    <row r="137">
      <c r="A137" s="15">
        <f>IFERROR(__xludf.DUMMYFUNCTION("IFERROR(INDEX(FILTER('RE Portfolio'!A$2:A2000,'RE Portfolio'!D$2:D2000=""BUY""), INT((ROW()-2)/amortYears)+1), )
"),4.0)</f>
        <v>4</v>
      </c>
      <c r="B137" s="15">
        <f>IFERROR(__xludf.DUMMYFUNCTION("IFERROR(INDEX(FILTER('RE Portfolio'!B$2:B2000,'RE Portfolio'!D$2:D2000=""BUY""), INT((ROW()-2)/amortYears)+1), )
"),35.0)</f>
        <v>35</v>
      </c>
      <c r="C137" s="15">
        <f>IFERROR(__xludf.DUMMYFUNCTION("IFERROR(INDEX(FILTER('RE Portfolio'!G$2:G2000,'RE Portfolio'!D$2:D2000=""BUY""), INT((ROW()-2)/amortYears)+1), )
"),295219.49800528475)</f>
        <v>295219.498</v>
      </c>
      <c r="D137" s="15">
        <f>MOD(ROW()-2, amortYears)+1</f>
        <v>22</v>
      </c>
      <c r="E137" s="15">
        <f t="shared" si="1"/>
        <v>56</v>
      </c>
      <c r="F137" s="16">
        <f t="shared" si="2"/>
        <v>152269.4314</v>
      </c>
      <c r="G137" s="16">
        <f>IF(D137&lt;=mortTerm, -PMT(mortRate/12, mortTerm*12, C137)*12, 0)
</f>
        <v>22391.85655</v>
      </c>
      <c r="H137" s="16">
        <f>IF(D137&lt;=mortTerm, G137 - I137, 0)
</f>
        <v>9518.482329</v>
      </c>
      <c r="I137" s="16">
        <f>IF(D137&lt;=mortTerm, F137 - J137, 0)
</f>
        <v>12873.37422</v>
      </c>
      <c r="J137" s="16">
        <f>IF(D137&lt;=mortTerm,
   F137*(1+mortRate/12)^12 - (-PMT(mortRate/12, mortTerm*12, C137))*(((1+mortRate/12)^12 - 1)/(mortRate/12)),
   0
)
</f>
        <v>139396.0572</v>
      </c>
      <c r="K137" s="13">
        <f>IFERROR(__xludf.DUMMYFUNCTION("IF(A137="""","""",
   IF(F137&gt;0,
      INDEX(FILTER('RE Portfolio'!L$2:L2000,'RE Portfolio'!D$2:D2000=""BUY""), INT((ROW()-2)/amortYears)+1) - G137,
      INDEX(FILTER('RE Portfolio'!L$2:L2000,'RE Portfolio'!D$2:D2000=""BUY""), INT((ROW()-2)/amortYears)+1"&amp;")
   )
)
"),6893.917650029962)</f>
        <v>6893.91765</v>
      </c>
      <c r="L137" s="15">
        <f>IFERROR(__xludf.DUMMYFUNCTION("IF(A137="""","""",
  INDEX(FILTER('RE Portfolio'!C$2:C2000,'RE Portfolio'!D$2:D2000=""BUY""), INT((ROW()-2)/amortYears)+1)
  * (1 + VALUE(Assumptions!$B$11))^(D137-1)
)
"),896982.3537710025)</f>
        <v>896982.3538</v>
      </c>
    </row>
    <row r="138">
      <c r="A138" s="15">
        <f>IFERROR(__xludf.DUMMYFUNCTION("IFERROR(INDEX(FILTER('RE Portfolio'!A$2:A2000,'RE Portfolio'!D$2:D2000=""BUY""), INT((ROW()-2)/amortYears)+1), )
"),4.0)</f>
        <v>4</v>
      </c>
      <c r="B138" s="15">
        <f>IFERROR(__xludf.DUMMYFUNCTION("IFERROR(INDEX(FILTER('RE Portfolio'!B$2:B2000,'RE Portfolio'!D$2:D2000=""BUY""), INT((ROW()-2)/amortYears)+1), )
"),35.0)</f>
        <v>35</v>
      </c>
      <c r="C138" s="15">
        <f>IFERROR(__xludf.DUMMYFUNCTION("IFERROR(INDEX(FILTER('RE Portfolio'!G$2:G2000,'RE Portfolio'!D$2:D2000=""BUY""), INT((ROW()-2)/amortYears)+1), )
"),295219.49800528475)</f>
        <v>295219.498</v>
      </c>
      <c r="D138" s="15">
        <f>MOD(ROW()-2, amortYears)+1</f>
        <v>23</v>
      </c>
      <c r="E138" s="15">
        <f t="shared" si="1"/>
        <v>57</v>
      </c>
      <c r="F138" s="16">
        <f t="shared" si="2"/>
        <v>139396.0572</v>
      </c>
      <c r="G138" s="16">
        <f>IF(D138&lt;=mortTerm, -PMT(mortRate/12, mortTerm*12, C138)*12, 0)
</f>
        <v>22391.85655</v>
      </c>
      <c r="H138" s="16">
        <f>IF(D138&lt;=mortTerm, G138 - I138, 0)
</f>
        <v>8656.328616</v>
      </c>
      <c r="I138" s="16">
        <f>IF(D138&lt;=mortTerm, F138 - J138, 0)
</f>
        <v>13735.52794</v>
      </c>
      <c r="J138" s="16">
        <f>IF(D138&lt;=mortTerm,
   F138*(1+mortRate/12)^12 - (-PMT(mortRate/12, mortTerm*12, C138))*(((1+mortRate/12)^12 - 1)/(mortRate/12)),
   0
)
</f>
        <v>125660.5292</v>
      </c>
      <c r="K138" s="13">
        <f>IFERROR(__xludf.DUMMYFUNCTION("IF(A138="""","""",
   IF(F138&gt;0,
      INDEX(FILTER('RE Portfolio'!L$2:L2000,'RE Portfolio'!D$2:D2000=""BUY""), INT((ROW()-2)/amortYears)+1) - G138,
      INDEX(FILTER('RE Portfolio'!L$2:L2000,'RE Portfolio'!D$2:D2000=""BUY""), INT((ROW()-2)/amortYears)+1"&amp;")
   )
)
"),6893.917650029962)</f>
        <v>6893.91765</v>
      </c>
      <c r="L138" s="15">
        <f>IFERROR(__xludf.DUMMYFUNCTION("IF(A138="""","""",
  INDEX(FILTER('RE Portfolio'!C$2:C2000,'RE Portfolio'!D$2:D2000=""BUY""), INT((ROW()-2)/amortYears)+1)
  * (1 + VALUE(Assumptions!$B$11))^(D138-1)
)
"),932861.6479218425)</f>
        <v>932861.6479</v>
      </c>
    </row>
    <row r="139">
      <c r="A139" s="15">
        <f>IFERROR(__xludf.DUMMYFUNCTION("IFERROR(INDEX(FILTER('RE Portfolio'!A$2:A2000,'RE Portfolio'!D$2:D2000=""BUY""), INT((ROW()-2)/amortYears)+1), )
"),4.0)</f>
        <v>4</v>
      </c>
      <c r="B139" s="15">
        <f>IFERROR(__xludf.DUMMYFUNCTION("IFERROR(INDEX(FILTER('RE Portfolio'!B$2:B2000,'RE Portfolio'!D$2:D2000=""BUY""), INT((ROW()-2)/amortYears)+1), )
"),35.0)</f>
        <v>35</v>
      </c>
      <c r="C139" s="15">
        <f>IFERROR(__xludf.DUMMYFUNCTION("IFERROR(INDEX(FILTER('RE Portfolio'!G$2:G2000,'RE Portfolio'!D$2:D2000=""BUY""), INT((ROW()-2)/amortYears)+1), )
"),295219.49800528475)</f>
        <v>295219.498</v>
      </c>
      <c r="D139" s="15">
        <f>MOD(ROW()-2, amortYears)+1</f>
        <v>24</v>
      </c>
      <c r="E139" s="15">
        <f t="shared" si="1"/>
        <v>58</v>
      </c>
      <c r="F139" s="16">
        <f t="shared" si="2"/>
        <v>125660.5292</v>
      </c>
      <c r="G139" s="16">
        <f>IF(D139&lt;=mortTerm, -PMT(mortRate/12, mortTerm*12, C139)*12, 0)
</f>
        <v>22391.85655</v>
      </c>
      <c r="H139" s="16">
        <f>IF(D139&lt;=mortTerm, G139 - I139, 0)
</f>
        <v>7736.434872</v>
      </c>
      <c r="I139" s="16">
        <f>IF(D139&lt;=mortTerm, F139 - J139, 0)
</f>
        <v>14655.42168</v>
      </c>
      <c r="J139" s="16">
        <f>IF(D139&lt;=mortTerm,
   F139*(1+mortRate/12)^12 - (-PMT(mortRate/12, mortTerm*12, C139))*(((1+mortRate/12)^12 - 1)/(mortRate/12)),
   0
)
</f>
        <v>111005.1076</v>
      </c>
      <c r="K139" s="13">
        <f>IFERROR(__xludf.DUMMYFUNCTION("IF(A139="""","""",
   IF(F139&gt;0,
      INDEX(FILTER('RE Portfolio'!L$2:L2000,'RE Portfolio'!D$2:D2000=""BUY""), INT((ROW()-2)/amortYears)+1) - G139,
      INDEX(FILTER('RE Portfolio'!L$2:L2000,'RE Portfolio'!D$2:D2000=""BUY""), INT((ROW()-2)/amortYears)+1"&amp;")
   )
)
"),6893.917650029962)</f>
        <v>6893.91765</v>
      </c>
      <c r="L139" s="15">
        <f>IFERROR(__xludf.DUMMYFUNCTION("IF(A139="""","""",
  INDEX(FILTER('RE Portfolio'!C$2:C2000,'RE Portfolio'!D$2:D2000=""BUY""), INT((ROW()-2)/amortYears)+1)
  * (1 + VALUE(Assumptions!$B$11))^(D139-1)
)
"),970176.1138387163)</f>
        <v>970176.1138</v>
      </c>
    </row>
    <row r="140">
      <c r="A140" s="15">
        <f>IFERROR(__xludf.DUMMYFUNCTION("IFERROR(INDEX(FILTER('RE Portfolio'!A$2:A2000,'RE Portfolio'!D$2:D2000=""BUY""), INT((ROW()-2)/amortYears)+1), )
"),4.0)</f>
        <v>4</v>
      </c>
      <c r="B140" s="15">
        <f>IFERROR(__xludf.DUMMYFUNCTION("IFERROR(INDEX(FILTER('RE Portfolio'!B$2:B2000,'RE Portfolio'!D$2:D2000=""BUY""), INT((ROW()-2)/amortYears)+1), )
"),35.0)</f>
        <v>35</v>
      </c>
      <c r="C140" s="15">
        <f>IFERROR(__xludf.DUMMYFUNCTION("IFERROR(INDEX(FILTER('RE Portfolio'!G$2:G2000,'RE Portfolio'!D$2:D2000=""BUY""), INT((ROW()-2)/amortYears)+1), )
"),295219.49800528475)</f>
        <v>295219.498</v>
      </c>
      <c r="D140" s="15">
        <f>MOD(ROW()-2, amortYears)+1</f>
        <v>25</v>
      </c>
      <c r="E140" s="15">
        <f t="shared" si="1"/>
        <v>59</v>
      </c>
      <c r="F140" s="16">
        <f t="shared" si="2"/>
        <v>111005.1076</v>
      </c>
      <c r="G140" s="16">
        <f>IF(D140&lt;=mortTerm, -PMT(mortRate/12, mortTerm*12, C140)*12, 0)
</f>
        <v>22391.85655</v>
      </c>
      <c r="H140" s="16">
        <f>IF(D140&lt;=mortTerm, G140 - I140, 0)
</f>
        <v>6754.93414</v>
      </c>
      <c r="I140" s="16">
        <f>IF(D140&lt;=mortTerm, F140 - J140, 0)
</f>
        <v>15636.92241</v>
      </c>
      <c r="J140" s="16">
        <f>IF(D140&lt;=mortTerm,
   F140*(1+mortRate/12)^12 - (-PMT(mortRate/12, mortTerm*12, C140))*(((1+mortRate/12)^12 - 1)/(mortRate/12)),
   0
)
</f>
        <v>95368.18515</v>
      </c>
      <c r="K140" s="13">
        <f>IFERROR(__xludf.DUMMYFUNCTION("IF(A140="""","""",
   IF(F140&gt;0,
      INDEX(FILTER('RE Portfolio'!L$2:L2000,'RE Portfolio'!D$2:D2000=""BUY""), INT((ROW()-2)/amortYears)+1) - G140,
      INDEX(FILTER('RE Portfolio'!L$2:L2000,'RE Portfolio'!D$2:D2000=""BUY""), INT((ROW()-2)/amortYears)+1"&amp;")
   )
)
"),6893.917650029962)</f>
        <v>6893.91765</v>
      </c>
      <c r="L140" s="15">
        <f>IFERROR(__xludf.DUMMYFUNCTION("IF(A140="""","""",
  INDEX(FILTER('RE Portfolio'!C$2:C2000,'RE Portfolio'!D$2:D2000=""BUY""), INT((ROW()-2)/amortYears)+1)
  * (1 + VALUE(Assumptions!$B$11))^(D140-1)
)
"),1008983.1583922651)</f>
        <v>1008983.158</v>
      </c>
    </row>
    <row r="141">
      <c r="A141" s="15">
        <f>IFERROR(__xludf.DUMMYFUNCTION("IFERROR(INDEX(FILTER('RE Portfolio'!A$2:A2000,'RE Portfolio'!D$2:D2000=""BUY""), INT((ROW()-2)/amortYears)+1), )
"),4.0)</f>
        <v>4</v>
      </c>
      <c r="B141" s="15">
        <f>IFERROR(__xludf.DUMMYFUNCTION("IFERROR(INDEX(FILTER('RE Portfolio'!B$2:B2000,'RE Portfolio'!D$2:D2000=""BUY""), INT((ROW()-2)/amortYears)+1), )
"),35.0)</f>
        <v>35</v>
      </c>
      <c r="C141" s="15">
        <f>IFERROR(__xludf.DUMMYFUNCTION("IFERROR(INDEX(FILTER('RE Portfolio'!G$2:G2000,'RE Portfolio'!D$2:D2000=""BUY""), INT((ROW()-2)/amortYears)+1), )
"),295219.49800528475)</f>
        <v>295219.498</v>
      </c>
      <c r="D141" s="15">
        <f>MOD(ROW()-2, amortYears)+1</f>
        <v>26</v>
      </c>
      <c r="E141" s="15">
        <f t="shared" si="1"/>
        <v>60</v>
      </c>
      <c r="F141" s="16">
        <f t="shared" si="2"/>
        <v>95368.18515</v>
      </c>
      <c r="G141" s="16">
        <f>IF(D141&lt;=mortTerm, -PMT(mortRate/12, mortTerm*12, C141)*12, 0)
</f>
        <v>22391.85655</v>
      </c>
      <c r="H141" s="16">
        <f>IF(D141&lt;=mortTerm, G141 - I141, 0)
</f>
        <v>5707.700487</v>
      </c>
      <c r="I141" s="16">
        <f>IF(D141&lt;=mortTerm, F141 - J141, 0)
</f>
        <v>16684.15607</v>
      </c>
      <c r="J141" s="16">
        <f>IF(D141&lt;=mortTerm,
   F141*(1+mortRate/12)^12 - (-PMT(mortRate/12, mortTerm*12, C141))*(((1+mortRate/12)^12 - 1)/(mortRate/12)),
   0
)
</f>
        <v>78684.02909</v>
      </c>
      <c r="K141" s="13">
        <f>IFERROR(__xludf.DUMMYFUNCTION("IF(A141="""","""",
   IF(F141&gt;0,
      INDEX(FILTER('RE Portfolio'!L$2:L2000,'RE Portfolio'!D$2:D2000=""BUY""), INT((ROW()-2)/amortYears)+1) - G141,
      INDEX(FILTER('RE Portfolio'!L$2:L2000,'RE Portfolio'!D$2:D2000=""BUY""), INT((ROW()-2)/amortYears)+1"&amp;")
   )
)
"),6893.917650029962)</f>
        <v>6893.91765</v>
      </c>
      <c r="L141" s="15">
        <f>IFERROR(__xludf.DUMMYFUNCTION("IF(A141="""","""",
  INDEX(FILTER('RE Portfolio'!C$2:C2000,'RE Portfolio'!D$2:D2000=""BUY""), INT((ROW()-2)/amortYears)+1)
  * (1 + VALUE(Assumptions!$B$11))^(D141-1)
)
"),1049342.4847279557)</f>
        <v>1049342.485</v>
      </c>
    </row>
    <row r="142">
      <c r="A142" s="15">
        <f>IFERROR(__xludf.DUMMYFUNCTION("IFERROR(INDEX(FILTER('RE Portfolio'!A$2:A2000,'RE Portfolio'!D$2:D2000=""BUY""), INT((ROW()-2)/amortYears)+1), )
"),4.0)</f>
        <v>4</v>
      </c>
      <c r="B142" s="15">
        <f>IFERROR(__xludf.DUMMYFUNCTION("IFERROR(INDEX(FILTER('RE Portfolio'!B$2:B2000,'RE Portfolio'!D$2:D2000=""BUY""), INT((ROW()-2)/amortYears)+1), )
"),35.0)</f>
        <v>35</v>
      </c>
      <c r="C142" s="15">
        <f>IFERROR(__xludf.DUMMYFUNCTION("IFERROR(INDEX(FILTER('RE Portfolio'!G$2:G2000,'RE Portfolio'!D$2:D2000=""BUY""), INT((ROW()-2)/amortYears)+1), )
"),295219.49800528475)</f>
        <v>295219.498</v>
      </c>
      <c r="D142" s="15">
        <f>MOD(ROW()-2, amortYears)+1</f>
        <v>27</v>
      </c>
      <c r="E142" s="15">
        <f t="shared" si="1"/>
        <v>61</v>
      </c>
      <c r="F142" s="16">
        <f t="shared" si="2"/>
        <v>78684.02909</v>
      </c>
      <c r="G142" s="16">
        <f>IF(D142&lt;=mortTerm, -PMT(mortRate/12, mortTerm*12, C142)*12, 0)
</f>
        <v>22391.85655</v>
      </c>
      <c r="H142" s="16">
        <f>IF(D142&lt;=mortTerm, G142 - I142, 0)
</f>
        <v>4590.331656</v>
      </c>
      <c r="I142" s="16">
        <f>IF(D142&lt;=mortTerm, F142 - J142, 0)
</f>
        <v>17801.5249</v>
      </c>
      <c r="J142" s="16">
        <f>IF(D142&lt;=mortTerm,
   F142*(1+mortRate/12)^12 - (-PMT(mortRate/12, mortTerm*12, C142))*(((1+mortRate/12)^12 - 1)/(mortRate/12)),
   0
)
</f>
        <v>60882.50419</v>
      </c>
      <c r="K142" s="13">
        <f>IFERROR(__xludf.DUMMYFUNCTION("IF(A142="""","""",
   IF(F142&gt;0,
      INDEX(FILTER('RE Portfolio'!L$2:L2000,'RE Portfolio'!D$2:D2000=""BUY""), INT((ROW()-2)/amortYears)+1) - G142,
      INDEX(FILTER('RE Portfolio'!L$2:L2000,'RE Portfolio'!D$2:D2000=""BUY""), INT((ROW()-2)/amortYears)+1"&amp;")
   )
)
"),6893.917650029962)</f>
        <v>6893.91765</v>
      </c>
      <c r="L142" s="15">
        <f>IFERROR(__xludf.DUMMYFUNCTION("IF(A142="""","""",
  INDEX(FILTER('RE Portfolio'!C$2:C2000,'RE Portfolio'!D$2:D2000=""BUY""), INT((ROW()-2)/amortYears)+1)
  * (1 + VALUE(Assumptions!$B$11))^(D142-1)
)
"),1091316.184117074)</f>
        <v>1091316.184</v>
      </c>
    </row>
    <row r="143">
      <c r="A143" s="15">
        <f>IFERROR(__xludf.DUMMYFUNCTION("IFERROR(INDEX(FILTER('RE Portfolio'!A$2:A2000,'RE Portfolio'!D$2:D2000=""BUY""), INT((ROW()-2)/amortYears)+1), )
"),4.0)</f>
        <v>4</v>
      </c>
      <c r="B143" s="15">
        <f>IFERROR(__xludf.DUMMYFUNCTION("IFERROR(INDEX(FILTER('RE Portfolio'!B$2:B2000,'RE Portfolio'!D$2:D2000=""BUY""), INT((ROW()-2)/amortYears)+1), )
"),35.0)</f>
        <v>35</v>
      </c>
      <c r="C143" s="15">
        <f>IFERROR(__xludf.DUMMYFUNCTION("IFERROR(INDEX(FILTER('RE Portfolio'!G$2:G2000,'RE Portfolio'!D$2:D2000=""BUY""), INT((ROW()-2)/amortYears)+1), )
"),295219.49800528475)</f>
        <v>295219.498</v>
      </c>
      <c r="D143" s="15">
        <f>MOD(ROW()-2, amortYears)+1</f>
        <v>28</v>
      </c>
      <c r="E143" s="15">
        <f t="shared" si="1"/>
        <v>62</v>
      </c>
      <c r="F143" s="16">
        <f t="shared" si="2"/>
        <v>60882.50419</v>
      </c>
      <c r="G143" s="16">
        <f>IF(D143&lt;=mortTerm, -PMT(mortRate/12, mortTerm*12, C143)*12, 0)
</f>
        <v>22391.85655</v>
      </c>
      <c r="H143" s="16">
        <f>IF(D143&lt;=mortTerm, G143 - I143, 0)
</f>
        <v>3398.130565</v>
      </c>
      <c r="I143" s="16">
        <f>IF(D143&lt;=mortTerm, F143 - J143, 0)
</f>
        <v>18993.72599</v>
      </c>
      <c r="J143" s="16">
        <f>IF(D143&lt;=mortTerm,
   F143*(1+mortRate/12)^12 - (-PMT(mortRate/12, mortTerm*12, C143))*(((1+mortRate/12)^12 - 1)/(mortRate/12)),
   0
)
</f>
        <v>41888.7782</v>
      </c>
      <c r="K143" s="13">
        <f>IFERROR(__xludf.DUMMYFUNCTION("IF(A143="""","""",
   IF(F143&gt;0,
      INDEX(FILTER('RE Portfolio'!L$2:L2000,'RE Portfolio'!D$2:D2000=""BUY""), INT((ROW()-2)/amortYears)+1) - G143,
      INDEX(FILTER('RE Portfolio'!L$2:L2000,'RE Portfolio'!D$2:D2000=""BUY""), INT((ROW()-2)/amortYears)+1"&amp;")
   )
)
"),6893.917650029962)</f>
        <v>6893.91765</v>
      </c>
      <c r="L143" s="15">
        <f>IFERROR(__xludf.DUMMYFUNCTION("IF(A143="""","""",
  INDEX(FILTER('RE Portfolio'!C$2:C2000,'RE Portfolio'!D$2:D2000=""BUY""), INT((ROW()-2)/amortYears)+1)
  * (1 + VALUE(Assumptions!$B$11))^(D143-1)
)
"),1134968.8314817569)</f>
        <v>1134968.831</v>
      </c>
    </row>
    <row r="144">
      <c r="A144" s="15">
        <f>IFERROR(__xludf.DUMMYFUNCTION("IFERROR(INDEX(FILTER('RE Portfolio'!A$2:A2000,'RE Portfolio'!D$2:D2000=""BUY""), INT((ROW()-2)/amortYears)+1), )
"),4.0)</f>
        <v>4</v>
      </c>
      <c r="B144" s="15">
        <f>IFERROR(__xludf.DUMMYFUNCTION("IFERROR(INDEX(FILTER('RE Portfolio'!B$2:B2000,'RE Portfolio'!D$2:D2000=""BUY""), INT((ROW()-2)/amortYears)+1), )
"),35.0)</f>
        <v>35</v>
      </c>
      <c r="C144" s="15">
        <f>IFERROR(__xludf.DUMMYFUNCTION("IFERROR(INDEX(FILTER('RE Portfolio'!G$2:G2000,'RE Portfolio'!D$2:D2000=""BUY""), INT((ROW()-2)/amortYears)+1), )
"),295219.49800528475)</f>
        <v>295219.498</v>
      </c>
      <c r="D144" s="15">
        <f>MOD(ROW()-2, amortYears)+1</f>
        <v>29</v>
      </c>
      <c r="E144" s="15">
        <f t="shared" si="1"/>
        <v>63</v>
      </c>
      <c r="F144" s="16">
        <f t="shared" si="2"/>
        <v>41888.7782</v>
      </c>
      <c r="G144" s="16">
        <f>IF(D144&lt;=mortTerm, -PMT(mortRate/12, mortTerm*12, C144)*12, 0)
</f>
        <v>22391.85655</v>
      </c>
      <c r="H144" s="16">
        <f>IF(D144&lt;=mortTerm, G144 - I144, 0)
</f>
        <v>2126.085559</v>
      </c>
      <c r="I144" s="16">
        <f>IF(D144&lt;=mortTerm, F144 - J144, 0)
</f>
        <v>20265.77099</v>
      </c>
      <c r="J144" s="16">
        <f>IF(D144&lt;=mortTerm,
   F144*(1+mortRate/12)^12 - (-PMT(mortRate/12, mortTerm*12, C144))*(((1+mortRate/12)^12 - 1)/(mortRate/12)),
   0
)
</f>
        <v>21623.00721</v>
      </c>
      <c r="K144" s="13">
        <f>IFERROR(__xludf.DUMMYFUNCTION("IF(A144="""","""",
   IF(F144&gt;0,
      INDEX(FILTER('RE Portfolio'!L$2:L2000,'RE Portfolio'!D$2:D2000=""BUY""), INT((ROW()-2)/amortYears)+1) - G144,
      INDEX(FILTER('RE Portfolio'!L$2:L2000,'RE Portfolio'!D$2:D2000=""BUY""), INT((ROW()-2)/amortYears)+1"&amp;")
   )
)
"),6893.917650029962)</f>
        <v>6893.91765</v>
      </c>
      <c r="L144" s="15">
        <f>IFERROR(__xludf.DUMMYFUNCTION("IF(A144="""","""",
  INDEX(FILTER('RE Portfolio'!C$2:C2000,'RE Portfolio'!D$2:D2000=""BUY""), INT((ROW()-2)/amortYears)+1)
  * (1 + VALUE(Assumptions!$B$11))^(D144-1)
)
"),1180367.584741027)</f>
        <v>1180367.585</v>
      </c>
    </row>
    <row r="145">
      <c r="A145" s="15">
        <f>IFERROR(__xludf.DUMMYFUNCTION("IFERROR(INDEX(FILTER('RE Portfolio'!A$2:A2000,'RE Portfolio'!D$2:D2000=""BUY""), INT((ROW()-2)/amortYears)+1), )
"),4.0)</f>
        <v>4</v>
      </c>
      <c r="B145" s="15">
        <f>IFERROR(__xludf.DUMMYFUNCTION("IFERROR(INDEX(FILTER('RE Portfolio'!B$2:B2000,'RE Portfolio'!D$2:D2000=""BUY""), INT((ROW()-2)/amortYears)+1), )
"),35.0)</f>
        <v>35</v>
      </c>
      <c r="C145" s="15">
        <f>IFERROR(__xludf.DUMMYFUNCTION("IFERROR(INDEX(FILTER('RE Portfolio'!G$2:G2000,'RE Portfolio'!D$2:D2000=""BUY""), INT((ROW()-2)/amortYears)+1), )
"),295219.49800528475)</f>
        <v>295219.498</v>
      </c>
      <c r="D145" s="15">
        <f>MOD(ROW()-2, amortYears)+1</f>
        <v>30</v>
      </c>
      <c r="E145" s="15">
        <f t="shared" si="1"/>
        <v>64</v>
      </c>
      <c r="F145" s="16">
        <f t="shared" si="2"/>
        <v>21623.00721</v>
      </c>
      <c r="G145" s="16">
        <f>IF(D145&lt;=mortTerm, -PMT(mortRate/12, mortTerm*12, C145)*12, 0)
</f>
        <v>22391.85655</v>
      </c>
      <c r="H145" s="16">
        <f>IF(D145&lt;=mortTerm, G145 - I145, 0)
</f>
        <v>768.8493435</v>
      </c>
      <c r="I145" s="16">
        <f>IF(D145&lt;=mortTerm, F145 - J145, 0)
</f>
        <v>21623.00721</v>
      </c>
      <c r="J145" s="16">
        <f>IF(D145&lt;=mortTerm,
   F145*(1+mortRate/12)^12 - (-PMT(mortRate/12, mortTerm*12, C145))*(((1+mortRate/12)^12 - 1)/(mortRate/12)),
   0
)
</f>
        <v>0</v>
      </c>
      <c r="K145" s="13">
        <f>IFERROR(__xludf.DUMMYFUNCTION("IF(A145="""","""",
   IF(F145&gt;0,
      INDEX(FILTER('RE Portfolio'!L$2:L2000,'RE Portfolio'!D$2:D2000=""BUY""), INT((ROW()-2)/amortYears)+1) - G145,
      INDEX(FILTER('RE Portfolio'!L$2:L2000,'RE Portfolio'!D$2:D2000=""BUY""), INT((ROW()-2)/amortYears)+1"&amp;")
   )
)
"),6893.917650029962)</f>
        <v>6893.91765</v>
      </c>
      <c r="L145" s="15">
        <f>IFERROR(__xludf.DUMMYFUNCTION("IF(A145="""","""",
  INDEX(FILTER('RE Portfolio'!C$2:C2000,'RE Portfolio'!D$2:D2000=""BUY""), INT((ROW()-2)/amortYears)+1)
  * (1 + VALUE(Assumptions!$B$11))^(D145-1)
)
"),1227582.2881306685)</f>
        <v>1227582.288</v>
      </c>
    </row>
    <row r="146">
      <c r="A146" s="15">
        <f>IFERROR(__xludf.DUMMYFUNCTION("IFERROR(INDEX(FILTER('RE Portfolio'!A$2:A2000,'RE Portfolio'!D$2:D2000=""BUY""), INT((ROW()-2)/amortYears)+1), )
"),4.0)</f>
        <v>4</v>
      </c>
      <c r="B146" s="15">
        <f>IFERROR(__xludf.DUMMYFUNCTION("IFERROR(INDEX(FILTER('RE Portfolio'!B$2:B2000,'RE Portfolio'!D$2:D2000=""BUY""), INT((ROW()-2)/amortYears)+1), )
"),35.0)</f>
        <v>35</v>
      </c>
      <c r="C146" s="15">
        <f>IFERROR(__xludf.DUMMYFUNCTION("IFERROR(INDEX(FILTER('RE Portfolio'!G$2:G2000,'RE Portfolio'!D$2:D2000=""BUY""), INT((ROW()-2)/amortYears)+1), )
"),295219.49800528475)</f>
        <v>295219.498</v>
      </c>
      <c r="D146" s="15">
        <f>MOD(ROW()-2, amortYears)+1</f>
        <v>31</v>
      </c>
      <c r="E146" s="15">
        <f t="shared" si="1"/>
        <v>65</v>
      </c>
      <c r="F146" s="16">
        <f t="shared" si="2"/>
        <v>0</v>
      </c>
      <c r="G146" s="15">
        <f>IF(D146&lt;=mortTerm, -PMT(mortRate/12, mortTerm*12, C146)*12, 0)
</f>
        <v>0</v>
      </c>
      <c r="H146" s="15">
        <f>IF(D146&lt;=mortTerm, G146 - I146, 0)
</f>
        <v>0</v>
      </c>
      <c r="I146" s="15">
        <f>IF(D146&lt;=mortTerm, F146 - J146, 0)
</f>
        <v>0</v>
      </c>
      <c r="J146" s="15">
        <f>IF(D146&lt;=mortTerm,
   F146*(1+mortRate/12)^12 - (-PMT(mortRate/12, mortTerm*12, C146))*(((1+mortRate/12)^12 - 1)/(mortRate/12)),
   0
)
</f>
        <v>0</v>
      </c>
      <c r="K146" s="13">
        <f>IFERROR(__xludf.DUMMYFUNCTION("IF(A146="""","""",
   IF(F146&gt;0,
      INDEX(FILTER('RE Portfolio'!L$2:L2000,'RE Portfolio'!D$2:D2000=""BUY""), INT((ROW()-2)/amortYears)+1) - G146,
      INDEX(FILTER('RE Portfolio'!L$2:L2000,'RE Portfolio'!D$2:D2000=""BUY""), INT((ROW()-2)/amortYears)+1"&amp;")
   )
)
"),29285.774202124252)</f>
        <v>29285.7742</v>
      </c>
      <c r="L146" s="15">
        <f>IFERROR(__xludf.DUMMYFUNCTION("IF(A146="""","""",
  INDEX(FILTER('RE Portfolio'!C$2:C2000,'RE Portfolio'!D$2:D2000=""BUY""), INT((ROW()-2)/amortYears)+1)
  * (1 + VALUE(Assumptions!$B$11))^(D146-1)
)
"),1276685.579655895)</f>
        <v>1276685.58</v>
      </c>
    </row>
    <row r="147">
      <c r="A147" s="15">
        <f>IFERROR(__xludf.DUMMYFUNCTION("IFERROR(INDEX(FILTER('RE Portfolio'!A$2:A2000,'RE Portfolio'!D$2:D2000=""BUY""), INT((ROW()-2)/amortYears)+1), )
"),4.0)</f>
        <v>4</v>
      </c>
      <c r="B147" s="15">
        <f>IFERROR(__xludf.DUMMYFUNCTION("IFERROR(INDEX(FILTER('RE Portfolio'!B$2:B2000,'RE Portfolio'!D$2:D2000=""BUY""), INT((ROW()-2)/amortYears)+1), )
"),35.0)</f>
        <v>35</v>
      </c>
      <c r="C147" s="15">
        <f>IFERROR(__xludf.DUMMYFUNCTION("IFERROR(INDEX(FILTER('RE Portfolio'!G$2:G2000,'RE Portfolio'!D$2:D2000=""BUY""), INT((ROW()-2)/amortYears)+1), )
"),295219.49800528475)</f>
        <v>295219.498</v>
      </c>
      <c r="D147" s="15">
        <f>MOD(ROW()-2, amortYears)+1</f>
        <v>32</v>
      </c>
      <c r="E147" s="15">
        <f t="shared" si="1"/>
        <v>66</v>
      </c>
      <c r="F147" s="15">
        <f t="shared" si="2"/>
        <v>0</v>
      </c>
      <c r="G147" s="15">
        <f>IF(D147&lt;=mortTerm, -PMT(mortRate/12, mortTerm*12, C147)*12, 0)
</f>
        <v>0</v>
      </c>
      <c r="H147" s="15">
        <f>IF(D147&lt;=mortTerm, G147 - I147, 0)
</f>
        <v>0</v>
      </c>
      <c r="I147" s="15">
        <f>IF(D147&lt;=mortTerm, F147 - J147, 0)
</f>
        <v>0</v>
      </c>
      <c r="J147" s="15">
        <f>IF(D147&lt;=mortTerm,
   F147*(1+mortRate/12)^12 - (-PMT(mortRate/12, mortTerm*12, C147))*(((1+mortRate/12)^12 - 1)/(mortRate/12)),
   0
)
</f>
        <v>0</v>
      </c>
      <c r="K147" s="13">
        <f>IFERROR(__xludf.DUMMYFUNCTION("IF(A147="""","""",
   IF(F147&gt;0,
      INDEX(FILTER('RE Portfolio'!L$2:L2000,'RE Portfolio'!D$2:D2000=""BUY""), INT((ROW()-2)/amortYears)+1) - G147,
      INDEX(FILTER('RE Portfolio'!L$2:L2000,'RE Portfolio'!D$2:D2000=""BUY""), INT((ROW()-2)/amortYears)+1"&amp;")
   )
)
"),29285.774202124252)</f>
        <v>29285.7742</v>
      </c>
      <c r="L147" s="15">
        <f>IFERROR(__xludf.DUMMYFUNCTION("IF(A147="""","""",
  INDEX(FILTER('RE Portfolio'!C$2:C2000,'RE Portfolio'!D$2:D2000=""BUY""), INT((ROW()-2)/amortYears)+1)
  * (1 + VALUE(Assumptions!$B$11))^(D147-1)
)
"),1327753.002842131)</f>
        <v>1327753.003</v>
      </c>
    </row>
    <row r="148">
      <c r="A148" s="15">
        <f>IFERROR(__xludf.DUMMYFUNCTION("IFERROR(INDEX(FILTER('RE Portfolio'!A$2:A2000,'RE Portfolio'!D$2:D2000=""BUY""), INT((ROW()-2)/amortYears)+1), )
"),4.0)</f>
        <v>4</v>
      </c>
      <c r="B148" s="15">
        <f>IFERROR(__xludf.DUMMYFUNCTION("IFERROR(INDEX(FILTER('RE Portfolio'!B$2:B2000,'RE Portfolio'!D$2:D2000=""BUY""), INT((ROW()-2)/amortYears)+1), )
"),35.0)</f>
        <v>35</v>
      </c>
      <c r="C148" s="15">
        <f>IFERROR(__xludf.DUMMYFUNCTION("IFERROR(INDEX(FILTER('RE Portfolio'!G$2:G2000,'RE Portfolio'!D$2:D2000=""BUY""), INT((ROW()-2)/amortYears)+1), )
"),295219.49800528475)</f>
        <v>295219.498</v>
      </c>
      <c r="D148" s="15">
        <f>MOD(ROW()-2, amortYears)+1</f>
        <v>33</v>
      </c>
      <c r="E148" s="15">
        <f t="shared" si="1"/>
        <v>67</v>
      </c>
      <c r="F148" s="15">
        <f t="shared" si="2"/>
        <v>0</v>
      </c>
      <c r="G148" s="15">
        <f>IF(D148&lt;=mortTerm, -PMT(mortRate/12, mortTerm*12, C148)*12, 0)
</f>
        <v>0</v>
      </c>
      <c r="H148" s="15">
        <f>IF(D148&lt;=mortTerm, G148 - I148, 0)
</f>
        <v>0</v>
      </c>
      <c r="I148" s="15">
        <f>IF(D148&lt;=mortTerm, F148 - J148, 0)
</f>
        <v>0</v>
      </c>
      <c r="J148" s="15">
        <f>IF(D148&lt;=mortTerm,
   F148*(1+mortRate/12)^12 - (-PMT(mortRate/12, mortTerm*12, C148))*(((1+mortRate/12)^12 - 1)/(mortRate/12)),
   0
)
</f>
        <v>0</v>
      </c>
      <c r="K148" s="13">
        <f>IFERROR(__xludf.DUMMYFUNCTION("IF(A148="""","""",
   IF(F148&gt;0,
      INDEX(FILTER('RE Portfolio'!L$2:L2000,'RE Portfolio'!D$2:D2000=""BUY""), INT((ROW()-2)/amortYears)+1) - G148,
      INDEX(FILTER('RE Portfolio'!L$2:L2000,'RE Portfolio'!D$2:D2000=""BUY""), INT((ROW()-2)/amortYears)+1"&amp;")
   )
)
"),29285.774202124252)</f>
        <v>29285.7742</v>
      </c>
      <c r="L148" s="15">
        <f>IFERROR(__xludf.DUMMYFUNCTION("IF(A148="""","""",
  INDEX(FILTER('RE Portfolio'!C$2:C2000,'RE Portfolio'!D$2:D2000=""BUY""), INT((ROW()-2)/amortYears)+1)
  * (1 + VALUE(Assumptions!$B$11))^(D148-1)
)
"),1380863.122955816)</f>
        <v>1380863.123</v>
      </c>
    </row>
    <row r="149">
      <c r="A149" s="15">
        <f>IFERROR(__xludf.DUMMYFUNCTION("IFERROR(INDEX(FILTER('RE Portfolio'!A$2:A2000,'RE Portfolio'!D$2:D2000=""BUY""), INT((ROW()-2)/amortYears)+1), )
"),4.0)</f>
        <v>4</v>
      </c>
      <c r="B149" s="15">
        <f>IFERROR(__xludf.DUMMYFUNCTION("IFERROR(INDEX(FILTER('RE Portfolio'!B$2:B2000,'RE Portfolio'!D$2:D2000=""BUY""), INT((ROW()-2)/amortYears)+1), )
"),35.0)</f>
        <v>35</v>
      </c>
      <c r="C149" s="15">
        <f>IFERROR(__xludf.DUMMYFUNCTION("IFERROR(INDEX(FILTER('RE Portfolio'!G$2:G2000,'RE Portfolio'!D$2:D2000=""BUY""), INT((ROW()-2)/amortYears)+1), )
"),295219.49800528475)</f>
        <v>295219.498</v>
      </c>
      <c r="D149" s="15">
        <f>MOD(ROW()-2, amortYears)+1</f>
        <v>34</v>
      </c>
      <c r="E149" s="15">
        <f t="shared" si="1"/>
        <v>68</v>
      </c>
      <c r="F149" s="15">
        <f t="shared" si="2"/>
        <v>0</v>
      </c>
      <c r="G149" s="15">
        <f>IF(D149&lt;=mortTerm, -PMT(mortRate/12, mortTerm*12, C149)*12, 0)
</f>
        <v>0</v>
      </c>
      <c r="H149" s="15">
        <f>IF(D149&lt;=mortTerm, G149 - I149, 0)
</f>
        <v>0</v>
      </c>
      <c r="I149" s="15">
        <f>IF(D149&lt;=mortTerm, F149 - J149, 0)
</f>
        <v>0</v>
      </c>
      <c r="J149" s="15">
        <f>IF(D149&lt;=mortTerm,
   F149*(1+mortRate/12)^12 - (-PMT(mortRate/12, mortTerm*12, C149))*(((1+mortRate/12)^12 - 1)/(mortRate/12)),
   0
)
</f>
        <v>0</v>
      </c>
      <c r="K149" s="13">
        <f>IFERROR(__xludf.DUMMYFUNCTION("IF(A149="""","""",
   IF(F149&gt;0,
      INDEX(FILTER('RE Portfolio'!L$2:L2000,'RE Portfolio'!D$2:D2000=""BUY""), INT((ROW()-2)/amortYears)+1) - G149,
      INDEX(FILTER('RE Portfolio'!L$2:L2000,'RE Portfolio'!D$2:D2000=""BUY""), INT((ROW()-2)/amortYears)+1"&amp;")
   )
)
"),29285.774202124252)</f>
        <v>29285.7742</v>
      </c>
      <c r="L149" s="15">
        <f>IFERROR(__xludf.DUMMYFUNCTION("IF(A149="""","""",
  INDEX(FILTER('RE Portfolio'!C$2:C2000,'RE Portfolio'!D$2:D2000=""BUY""), INT((ROW()-2)/amortYears)+1)
  * (1 + VALUE(Assumptions!$B$11))^(D149-1)
)
"),1436097.647874049)</f>
        <v>1436097.648</v>
      </c>
    </row>
    <row r="150">
      <c r="A150" s="15">
        <f>IFERROR(__xludf.DUMMYFUNCTION("IFERROR(INDEX(FILTER('RE Portfolio'!A$2:A2000,'RE Portfolio'!D$2:D2000=""BUY""), INT((ROW()-2)/amortYears)+1), )
"),4.0)</f>
        <v>4</v>
      </c>
      <c r="B150" s="15">
        <f>IFERROR(__xludf.DUMMYFUNCTION("IFERROR(INDEX(FILTER('RE Portfolio'!B$2:B2000,'RE Portfolio'!D$2:D2000=""BUY""), INT((ROW()-2)/amortYears)+1), )
"),35.0)</f>
        <v>35</v>
      </c>
      <c r="C150" s="15">
        <f>IFERROR(__xludf.DUMMYFUNCTION("IFERROR(INDEX(FILTER('RE Portfolio'!G$2:G2000,'RE Portfolio'!D$2:D2000=""BUY""), INT((ROW()-2)/amortYears)+1), )
"),295219.49800528475)</f>
        <v>295219.498</v>
      </c>
      <c r="D150" s="15">
        <f>MOD(ROW()-2, amortYears)+1</f>
        <v>35</v>
      </c>
      <c r="E150" s="15">
        <f t="shared" si="1"/>
        <v>69</v>
      </c>
      <c r="F150" s="15">
        <f t="shared" si="2"/>
        <v>0</v>
      </c>
      <c r="G150" s="15">
        <f>IF(D150&lt;=mortTerm, -PMT(mortRate/12, mortTerm*12, C150)*12, 0)
</f>
        <v>0</v>
      </c>
      <c r="H150" s="15">
        <f>IF(D150&lt;=mortTerm, G150 - I150, 0)
</f>
        <v>0</v>
      </c>
      <c r="I150" s="15">
        <f>IF(D150&lt;=mortTerm, F150 - J150, 0)
</f>
        <v>0</v>
      </c>
      <c r="J150" s="15">
        <f>IF(D150&lt;=mortTerm,
   F150*(1+mortRate/12)^12 - (-PMT(mortRate/12, mortTerm*12, C150))*(((1+mortRate/12)^12 - 1)/(mortRate/12)),
   0
)
</f>
        <v>0</v>
      </c>
      <c r="K150" s="13">
        <f>IFERROR(__xludf.DUMMYFUNCTION("IF(A150="""","""",
   IF(F150&gt;0,
      INDEX(FILTER('RE Portfolio'!L$2:L2000,'RE Portfolio'!D$2:D2000=""BUY""), INT((ROW()-2)/amortYears)+1) - G150,
      INDEX(FILTER('RE Portfolio'!L$2:L2000,'RE Portfolio'!D$2:D2000=""BUY""), INT((ROW()-2)/amortYears)+1"&amp;")
   )
)
"),29285.774202124252)</f>
        <v>29285.7742</v>
      </c>
      <c r="L150" s="15">
        <f>IFERROR(__xludf.DUMMYFUNCTION("IF(A150="""","""",
  INDEX(FILTER('RE Portfolio'!C$2:C2000,'RE Portfolio'!D$2:D2000=""BUY""), INT((ROW()-2)/amortYears)+1)
  * (1 + VALUE(Assumptions!$B$11))^(D150-1)
)
"),1493541.553789011)</f>
        <v>1493541.554</v>
      </c>
    </row>
    <row r="151">
      <c r="A151" s="15">
        <f>IFERROR(__xludf.DUMMYFUNCTION("IFERROR(INDEX(FILTER('RE Portfolio'!A$2:A2000,'RE Portfolio'!D$2:D2000=""BUY""), INT((ROW()-2)/amortYears)+1), )
"),4.0)</f>
        <v>4</v>
      </c>
      <c r="B151" s="15">
        <f>IFERROR(__xludf.DUMMYFUNCTION("IFERROR(INDEX(FILTER('RE Portfolio'!B$2:B2000,'RE Portfolio'!D$2:D2000=""BUY""), INT((ROW()-2)/amortYears)+1), )
"),35.0)</f>
        <v>35</v>
      </c>
      <c r="C151" s="15">
        <f>IFERROR(__xludf.DUMMYFUNCTION("IFERROR(INDEX(FILTER('RE Portfolio'!G$2:G2000,'RE Portfolio'!D$2:D2000=""BUY""), INT((ROW()-2)/amortYears)+1), )
"),295219.49800528475)</f>
        <v>295219.498</v>
      </c>
      <c r="D151" s="15">
        <f>MOD(ROW()-2, amortYears)+1</f>
        <v>36</v>
      </c>
      <c r="E151" s="15">
        <f t="shared" si="1"/>
        <v>70</v>
      </c>
      <c r="F151" s="15">
        <f t="shared" si="2"/>
        <v>0</v>
      </c>
      <c r="G151" s="15">
        <f>IF(D151&lt;=mortTerm, -PMT(mortRate/12, mortTerm*12, C151)*12, 0)
</f>
        <v>0</v>
      </c>
      <c r="H151" s="15">
        <f>IF(D151&lt;=mortTerm, G151 - I151, 0)
</f>
        <v>0</v>
      </c>
      <c r="I151" s="15">
        <f>IF(D151&lt;=mortTerm, F151 - J151, 0)
</f>
        <v>0</v>
      </c>
      <c r="J151" s="15">
        <f>IF(D151&lt;=mortTerm,
   F151*(1+mortRate/12)^12 - (-PMT(mortRate/12, mortTerm*12, C151))*(((1+mortRate/12)^12 - 1)/(mortRate/12)),
   0
)
</f>
        <v>0</v>
      </c>
      <c r="K151" s="13">
        <f>IFERROR(__xludf.DUMMYFUNCTION("IF(A151="""","""",
   IF(F151&gt;0,
      INDEX(FILTER('RE Portfolio'!L$2:L2000,'RE Portfolio'!D$2:D2000=""BUY""), INT((ROW()-2)/amortYears)+1) - G151,
      INDEX(FILTER('RE Portfolio'!L$2:L2000,'RE Portfolio'!D$2:D2000=""BUY""), INT((ROW()-2)/amortYears)+1"&amp;")
   )
)
"),29285.774202124252)</f>
        <v>29285.7742</v>
      </c>
      <c r="L151" s="15">
        <f>IFERROR(__xludf.DUMMYFUNCTION("IF(A151="""","""",
  INDEX(FILTER('RE Portfolio'!C$2:C2000,'RE Portfolio'!D$2:D2000=""BUY""), INT((ROW()-2)/amortYears)+1)
  * (1 + VALUE(Assumptions!$B$11))^(D151-1)
)
"),1553283.2159405716)</f>
        <v>1553283.216</v>
      </c>
    </row>
    <row r="152">
      <c r="A152" s="15">
        <f>IFERROR(__xludf.DUMMYFUNCTION("IFERROR(INDEX(FILTER('RE Portfolio'!A$2:A2000,'RE Portfolio'!D$2:D2000=""BUY""), INT((ROW()-2)/amortYears)+1), )
"),4.0)</f>
        <v>4</v>
      </c>
      <c r="B152" s="15">
        <f>IFERROR(__xludf.DUMMYFUNCTION("IFERROR(INDEX(FILTER('RE Portfolio'!B$2:B2000,'RE Portfolio'!D$2:D2000=""BUY""), INT((ROW()-2)/amortYears)+1), )
"),35.0)</f>
        <v>35</v>
      </c>
      <c r="C152" s="15">
        <f>IFERROR(__xludf.DUMMYFUNCTION("IFERROR(INDEX(FILTER('RE Portfolio'!G$2:G2000,'RE Portfolio'!D$2:D2000=""BUY""), INT((ROW()-2)/amortYears)+1), )
"),295219.49800528475)</f>
        <v>295219.498</v>
      </c>
      <c r="D152" s="15">
        <f>MOD(ROW()-2, amortYears)+1</f>
        <v>37</v>
      </c>
      <c r="E152" s="15">
        <f t="shared" si="1"/>
        <v>71</v>
      </c>
      <c r="F152" s="15">
        <f t="shared" si="2"/>
        <v>0</v>
      </c>
      <c r="G152" s="15">
        <f>IF(D152&lt;=mortTerm, -PMT(mortRate/12, mortTerm*12, C152)*12, 0)
</f>
        <v>0</v>
      </c>
      <c r="H152" s="15">
        <f>IF(D152&lt;=mortTerm, G152 - I152, 0)
</f>
        <v>0</v>
      </c>
      <c r="I152" s="15">
        <f>IF(D152&lt;=mortTerm, F152 - J152, 0)
</f>
        <v>0</v>
      </c>
      <c r="J152" s="15">
        <f>IF(D152&lt;=mortTerm,
   F152*(1+mortRate/12)^12 - (-PMT(mortRate/12, mortTerm*12, C152))*(((1+mortRate/12)^12 - 1)/(mortRate/12)),
   0
)
</f>
        <v>0</v>
      </c>
      <c r="K152" s="13">
        <f>IFERROR(__xludf.DUMMYFUNCTION("IF(A152="""","""",
   IF(F152&gt;0,
      INDEX(FILTER('RE Portfolio'!L$2:L2000,'RE Portfolio'!D$2:D2000=""BUY""), INT((ROW()-2)/amortYears)+1) - G152,
      INDEX(FILTER('RE Portfolio'!L$2:L2000,'RE Portfolio'!D$2:D2000=""BUY""), INT((ROW()-2)/amortYears)+1"&amp;")
   )
)
"),29285.774202124252)</f>
        <v>29285.7742</v>
      </c>
      <c r="L152" s="15">
        <f>IFERROR(__xludf.DUMMYFUNCTION("IF(A152="""","""",
  INDEX(FILTER('RE Portfolio'!C$2:C2000,'RE Portfolio'!D$2:D2000=""BUY""), INT((ROW()-2)/amortYears)+1)
  * (1 + VALUE(Assumptions!$B$11))^(D152-1)
)
"),1615414.5445781944)</f>
        <v>1615414.545</v>
      </c>
    </row>
    <row r="153">
      <c r="A153" s="15">
        <f>IFERROR(__xludf.DUMMYFUNCTION("IFERROR(INDEX(FILTER('RE Portfolio'!A$2:A2000,'RE Portfolio'!D$2:D2000=""BUY""), INT((ROW()-2)/amortYears)+1), )
"),4.0)</f>
        <v>4</v>
      </c>
      <c r="B153" s="15">
        <f>IFERROR(__xludf.DUMMYFUNCTION("IFERROR(INDEX(FILTER('RE Portfolio'!B$2:B2000,'RE Portfolio'!D$2:D2000=""BUY""), INT((ROW()-2)/amortYears)+1), )
"),35.0)</f>
        <v>35</v>
      </c>
      <c r="C153" s="15">
        <f>IFERROR(__xludf.DUMMYFUNCTION("IFERROR(INDEX(FILTER('RE Portfolio'!G$2:G2000,'RE Portfolio'!D$2:D2000=""BUY""), INT((ROW()-2)/amortYears)+1), )
"),295219.49800528475)</f>
        <v>295219.498</v>
      </c>
      <c r="D153" s="15">
        <f>MOD(ROW()-2, amortYears)+1</f>
        <v>38</v>
      </c>
      <c r="E153" s="15">
        <f t="shared" si="1"/>
        <v>72</v>
      </c>
      <c r="F153" s="15">
        <f t="shared" si="2"/>
        <v>0</v>
      </c>
      <c r="G153" s="15">
        <f>IF(D153&lt;=mortTerm, -PMT(mortRate/12, mortTerm*12, C153)*12, 0)
</f>
        <v>0</v>
      </c>
      <c r="H153" s="15">
        <f>IF(D153&lt;=mortTerm, G153 - I153, 0)
</f>
        <v>0</v>
      </c>
      <c r="I153" s="15">
        <f>IF(D153&lt;=mortTerm, F153 - J153, 0)
</f>
        <v>0</v>
      </c>
      <c r="J153" s="15">
        <f>IF(D153&lt;=mortTerm,
   F153*(1+mortRate/12)^12 - (-PMT(mortRate/12, mortTerm*12, C153))*(((1+mortRate/12)^12 - 1)/(mortRate/12)),
   0
)
</f>
        <v>0</v>
      </c>
      <c r="K153" s="13">
        <f>IFERROR(__xludf.DUMMYFUNCTION("IF(A153="""","""",
   IF(F153&gt;0,
      INDEX(FILTER('RE Portfolio'!L$2:L2000,'RE Portfolio'!D$2:D2000=""BUY""), INT((ROW()-2)/amortYears)+1) - G153,
      INDEX(FILTER('RE Portfolio'!L$2:L2000,'RE Portfolio'!D$2:D2000=""BUY""), INT((ROW()-2)/amortYears)+1"&amp;")
   )
)
"),29285.774202124252)</f>
        <v>29285.7742</v>
      </c>
      <c r="L153" s="15">
        <f>IFERROR(__xludf.DUMMYFUNCTION("IF(A153="""","""",
  INDEX(FILTER('RE Portfolio'!C$2:C2000,'RE Portfolio'!D$2:D2000=""BUY""), INT((ROW()-2)/amortYears)+1)
  * (1 + VALUE(Assumptions!$B$11))^(D153-1)
)
"),1680031.1263613221)</f>
        <v>1680031.126</v>
      </c>
    </row>
    <row r="154">
      <c r="A154" s="15">
        <f>IFERROR(__xludf.DUMMYFUNCTION("IFERROR(INDEX(FILTER('RE Portfolio'!A$2:A2000,'RE Portfolio'!D$2:D2000=""BUY""), INT((ROW()-2)/amortYears)+1), )
"),5.0)</f>
        <v>5</v>
      </c>
      <c r="B154" s="15">
        <f>IFERROR(__xludf.DUMMYFUNCTION("IFERROR(INDEX(FILTER('RE Portfolio'!B$2:B2000,'RE Portfolio'!D$2:D2000=""BUY""), INT((ROW()-2)/amortYears)+1), )
"),37.0)</f>
        <v>37</v>
      </c>
      <c r="C154" s="15">
        <f>IFERROR(__xludf.DUMMYFUNCTION("IFERROR(INDEX(FILTER('RE Portfolio'!G$2:G2000,'RE Portfolio'!D$2:D2000=""BUY""), INT((ROW()-2)/amortYears)+1), )
"),310164.9850918022)</f>
        <v>310164.9851</v>
      </c>
      <c r="D154" s="15">
        <f>MOD(ROW()-2, amortYears)+1</f>
        <v>1</v>
      </c>
      <c r="E154" s="15">
        <f t="shared" si="1"/>
        <v>37</v>
      </c>
      <c r="F154" s="15">
        <f t="shared" si="2"/>
        <v>310164.9851</v>
      </c>
      <c r="G154" s="16">
        <f>IF(D154&lt;=mortTerm, -PMT(mortRate/12, mortTerm*12, C154)*12, 0)
</f>
        <v>23525.44429</v>
      </c>
      <c r="H154" s="16">
        <f>IF(D154&lt;=mortTerm, G154 - I154, 0)
</f>
        <v>20058.65126</v>
      </c>
      <c r="I154" s="16">
        <f>IF(D154&lt;=mortTerm, F154 - J154, 0)
</f>
        <v>3466.793034</v>
      </c>
      <c r="J154" s="16">
        <f>IF(D154&lt;=mortTerm,
   F154*(1+mortRate/12)^12 - (-PMT(mortRate/12, mortTerm*12, C154))*(((1+mortRate/12)^12 - 1)/(mortRate/12)),
   0
)
</f>
        <v>306698.1921</v>
      </c>
      <c r="K154" s="13">
        <f>IFERROR(__xludf.DUMMYFUNCTION("IF(A154="""","""",
   IF(F154&gt;0,
      INDEX(FILTER('RE Portfolio'!L$2:L2000,'RE Portfolio'!D$2:D2000=""BUY""), INT((ROW()-2)/amortYears)+1) - G154,
      INDEX(FILTER('RE Portfolio'!L$2:L2000,'RE Portfolio'!D$2:D2000=""BUY""), INT((ROW()-2)/amortYears)+1"&amp;")
   )
)
"),7242.922231062719)</f>
        <v>7242.922231</v>
      </c>
      <c r="L154" s="15">
        <f>IFERROR(__xludf.DUMMYFUNCTION("IF(A154="""","""",
  INDEX(FILTER('RE Portfolio'!C$2:C2000,'RE Portfolio'!D$2:D2000=""BUY""), INT((ROW()-2)/amortYears)+1)
  * (1 + VALUE(Assumptions!$B$11))^(D154-1)
)
"),413553.31345573626)</f>
        <v>413553.3135</v>
      </c>
    </row>
    <row r="155">
      <c r="A155" s="15">
        <f>IFERROR(__xludf.DUMMYFUNCTION("IFERROR(INDEX(FILTER('RE Portfolio'!A$2:A2000,'RE Portfolio'!D$2:D2000=""BUY""), INT((ROW()-2)/amortYears)+1), )
"),5.0)</f>
        <v>5</v>
      </c>
      <c r="B155" s="15">
        <f>IFERROR(__xludf.DUMMYFUNCTION("IFERROR(INDEX(FILTER('RE Portfolio'!B$2:B2000,'RE Portfolio'!D$2:D2000=""BUY""), INT((ROW()-2)/amortYears)+1), )
"),37.0)</f>
        <v>37</v>
      </c>
      <c r="C155" s="15">
        <f>IFERROR(__xludf.DUMMYFUNCTION("IFERROR(INDEX(FILTER('RE Portfolio'!G$2:G2000,'RE Portfolio'!D$2:D2000=""BUY""), INT((ROW()-2)/amortYears)+1), )
"),310164.9850918022)</f>
        <v>310164.9851</v>
      </c>
      <c r="D155" s="15">
        <f>MOD(ROW()-2, amortYears)+1</f>
        <v>2</v>
      </c>
      <c r="E155" s="15">
        <f t="shared" si="1"/>
        <v>38</v>
      </c>
      <c r="F155" s="16">
        <f t="shared" si="2"/>
        <v>306698.1921</v>
      </c>
      <c r="G155" s="16">
        <f>IF(D155&lt;=mortTerm, -PMT(mortRate/12, mortTerm*12, C155)*12, 0)
</f>
        <v>23525.44429</v>
      </c>
      <c r="H155" s="16">
        <f>IF(D155&lt;=mortTerm, G155 - I155, 0)
</f>
        <v>19826.47371</v>
      </c>
      <c r="I155" s="16">
        <f>IF(D155&lt;=mortTerm, F155 - J155, 0)
</f>
        <v>3698.970584</v>
      </c>
      <c r="J155" s="16">
        <f>IF(D155&lt;=mortTerm,
   F155*(1+mortRate/12)^12 - (-PMT(mortRate/12, mortTerm*12, C155))*(((1+mortRate/12)^12 - 1)/(mortRate/12)),
   0
)
</f>
        <v>302999.2215</v>
      </c>
      <c r="K155" s="13">
        <f>IFERROR(__xludf.DUMMYFUNCTION("IF(A155="""","""",
   IF(F155&gt;0,
      INDEX(FILTER('RE Portfolio'!L$2:L2000,'RE Portfolio'!D$2:D2000=""BUY""), INT((ROW()-2)/amortYears)+1) - G155,
      INDEX(FILTER('RE Portfolio'!L$2:L2000,'RE Portfolio'!D$2:D2000=""BUY""), INT((ROW()-2)/amortYears)+1"&amp;")
   )
)
"),7242.922231062719)</f>
        <v>7242.922231</v>
      </c>
      <c r="L155" s="15">
        <f>IFERROR(__xludf.DUMMYFUNCTION("IF(A155="""","""",
  INDEX(FILTER('RE Portfolio'!C$2:C2000,'RE Portfolio'!D$2:D2000=""BUY""), INT((ROW()-2)/amortYears)+1)
  * (1 + VALUE(Assumptions!$B$11))^(D155-1)
)
"),430095.4459939657)</f>
        <v>430095.446</v>
      </c>
    </row>
    <row r="156">
      <c r="A156" s="15">
        <f>IFERROR(__xludf.DUMMYFUNCTION("IFERROR(INDEX(FILTER('RE Portfolio'!A$2:A2000,'RE Portfolio'!D$2:D2000=""BUY""), INT((ROW()-2)/amortYears)+1), )
"),5.0)</f>
        <v>5</v>
      </c>
      <c r="B156" s="15">
        <f>IFERROR(__xludf.DUMMYFUNCTION("IFERROR(INDEX(FILTER('RE Portfolio'!B$2:B2000,'RE Portfolio'!D$2:D2000=""BUY""), INT((ROW()-2)/amortYears)+1), )
"),37.0)</f>
        <v>37</v>
      </c>
      <c r="C156" s="15">
        <f>IFERROR(__xludf.DUMMYFUNCTION("IFERROR(INDEX(FILTER('RE Portfolio'!G$2:G2000,'RE Portfolio'!D$2:D2000=""BUY""), INT((ROW()-2)/amortYears)+1), )
"),310164.9850918022)</f>
        <v>310164.9851</v>
      </c>
      <c r="D156" s="15">
        <f>MOD(ROW()-2, amortYears)+1</f>
        <v>3</v>
      </c>
      <c r="E156" s="15">
        <f t="shared" si="1"/>
        <v>39</v>
      </c>
      <c r="F156" s="16">
        <f t="shared" si="2"/>
        <v>302999.2215</v>
      </c>
      <c r="G156" s="16">
        <f>IF(D156&lt;=mortTerm, -PMT(mortRate/12, mortTerm*12, C156)*12, 0)
</f>
        <v>23525.44429</v>
      </c>
      <c r="H156" s="16">
        <f>IF(D156&lt;=mortTerm, G156 - I156, 0)
</f>
        <v>19578.7468</v>
      </c>
      <c r="I156" s="16">
        <f>IF(D156&lt;=mortTerm, F156 - J156, 0)
</f>
        <v>3946.697495</v>
      </c>
      <c r="J156" s="16">
        <f>IF(D156&lt;=mortTerm,
   F156*(1+mortRate/12)^12 - (-PMT(mortRate/12, mortTerm*12, C156))*(((1+mortRate/12)^12 - 1)/(mortRate/12)),
   0
)
</f>
        <v>299052.524</v>
      </c>
      <c r="K156" s="13">
        <f>IFERROR(__xludf.DUMMYFUNCTION("IF(A156="""","""",
   IF(F156&gt;0,
      INDEX(FILTER('RE Portfolio'!L$2:L2000,'RE Portfolio'!D$2:D2000=""BUY""), INT((ROW()-2)/amortYears)+1) - G156,
      INDEX(FILTER('RE Portfolio'!L$2:L2000,'RE Portfolio'!D$2:D2000=""BUY""), INT((ROW()-2)/amortYears)+1"&amp;")
   )
)
"),7242.922231062719)</f>
        <v>7242.922231</v>
      </c>
      <c r="L156" s="15">
        <f>IFERROR(__xludf.DUMMYFUNCTION("IF(A156="""","""",
  INDEX(FILTER('RE Portfolio'!C$2:C2000,'RE Portfolio'!D$2:D2000=""BUY""), INT((ROW()-2)/amortYears)+1)
  * (1 + VALUE(Assumptions!$B$11))^(D156-1)
)
"),447299.26383372437)</f>
        <v>447299.2638</v>
      </c>
    </row>
    <row r="157">
      <c r="A157" s="15">
        <f>IFERROR(__xludf.DUMMYFUNCTION("IFERROR(INDEX(FILTER('RE Portfolio'!A$2:A2000,'RE Portfolio'!D$2:D2000=""BUY""), INT((ROW()-2)/amortYears)+1), )
"),5.0)</f>
        <v>5</v>
      </c>
      <c r="B157" s="15">
        <f>IFERROR(__xludf.DUMMYFUNCTION("IFERROR(INDEX(FILTER('RE Portfolio'!B$2:B2000,'RE Portfolio'!D$2:D2000=""BUY""), INT((ROW()-2)/amortYears)+1), )
"),37.0)</f>
        <v>37</v>
      </c>
      <c r="C157" s="15">
        <f>IFERROR(__xludf.DUMMYFUNCTION("IFERROR(INDEX(FILTER('RE Portfolio'!G$2:G2000,'RE Portfolio'!D$2:D2000=""BUY""), INT((ROW()-2)/amortYears)+1), )
"),310164.9850918022)</f>
        <v>310164.9851</v>
      </c>
      <c r="D157" s="15">
        <f>MOD(ROW()-2, amortYears)+1</f>
        <v>4</v>
      </c>
      <c r="E157" s="15">
        <f t="shared" si="1"/>
        <v>40</v>
      </c>
      <c r="F157" s="16">
        <f t="shared" si="2"/>
        <v>299052.524</v>
      </c>
      <c r="G157" s="16">
        <f>IF(D157&lt;=mortTerm, -PMT(mortRate/12, mortTerm*12, C157)*12, 0)
</f>
        <v>23525.44429</v>
      </c>
      <c r="H157" s="16">
        <f>IF(D157&lt;=mortTerm, G157 - I157, 0)
</f>
        <v>19314.42915</v>
      </c>
      <c r="I157" s="16">
        <f>IF(D157&lt;=mortTerm, F157 - J157, 0)
</f>
        <v>4211.015135</v>
      </c>
      <c r="J157" s="16">
        <f>IF(D157&lt;=mortTerm,
   F157*(1+mortRate/12)^12 - (-PMT(mortRate/12, mortTerm*12, C157))*(((1+mortRate/12)^12 - 1)/(mortRate/12)),
   0
)
</f>
        <v>294841.5088</v>
      </c>
      <c r="K157" s="13">
        <f>IFERROR(__xludf.DUMMYFUNCTION("IF(A157="""","""",
   IF(F157&gt;0,
      INDEX(FILTER('RE Portfolio'!L$2:L2000,'RE Portfolio'!D$2:D2000=""BUY""), INT((ROW()-2)/amortYears)+1) - G157,
      INDEX(FILTER('RE Portfolio'!L$2:L2000,'RE Portfolio'!D$2:D2000=""BUY""), INT((ROW()-2)/amortYears)+1"&amp;")
   )
)
"),7242.922231062719)</f>
        <v>7242.922231</v>
      </c>
      <c r="L157" s="15">
        <f>IFERROR(__xludf.DUMMYFUNCTION("IF(A157="""","""",
  INDEX(FILTER('RE Portfolio'!C$2:C2000,'RE Portfolio'!D$2:D2000=""BUY""), INT((ROW()-2)/amortYears)+1)
  * (1 + VALUE(Assumptions!$B$11))^(D157-1)
)
"),465191.2343870734)</f>
        <v>465191.2344</v>
      </c>
    </row>
    <row r="158">
      <c r="A158" s="15">
        <f>IFERROR(__xludf.DUMMYFUNCTION("IFERROR(INDEX(FILTER('RE Portfolio'!A$2:A2000,'RE Portfolio'!D$2:D2000=""BUY""), INT((ROW()-2)/amortYears)+1), )
"),5.0)</f>
        <v>5</v>
      </c>
      <c r="B158" s="15">
        <f>IFERROR(__xludf.DUMMYFUNCTION("IFERROR(INDEX(FILTER('RE Portfolio'!B$2:B2000,'RE Portfolio'!D$2:D2000=""BUY""), INT((ROW()-2)/amortYears)+1), )
"),37.0)</f>
        <v>37</v>
      </c>
      <c r="C158" s="15">
        <f>IFERROR(__xludf.DUMMYFUNCTION("IFERROR(INDEX(FILTER('RE Portfolio'!G$2:G2000,'RE Portfolio'!D$2:D2000=""BUY""), INT((ROW()-2)/amortYears)+1), )
"),310164.9850918022)</f>
        <v>310164.9851</v>
      </c>
      <c r="D158" s="15">
        <f>MOD(ROW()-2, amortYears)+1</f>
        <v>5</v>
      </c>
      <c r="E158" s="15">
        <f t="shared" si="1"/>
        <v>41</v>
      </c>
      <c r="F158" s="16">
        <f t="shared" si="2"/>
        <v>294841.5088</v>
      </c>
      <c r="G158" s="16">
        <f>IF(D158&lt;=mortTerm, -PMT(mortRate/12, mortTerm*12, C158)*12, 0)
</f>
        <v>23525.44429</v>
      </c>
      <c r="H158" s="16">
        <f>IF(D158&lt;=mortTerm, G158 - I158, 0)
</f>
        <v>19032.40967</v>
      </c>
      <c r="I158" s="16">
        <f>IF(D158&lt;=mortTerm, F158 - J158, 0)
</f>
        <v>4493.034618</v>
      </c>
      <c r="J158" s="16">
        <f>IF(D158&lt;=mortTerm,
   F158*(1+mortRate/12)^12 - (-PMT(mortRate/12, mortTerm*12, C158))*(((1+mortRate/12)^12 - 1)/(mortRate/12)),
   0
)
</f>
        <v>290348.4742</v>
      </c>
      <c r="K158" s="13">
        <f>IFERROR(__xludf.DUMMYFUNCTION("IF(A158="""","""",
   IF(F158&gt;0,
      INDEX(FILTER('RE Portfolio'!L$2:L2000,'RE Portfolio'!D$2:D2000=""BUY""), INT((ROW()-2)/amortYears)+1) - G158,
      INDEX(FILTER('RE Portfolio'!L$2:L2000,'RE Portfolio'!D$2:D2000=""BUY""), INT((ROW()-2)/amortYears)+1"&amp;")
   )
)
"),7242.922231062719)</f>
        <v>7242.922231</v>
      </c>
      <c r="L158" s="15">
        <f>IFERROR(__xludf.DUMMYFUNCTION("IF(A158="""","""",
  INDEX(FILTER('RE Portfolio'!C$2:C2000,'RE Portfolio'!D$2:D2000=""BUY""), INT((ROW()-2)/amortYears)+1)
  * (1 + VALUE(Assumptions!$B$11))^(D158-1)
)
"),483798.88376255636)</f>
        <v>483798.8838</v>
      </c>
    </row>
    <row r="159">
      <c r="A159" s="15">
        <f>IFERROR(__xludf.DUMMYFUNCTION("IFERROR(INDEX(FILTER('RE Portfolio'!A$2:A2000,'RE Portfolio'!D$2:D2000=""BUY""), INT((ROW()-2)/amortYears)+1), )
"),5.0)</f>
        <v>5</v>
      </c>
      <c r="B159" s="15">
        <f>IFERROR(__xludf.DUMMYFUNCTION("IFERROR(INDEX(FILTER('RE Portfolio'!B$2:B2000,'RE Portfolio'!D$2:D2000=""BUY""), INT((ROW()-2)/amortYears)+1), )
"),37.0)</f>
        <v>37</v>
      </c>
      <c r="C159" s="15">
        <f>IFERROR(__xludf.DUMMYFUNCTION("IFERROR(INDEX(FILTER('RE Portfolio'!G$2:G2000,'RE Portfolio'!D$2:D2000=""BUY""), INT((ROW()-2)/amortYears)+1), )
"),310164.9850918022)</f>
        <v>310164.9851</v>
      </c>
      <c r="D159" s="15">
        <f>MOD(ROW()-2, amortYears)+1</f>
        <v>6</v>
      </c>
      <c r="E159" s="15">
        <f t="shared" si="1"/>
        <v>42</v>
      </c>
      <c r="F159" s="16">
        <f t="shared" si="2"/>
        <v>290348.4742</v>
      </c>
      <c r="G159" s="16">
        <f>IF(D159&lt;=mortTerm, -PMT(mortRate/12, mortTerm*12, C159)*12, 0)
</f>
        <v>23525.44429</v>
      </c>
      <c r="H159" s="16">
        <f>IF(D159&lt;=mortTerm, G159 - I159, 0)
</f>
        <v>18731.50282</v>
      </c>
      <c r="I159" s="16">
        <f>IF(D159&lt;=mortTerm, F159 - J159, 0)
</f>
        <v>4793.941467</v>
      </c>
      <c r="J159" s="16">
        <f>IF(D159&lt;=mortTerm,
   F159*(1+mortRate/12)^12 - (-PMT(mortRate/12, mortTerm*12, C159))*(((1+mortRate/12)^12 - 1)/(mortRate/12)),
   0
)
</f>
        <v>285554.5328</v>
      </c>
      <c r="K159" s="13">
        <f>IFERROR(__xludf.DUMMYFUNCTION("IF(A159="""","""",
   IF(F159&gt;0,
      INDEX(FILTER('RE Portfolio'!L$2:L2000,'RE Portfolio'!D$2:D2000=""BUY""), INT((ROW()-2)/amortYears)+1) - G159,
      INDEX(FILTER('RE Portfolio'!L$2:L2000,'RE Portfolio'!D$2:D2000=""BUY""), INT((ROW()-2)/amortYears)+1"&amp;")
   )
)
"),7242.922231062719)</f>
        <v>7242.922231</v>
      </c>
      <c r="L159" s="15">
        <f>IFERROR(__xludf.DUMMYFUNCTION("IF(A159="""","""",
  INDEX(FILTER('RE Portfolio'!C$2:C2000,'RE Portfolio'!D$2:D2000=""BUY""), INT((ROW()-2)/amortYears)+1)
  * (1 + VALUE(Assumptions!$B$11))^(D159-1)
)
"),503150.8391130586)</f>
        <v>503150.8391</v>
      </c>
    </row>
    <row r="160">
      <c r="A160" s="15">
        <f>IFERROR(__xludf.DUMMYFUNCTION("IFERROR(INDEX(FILTER('RE Portfolio'!A$2:A2000,'RE Portfolio'!D$2:D2000=""BUY""), INT((ROW()-2)/amortYears)+1), )
"),5.0)</f>
        <v>5</v>
      </c>
      <c r="B160" s="15">
        <f>IFERROR(__xludf.DUMMYFUNCTION("IFERROR(INDEX(FILTER('RE Portfolio'!B$2:B2000,'RE Portfolio'!D$2:D2000=""BUY""), INT((ROW()-2)/amortYears)+1), )
"),37.0)</f>
        <v>37</v>
      </c>
      <c r="C160" s="15">
        <f>IFERROR(__xludf.DUMMYFUNCTION("IFERROR(INDEX(FILTER('RE Portfolio'!G$2:G2000,'RE Portfolio'!D$2:D2000=""BUY""), INT((ROW()-2)/amortYears)+1), )
"),310164.9850918022)</f>
        <v>310164.9851</v>
      </c>
      <c r="D160" s="15">
        <f>MOD(ROW()-2, amortYears)+1</f>
        <v>7</v>
      </c>
      <c r="E160" s="15">
        <f t="shared" si="1"/>
        <v>43</v>
      </c>
      <c r="F160" s="16">
        <f t="shared" si="2"/>
        <v>285554.5328</v>
      </c>
      <c r="G160" s="16">
        <f>IF(D160&lt;=mortTerm, -PMT(mortRate/12, mortTerm*12, C160)*12, 0)
</f>
        <v>23525.44429</v>
      </c>
      <c r="H160" s="16">
        <f>IF(D160&lt;=mortTerm, G160 - I160, 0)
</f>
        <v>18410.44368</v>
      </c>
      <c r="I160" s="16">
        <f>IF(D160&lt;=mortTerm, F160 - J160, 0)
</f>
        <v>5115.000606</v>
      </c>
      <c r="J160" s="16">
        <f>IF(D160&lt;=mortTerm,
   F160*(1+mortRate/12)^12 - (-PMT(mortRate/12, mortTerm*12, C160))*(((1+mortRate/12)^12 - 1)/(mortRate/12)),
   0
)
</f>
        <v>280439.5322</v>
      </c>
      <c r="K160" s="13">
        <f>IFERROR(__xludf.DUMMYFUNCTION("IF(A160="""","""",
   IF(F160&gt;0,
      INDEX(FILTER('RE Portfolio'!L$2:L2000,'RE Portfolio'!D$2:D2000=""BUY""), INT((ROW()-2)/amortYears)+1) - G160,
      INDEX(FILTER('RE Portfolio'!L$2:L2000,'RE Portfolio'!D$2:D2000=""BUY""), INT((ROW()-2)/amortYears)+1"&amp;")
   )
)
"),7242.922231062719)</f>
        <v>7242.922231</v>
      </c>
      <c r="L160" s="15">
        <f>IFERROR(__xludf.DUMMYFUNCTION("IF(A160="""","""",
  INDEX(FILTER('RE Portfolio'!C$2:C2000,'RE Portfolio'!D$2:D2000=""BUY""), INT((ROW()-2)/amortYears)+1)
  * (1 + VALUE(Assumptions!$B$11))^(D160-1)
)
"),523276.872677581)</f>
        <v>523276.8727</v>
      </c>
    </row>
    <row r="161">
      <c r="A161" s="15">
        <f>IFERROR(__xludf.DUMMYFUNCTION("IFERROR(INDEX(FILTER('RE Portfolio'!A$2:A2000,'RE Portfolio'!D$2:D2000=""BUY""), INT((ROW()-2)/amortYears)+1), )
"),5.0)</f>
        <v>5</v>
      </c>
      <c r="B161" s="15">
        <f>IFERROR(__xludf.DUMMYFUNCTION("IFERROR(INDEX(FILTER('RE Portfolio'!B$2:B2000,'RE Portfolio'!D$2:D2000=""BUY""), INT((ROW()-2)/amortYears)+1), )
"),37.0)</f>
        <v>37</v>
      </c>
      <c r="C161" s="15">
        <f>IFERROR(__xludf.DUMMYFUNCTION("IFERROR(INDEX(FILTER('RE Portfolio'!G$2:G2000,'RE Portfolio'!D$2:D2000=""BUY""), INT((ROW()-2)/amortYears)+1), )
"),310164.9850918022)</f>
        <v>310164.9851</v>
      </c>
      <c r="D161" s="15">
        <f>MOD(ROW()-2, amortYears)+1</f>
        <v>8</v>
      </c>
      <c r="E161" s="15">
        <f t="shared" si="1"/>
        <v>44</v>
      </c>
      <c r="F161" s="16">
        <f t="shared" si="2"/>
        <v>280439.5322</v>
      </c>
      <c r="G161" s="16">
        <f>IF(D161&lt;=mortTerm, -PMT(mortRate/12, mortTerm*12, C161)*12, 0)
</f>
        <v>23525.44429</v>
      </c>
      <c r="H161" s="16">
        <f>IF(D161&lt;=mortTerm, G161 - I161, 0)
</f>
        <v>18067.88262</v>
      </c>
      <c r="I161" s="16">
        <f>IF(D161&lt;=mortTerm, F161 - J161, 0)
</f>
        <v>5457.561669</v>
      </c>
      <c r="J161" s="16">
        <f>IF(D161&lt;=mortTerm,
   F161*(1+mortRate/12)^12 - (-PMT(mortRate/12, mortTerm*12, C161))*(((1+mortRate/12)^12 - 1)/(mortRate/12)),
   0
)
</f>
        <v>274981.9705</v>
      </c>
      <c r="K161" s="13">
        <f>IFERROR(__xludf.DUMMYFUNCTION("IF(A161="""","""",
   IF(F161&gt;0,
      INDEX(FILTER('RE Portfolio'!L$2:L2000,'RE Portfolio'!D$2:D2000=""BUY""), INT((ROW()-2)/amortYears)+1) - G161,
      INDEX(FILTER('RE Portfolio'!L$2:L2000,'RE Portfolio'!D$2:D2000=""BUY""), INT((ROW()-2)/amortYears)+1"&amp;")
   )
)
"),7242.922231062719)</f>
        <v>7242.922231</v>
      </c>
      <c r="L161" s="15">
        <f>IFERROR(__xludf.DUMMYFUNCTION("IF(A161="""","""",
  INDEX(FILTER('RE Portfolio'!C$2:C2000,'RE Portfolio'!D$2:D2000=""BUY""), INT((ROW()-2)/amortYears)+1)
  * (1 + VALUE(Assumptions!$B$11))^(D161-1)
)
"),544207.9475846841)</f>
        <v>544207.9476</v>
      </c>
    </row>
    <row r="162">
      <c r="A162" s="15">
        <f>IFERROR(__xludf.DUMMYFUNCTION("IFERROR(INDEX(FILTER('RE Portfolio'!A$2:A2000,'RE Portfolio'!D$2:D2000=""BUY""), INT((ROW()-2)/amortYears)+1), )
"),5.0)</f>
        <v>5</v>
      </c>
      <c r="B162" s="15">
        <f>IFERROR(__xludf.DUMMYFUNCTION("IFERROR(INDEX(FILTER('RE Portfolio'!B$2:B2000,'RE Portfolio'!D$2:D2000=""BUY""), INT((ROW()-2)/amortYears)+1), )
"),37.0)</f>
        <v>37</v>
      </c>
      <c r="C162" s="15">
        <f>IFERROR(__xludf.DUMMYFUNCTION("IFERROR(INDEX(FILTER('RE Portfolio'!G$2:G2000,'RE Portfolio'!D$2:D2000=""BUY""), INT((ROW()-2)/amortYears)+1), )
"),310164.9850918022)</f>
        <v>310164.9851</v>
      </c>
      <c r="D162" s="15">
        <f>MOD(ROW()-2, amortYears)+1</f>
        <v>9</v>
      </c>
      <c r="E162" s="15">
        <f t="shared" si="1"/>
        <v>45</v>
      </c>
      <c r="F162" s="16">
        <f t="shared" si="2"/>
        <v>274981.9705</v>
      </c>
      <c r="G162" s="16">
        <f>IF(D162&lt;=mortTerm, -PMT(mortRate/12, mortTerm*12, C162)*12, 0)
</f>
        <v>23525.44429</v>
      </c>
      <c r="H162" s="16">
        <f>IF(D162&lt;=mortTerm, G162 - I162, 0)
</f>
        <v>17702.37961</v>
      </c>
      <c r="I162" s="16">
        <f>IF(D162&lt;=mortTerm, F162 - J162, 0)
</f>
        <v>5823.064681</v>
      </c>
      <c r="J162" s="16">
        <f>IF(D162&lt;=mortTerm,
   F162*(1+mortRate/12)^12 - (-PMT(mortRate/12, mortTerm*12, C162))*(((1+mortRate/12)^12 - 1)/(mortRate/12)),
   0
)
</f>
        <v>269158.9058</v>
      </c>
      <c r="K162" s="13">
        <f>IFERROR(__xludf.DUMMYFUNCTION("IF(A162="""","""",
   IF(F162&gt;0,
      INDEX(FILTER('RE Portfolio'!L$2:L2000,'RE Portfolio'!D$2:D2000=""BUY""), INT((ROW()-2)/amortYears)+1) - G162,
      INDEX(FILTER('RE Portfolio'!L$2:L2000,'RE Portfolio'!D$2:D2000=""BUY""), INT((ROW()-2)/amortYears)+1"&amp;")
   )
)
"),7242.922231062719)</f>
        <v>7242.922231</v>
      </c>
      <c r="L162" s="15">
        <f>IFERROR(__xludf.DUMMYFUNCTION("IF(A162="""","""",
  INDEX(FILTER('RE Portfolio'!C$2:C2000,'RE Portfolio'!D$2:D2000=""BUY""), INT((ROW()-2)/amortYears)+1)
  * (1 + VALUE(Assumptions!$B$11))^(D162-1)
)
"),565976.2654880716)</f>
        <v>565976.2655</v>
      </c>
    </row>
    <row r="163">
      <c r="A163" s="15">
        <f>IFERROR(__xludf.DUMMYFUNCTION("IFERROR(INDEX(FILTER('RE Portfolio'!A$2:A2000,'RE Portfolio'!D$2:D2000=""BUY""), INT((ROW()-2)/amortYears)+1), )
"),5.0)</f>
        <v>5</v>
      </c>
      <c r="B163" s="15">
        <f>IFERROR(__xludf.DUMMYFUNCTION("IFERROR(INDEX(FILTER('RE Portfolio'!B$2:B2000,'RE Portfolio'!D$2:D2000=""BUY""), INT((ROW()-2)/amortYears)+1), )
"),37.0)</f>
        <v>37</v>
      </c>
      <c r="C163" s="15">
        <f>IFERROR(__xludf.DUMMYFUNCTION("IFERROR(INDEX(FILTER('RE Portfolio'!G$2:G2000,'RE Portfolio'!D$2:D2000=""BUY""), INT((ROW()-2)/amortYears)+1), )
"),310164.9850918022)</f>
        <v>310164.9851</v>
      </c>
      <c r="D163" s="15">
        <f>MOD(ROW()-2, amortYears)+1</f>
        <v>10</v>
      </c>
      <c r="E163" s="15">
        <f t="shared" si="1"/>
        <v>46</v>
      </c>
      <c r="F163" s="16">
        <f t="shared" si="2"/>
        <v>269158.9058</v>
      </c>
      <c r="G163" s="16">
        <f>IF(D163&lt;=mortTerm, -PMT(mortRate/12, mortTerm*12, C163)*12, 0)
</f>
        <v>23525.44429</v>
      </c>
      <c r="H163" s="16">
        <f>IF(D163&lt;=mortTerm, G163 - I163, 0)
</f>
        <v>17312.39818</v>
      </c>
      <c r="I163" s="16">
        <f>IF(D163&lt;=mortTerm, F163 - J163, 0)
</f>
        <v>6213.046108</v>
      </c>
      <c r="J163" s="16">
        <f>IF(D163&lt;=mortTerm,
   F163*(1+mortRate/12)^12 - (-PMT(mortRate/12, mortTerm*12, C163))*(((1+mortRate/12)^12 - 1)/(mortRate/12)),
   0
)
</f>
        <v>262945.8597</v>
      </c>
      <c r="K163" s="13">
        <f>IFERROR(__xludf.DUMMYFUNCTION("IF(A163="""","""",
   IF(F163&gt;0,
      INDEX(FILTER('RE Portfolio'!L$2:L2000,'RE Portfolio'!D$2:D2000=""BUY""), INT((ROW()-2)/amortYears)+1) - G163,
      INDEX(FILTER('RE Portfolio'!L$2:L2000,'RE Portfolio'!D$2:D2000=""BUY""), INT((ROW()-2)/amortYears)+1"&amp;")
   )
)
"),7242.922231062719)</f>
        <v>7242.922231</v>
      </c>
      <c r="L163" s="15">
        <f>IFERROR(__xludf.DUMMYFUNCTION("IF(A163="""","""",
  INDEX(FILTER('RE Portfolio'!C$2:C2000,'RE Portfolio'!D$2:D2000=""BUY""), INT((ROW()-2)/amortYears)+1)
  * (1 + VALUE(Assumptions!$B$11))^(D163-1)
)
"),588615.3161075945)</f>
        <v>588615.3161</v>
      </c>
    </row>
    <row r="164">
      <c r="A164" s="15">
        <f>IFERROR(__xludf.DUMMYFUNCTION("IFERROR(INDEX(FILTER('RE Portfolio'!A$2:A2000,'RE Portfolio'!D$2:D2000=""BUY""), INT((ROW()-2)/amortYears)+1), )
"),5.0)</f>
        <v>5</v>
      </c>
      <c r="B164" s="15">
        <f>IFERROR(__xludf.DUMMYFUNCTION("IFERROR(INDEX(FILTER('RE Portfolio'!B$2:B2000,'RE Portfolio'!D$2:D2000=""BUY""), INT((ROW()-2)/amortYears)+1), )
"),37.0)</f>
        <v>37</v>
      </c>
      <c r="C164" s="15">
        <f>IFERROR(__xludf.DUMMYFUNCTION("IFERROR(INDEX(FILTER('RE Portfolio'!G$2:G2000,'RE Portfolio'!D$2:D2000=""BUY""), INT((ROW()-2)/amortYears)+1), )
"),310164.9850918022)</f>
        <v>310164.9851</v>
      </c>
      <c r="D164" s="15">
        <f>MOD(ROW()-2, amortYears)+1</f>
        <v>11</v>
      </c>
      <c r="E164" s="15">
        <f t="shared" si="1"/>
        <v>47</v>
      </c>
      <c r="F164" s="16">
        <f t="shared" si="2"/>
        <v>262945.8597</v>
      </c>
      <c r="G164" s="16">
        <f>IF(D164&lt;=mortTerm, -PMT(mortRate/12, mortTerm*12, C164)*12, 0)
</f>
        <v>23525.44429</v>
      </c>
      <c r="H164" s="16">
        <f>IF(D164&lt;=mortTerm, G164 - I164, 0)
</f>
        <v>16896.29898</v>
      </c>
      <c r="I164" s="16">
        <f>IF(D164&lt;=mortTerm, F164 - J164, 0)
</f>
        <v>6629.145312</v>
      </c>
      <c r="J164" s="16">
        <f>IF(D164&lt;=mortTerm,
   F164*(1+mortRate/12)^12 - (-PMT(mortRate/12, mortTerm*12, C164))*(((1+mortRate/12)^12 - 1)/(mortRate/12)),
   0
)
</f>
        <v>256316.7144</v>
      </c>
      <c r="K164" s="13">
        <f>IFERROR(__xludf.DUMMYFUNCTION("IF(A164="""","""",
   IF(F164&gt;0,
      INDEX(FILTER('RE Portfolio'!L$2:L2000,'RE Portfolio'!D$2:D2000=""BUY""), INT((ROW()-2)/amortYears)+1) - G164,
      INDEX(FILTER('RE Portfolio'!L$2:L2000,'RE Portfolio'!D$2:D2000=""BUY""), INT((ROW()-2)/amortYears)+1"&amp;")
   )
)
"),7242.922231062719)</f>
        <v>7242.922231</v>
      </c>
      <c r="L164" s="15">
        <f>IFERROR(__xludf.DUMMYFUNCTION("IF(A164="""","""",
  INDEX(FILTER('RE Portfolio'!C$2:C2000,'RE Portfolio'!D$2:D2000=""BUY""), INT((ROW()-2)/amortYears)+1)
  * (1 + VALUE(Assumptions!$B$11))^(D164-1)
)
"),612159.9287518982)</f>
        <v>612159.9288</v>
      </c>
    </row>
    <row r="165">
      <c r="A165" s="15">
        <f>IFERROR(__xludf.DUMMYFUNCTION("IFERROR(INDEX(FILTER('RE Portfolio'!A$2:A2000,'RE Portfolio'!D$2:D2000=""BUY""), INT((ROW()-2)/amortYears)+1), )
"),5.0)</f>
        <v>5</v>
      </c>
      <c r="B165" s="15">
        <f>IFERROR(__xludf.DUMMYFUNCTION("IFERROR(INDEX(FILTER('RE Portfolio'!B$2:B2000,'RE Portfolio'!D$2:D2000=""BUY""), INT((ROW()-2)/amortYears)+1), )
"),37.0)</f>
        <v>37</v>
      </c>
      <c r="C165" s="15">
        <f>IFERROR(__xludf.DUMMYFUNCTION("IFERROR(INDEX(FILTER('RE Portfolio'!G$2:G2000,'RE Portfolio'!D$2:D2000=""BUY""), INT((ROW()-2)/amortYears)+1), )
"),310164.9850918022)</f>
        <v>310164.9851</v>
      </c>
      <c r="D165" s="15">
        <f>MOD(ROW()-2, amortYears)+1</f>
        <v>12</v>
      </c>
      <c r="E165" s="15">
        <f t="shared" si="1"/>
        <v>48</v>
      </c>
      <c r="F165" s="16">
        <f t="shared" si="2"/>
        <v>256316.7144</v>
      </c>
      <c r="G165" s="16">
        <f>IF(D165&lt;=mortTerm, -PMT(mortRate/12, mortTerm*12, C165)*12, 0)
</f>
        <v>23525.44429</v>
      </c>
      <c r="H165" s="16">
        <f>IF(D165&lt;=mortTerm, G165 - I165, 0)
</f>
        <v>16452.33284</v>
      </c>
      <c r="I165" s="16">
        <f>IF(D165&lt;=mortTerm, F165 - J165, 0)
</f>
        <v>7073.111451</v>
      </c>
      <c r="J165" s="16">
        <f>IF(D165&lt;=mortTerm,
   F165*(1+mortRate/12)^12 - (-PMT(mortRate/12, mortTerm*12, C165))*(((1+mortRate/12)^12 - 1)/(mortRate/12)),
   0
)
</f>
        <v>249243.6029</v>
      </c>
      <c r="K165" s="13">
        <f>IFERROR(__xludf.DUMMYFUNCTION("IF(A165="""","""",
   IF(F165&gt;0,
      INDEX(FILTER('RE Portfolio'!L$2:L2000,'RE Portfolio'!D$2:D2000=""BUY""), INT((ROW()-2)/amortYears)+1) - G165,
      INDEX(FILTER('RE Portfolio'!L$2:L2000,'RE Portfolio'!D$2:D2000=""BUY""), INT((ROW()-2)/amortYears)+1"&amp;")
   )
)
"),7242.922231062719)</f>
        <v>7242.922231</v>
      </c>
      <c r="L165" s="15">
        <f>IFERROR(__xludf.DUMMYFUNCTION("IF(A165="""","""",
  INDEX(FILTER('RE Portfolio'!C$2:C2000,'RE Portfolio'!D$2:D2000=""BUY""), INT((ROW()-2)/amortYears)+1)
  * (1 + VALUE(Assumptions!$B$11))^(D165-1)
)
"),636646.3259019742)</f>
        <v>636646.3259</v>
      </c>
    </row>
    <row r="166">
      <c r="A166" s="15">
        <f>IFERROR(__xludf.DUMMYFUNCTION("IFERROR(INDEX(FILTER('RE Portfolio'!A$2:A2000,'RE Portfolio'!D$2:D2000=""BUY""), INT((ROW()-2)/amortYears)+1), )
"),5.0)</f>
        <v>5</v>
      </c>
      <c r="B166" s="15">
        <f>IFERROR(__xludf.DUMMYFUNCTION("IFERROR(INDEX(FILTER('RE Portfolio'!B$2:B2000,'RE Portfolio'!D$2:D2000=""BUY""), INT((ROW()-2)/amortYears)+1), )
"),37.0)</f>
        <v>37</v>
      </c>
      <c r="C166" s="15">
        <f>IFERROR(__xludf.DUMMYFUNCTION("IFERROR(INDEX(FILTER('RE Portfolio'!G$2:G2000,'RE Portfolio'!D$2:D2000=""BUY""), INT((ROW()-2)/amortYears)+1), )
"),310164.9850918022)</f>
        <v>310164.9851</v>
      </c>
      <c r="D166" s="15">
        <f>MOD(ROW()-2, amortYears)+1</f>
        <v>13</v>
      </c>
      <c r="E166" s="15">
        <f t="shared" si="1"/>
        <v>49</v>
      </c>
      <c r="F166" s="16">
        <f t="shared" si="2"/>
        <v>249243.6029</v>
      </c>
      <c r="G166" s="16">
        <f>IF(D166&lt;=mortTerm, -PMT(mortRate/12, mortTerm*12, C166)*12, 0)
</f>
        <v>23525.44429</v>
      </c>
      <c r="H166" s="16">
        <f>IF(D166&lt;=mortTerm, G166 - I166, 0)
</f>
        <v>15978.63347</v>
      </c>
      <c r="I166" s="16">
        <f>IF(D166&lt;=mortTerm, F166 - J166, 0)
</f>
        <v>7546.810824</v>
      </c>
      <c r="J166" s="16">
        <f>IF(D166&lt;=mortTerm,
   F166*(1+mortRate/12)^12 - (-PMT(mortRate/12, mortTerm*12, C166))*(((1+mortRate/12)^12 - 1)/(mortRate/12)),
   0
)
</f>
        <v>241696.7921</v>
      </c>
      <c r="K166" s="13">
        <f>IFERROR(__xludf.DUMMYFUNCTION("IF(A166="""","""",
   IF(F166&gt;0,
      INDEX(FILTER('RE Portfolio'!L$2:L2000,'RE Portfolio'!D$2:D2000=""BUY""), INT((ROW()-2)/amortYears)+1) - G166,
      INDEX(FILTER('RE Portfolio'!L$2:L2000,'RE Portfolio'!D$2:D2000=""BUY""), INT((ROW()-2)/amortYears)+1"&amp;")
   )
)
"),7242.922231062719)</f>
        <v>7242.922231</v>
      </c>
      <c r="L166" s="15">
        <f>IFERROR(__xludf.DUMMYFUNCTION("IF(A166="""","""",
  INDEX(FILTER('RE Portfolio'!C$2:C2000,'RE Portfolio'!D$2:D2000=""BUY""), INT((ROW()-2)/amortYears)+1)
  * (1 + VALUE(Assumptions!$B$11))^(D166-1)
)
"),662112.1789380532)</f>
        <v>662112.1789</v>
      </c>
    </row>
    <row r="167">
      <c r="A167" s="15">
        <f>IFERROR(__xludf.DUMMYFUNCTION("IFERROR(INDEX(FILTER('RE Portfolio'!A$2:A2000,'RE Portfolio'!D$2:D2000=""BUY""), INT((ROW()-2)/amortYears)+1), )
"),5.0)</f>
        <v>5</v>
      </c>
      <c r="B167" s="15">
        <f>IFERROR(__xludf.DUMMYFUNCTION("IFERROR(INDEX(FILTER('RE Portfolio'!B$2:B2000,'RE Portfolio'!D$2:D2000=""BUY""), INT((ROW()-2)/amortYears)+1), )
"),37.0)</f>
        <v>37</v>
      </c>
      <c r="C167" s="15">
        <f>IFERROR(__xludf.DUMMYFUNCTION("IFERROR(INDEX(FILTER('RE Portfolio'!G$2:G2000,'RE Portfolio'!D$2:D2000=""BUY""), INT((ROW()-2)/amortYears)+1), )
"),310164.9850918022)</f>
        <v>310164.9851</v>
      </c>
      <c r="D167" s="15">
        <f>MOD(ROW()-2, amortYears)+1</f>
        <v>14</v>
      </c>
      <c r="E167" s="15">
        <f t="shared" si="1"/>
        <v>50</v>
      </c>
      <c r="F167" s="16">
        <f t="shared" si="2"/>
        <v>241696.7921</v>
      </c>
      <c r="G167" s="16">
        <f>IF(D167&lt;=mortTerm, -PMT(mortRate/12, mortTerm*12, C167)*12, 0)
</f>
        <v>23525.44429</v>
      </c>
      <c r="H167" s="16">
        <f>IF(D167&lt;=mortTerm, G167 - I167, 0)
</f>
        <v>15473.20957</v>
      </c>
      <c r="I167" s="16">
        <f>IF(D167&lt;=mortTerm, F167 - J167, 0)
</f>
        <v>8052.234722</v>
      </c>
      <c r="J167" s="16">
        <f>IF(D167&lt;=mortTerm,
   F167*(1+mortRate/12)^12 - (-PMT(mortRate/12, mortTerm*12, C167))*(((1+mortRate/12)^12 - 1)/(mortRate/12)),
   0
)
</f>
        <v>233644.5574</v>
      </c>
      <c r="K167" s="13">
        <f>IFERROR(__xludf.DUMMYFUNCTION("IF(A167="""","""",
   IF(F167&gt;0,
      INDEX(FILTER('RE Portfolio'!L$2:L2000,'RE Portfolio'!D$2:D2000=""BUY""), INT((ROW()-2)/amortYears)+1) - G167,
      INDEX(FILTER('RE Portfolio'!L$2:L2000,'RE Portfolio'!D$2:D2000=""BUY""), INT((ROW()-2)/amortYears)+1"&amp;")
   )
)
"),7242.922231062719)</f>
        <v>7242.922231</v>
      </c>
      <c r="L167" s="15">
        <f>IFERROR(__xludf.DUMMYFUNCTION("IF(A167="""","""",
  INDEX(FILTER('RE Portfolio'!C$2:C2000,'RE Portfolio'!D$2:D2000=""BUY""), INT((ROW()-2)/amortYears)+1)
  * (1 + VALUE(Assumptions!$B$11))^(D167-1)
)
"),688596.6660955754)</f>
        <v>688596.6661</v>
      </c>
    </row>
    <row r="168">
      <c r="A168" s="15">
        <f>IFERROR(__xludf.DUMMYFUNCTION("IFERROR(INDEX(FILTER('RE Portfolio'!A$2:A2000,'RE Portfolio'!D$2:D2000=""BUY""), INT((ROW()-2)/amortYears)+1), )
"),5.0)</f>
        <v>5</v>
      </c>
      <c r="B168" s="15">
        <f>IFERROR(__xludf.DUMMYFUNCTION("IFERROR(INDEX(FILTER('RE Portfolio'!B$2:B2000,'RE Portfolio'!D$2:D2000=""BUY""), INT((ROW()-2)/amortYears)+1), )
"),37.0)</f>
        <v>37</v>
      </c>
      <c r="C168" s="15">
        <f>IFERROR(__xludf.DUMMYFUNCTION("IFERROR(INDEX(FILTER('RE Portfolio'!G$2:G2000,'RE Portfolio'!D$2:D2000=""BUY""), INT((ROW()-2)/amortYears)+1), )
"),310164.9850918022)</f>
        <v>310164.9851</v>
      </c>
      <c r="D168" s="15">
        <f>MOD(ROW()-2, amortYears)+1</f>
        <v>15</v>
      </c>
      <c r="E168" s="15">
        <f t="shared" si="1"/>
        <v>51</v>
      </c>
      <c r="F168" s="16">
        <f t="shared" si="2"/>
        <v>233644.5574</v>
      </c>
      <c r="G168" s="16">
        <f>IF(D168&lt;=mortTerm, -PMT(mortRate/12, mortTerm*12, C168)*12, 0)
</f>
        <v>23525.44429</v>
      </c>
      <c r="H168" s="16">
        <f>IF(D168&lt;=mortTerm, G168 - I168, 0)
</f>
        <v>14933.9365</v>
      </c>
      <c r="I168" s="16">
        <f>IF(D168&lt;=mortTerm, F168 - J168, 0)
</f>
        <v>8591.507794</v>
      </c>
      <c r="J168" s="16">
        <f>IF(D168&lt;=mortTerm,
   F168*(1+mortRate/12)^12 - (-PMT(mortRate/12, mortTerm*12, C168))*(((1+mortRate/12)^12 - 1)/(mortRate/12)),
   0
)
</f>
        <v>225053.0496</v>
      </c>
      <c r="K168" s="13">
        <f>IFERROR(__xludf.DUMMYFUNCTION("IF(A168="""","""",
   IF(F168&gt;0,
      INDEX(FILTER('RE Portfolio'!L$2:L2000,'RE Portfolio'!D$2:D2000=""BUY""), INT((ROW()-2)/amortYears)+1) - G168,
      INDEX(FILTER('RE Portfolio'!L$2:L2000,'RE Portfolio'!D$2:D2000=""BUY""), INT((ROW()-2)/amortYears)+1"&amp;")
   )
)
"),7242.922231062719)</f>
        <v>7242.922231</v>
      </c>
      <c r="L168" s="15">
        <f>IFERROR(__xludf.DUMMYFUNCTION("IF(A168="""","""",
  INDEX(FILTER('RE Portfolio'!C$2:C2000,'RE Portfolio'!D$2:D2000=""BUY""), INT((ROW()-2)/amortYears)+1)
  * (1 + VALUE(Assumptions!$B$11))^(D168-1)
)
"),716140.5327393984)</f>
        <v>716140.5327</v>
      </c>
    </row>
    <row r="169">
      <c r="A169" s="15">
        <f>IFERROR(__xludf.DUMMYFUNCTION("IFERROR(INDEX(FILTER('RE Portfolio'!A$2:A2000,'RE Portfolio'!D$2:D2000=""BUY""), INT((ROW()-2)/amortYears)+1), )
"),5.0)</f>
        <v>5</v>
      </c>
      <c r="B169" s="15">
        <f>IFERROR(__xludf.DUMMYFUNCTION("IFERROR(INDEX(FILTER('RE Portfolio'!B$2:B2000,'RE Portfolio'!D$2:D2000=""BUY""), INT((ROW()-2)/amortYears)+1), )
"),37.0)</f>
        <v>37</v>
      </c>
      <c r="C169" s="15">
        <f>IFERROR(__xludf.DUMMYFUNCTION("IFERROR(INDEX(FILTER('RE Portfolio'!G$2:G2000,'RE Portfolio'!D$2:D2000=""BUY""), INT((ROW()-2)/amortYears)+1), )
"),310164.9850918022)</f>
        <v>310164.9851</v>
      </c>
      <c r="D169" s="15">
        <f>MOD(ROW()-2, amortYears)+1</f>
        <v>16</v>
      </c>
      <c r="E169" s="15">
        <f t="shared" si="1"/>
        <v>52</v>
      </c>
      <c r="F169" s="16">
        <f t="shared" si="2"/>
        <v>225053.0496</v>
      </c>
      <c r="G169" s="16">
        <f>IF(D169&lt;=mortTerm, -PMT(mortRate/12, mortTerm*12, C169)*12, 0)
</f>
        <v>23525.44429</v>
      </c>
      <c r="H169" s="16">
        <f>IF(D169&lt;=mortTerm, G169 - I169, 0)
</f>
        <v>14358.54731</v>
      </c>
      <c r="I169" s="16">
        <f>IF(D169&lt;=mortTerm, F169 - J169, 0)
</f>
        <v>9166.896982</v>
      </c>
      <c r="J169" s="16">
        <f>IF(D169&lt;=mortTerm,
   F169*(1+mortRate/12)^12 - (-PMT(mortRate/12, mortTerm*12, C169))*(((1+mortRate/12)^12 - 1)/(mortRate/12)),
   0
)
</f>
        <v>215886.1526</v>
      </c>
      <c r="K169" s="13">
        <f>IFERROR(__xludf.DUMMYFUNCTION("IF(A169="""","""",
   IF(F169&gt;0,
      INDEX(FILTER('RE Portfolio'!L$2:L2000,'RE Portfolio'!D$2:D2000=""BUY""), INT((ROW()-2)/amortYears)+1) - G169,
      INDEX(FILTER('RE Portfolio'!L$2:L2000,'RE Portfolio'!D$2:D2000=""BUY""), INT((ROW()-2)/amortYears)+1"&amp;")
   )
)
"),7242.922231062719)</f>
        <v>7242.922231</v>
      </c>
      <c r="L169" s="15">
        <f>IFERROR(__xludf.DUMMYFUNCTION("IF(A169="""","""",
  INDEX(FILTER('RE Portfolio'!C$2:C2000,'RE Portfolio'!D$2:D2000=""BUY""), INT((ROW()-2)/amortYears)+1)
  * (1 + VALUE(Assumptions!$B$11))^(D169-1)
)
"),744786.1540489743)</f>
        <v>744786.154</v>
      </c>
    </row>
    <row r="170">
      <c r="A170" s="15">
        <f>IFERROR(__xludf.DUMMYFUNCTION("IFERROR(INDEX(FILTER('RE Portfolio'!A$2:A2000,'RE Portfolio'!D$2:D2000=""BUY""), INT((ROW()-2)/amortYears)+1), )
"),5.0)</f>
        <v>5</v>
      </c>
      <c r="B170" s="15">
        <f>IFERROR(__xludf.DUMMYFUNCTION("IFERROR(INDEX(FILTER('RE Portfolio'!B$2:B2000,'RE Portfolio'!D$2:D2000=""BUY""), INT((ROW()-2)/amortYears)+1), )
"),37.0)</f>
        <v>37</v>
      </c>
      <c r="C170" s="15">
        <f>IFERROR(__xludf.DUMMYFUNCTION("IFERROR(INDEX(FILTER('RE Portfolio'!G$2:G2000,'RE Portfolio'!D$2:D2000=""BUY""), INT((ROW()-2)/amortYears)+1), )
"),310164.9850918022)</f>
        <v>310164.9851</v>
      </c>
      <c r="D170" s="15">
        <f>MOD(ROW()-2, amortYears)+1</f>
        <v>17</v>
      </c>
      <c r="E170" s="15">
        <f t="shared" si="1"/>
        <v>53</v>
      </c>
      <c r="F170" s="16">
        <f t="shared" si="2"/>
        <v>215886.1526</v>
      </c>
      <c r="G170" s="16">
        <f>IF(D170&lt;=mortTerm, -PMT(mortRate/12, mortTerm*12, C170)*12, 0)
</f>
        <v>23525.44429</v>
      </c>
      <c r="H170" s="16">
        <f>IF(D170&lt;=mortTerm, G170 - I170, 0)
</f>
        <v>13744.62324</v>
      </c>
      <c r="I170" s="16">
        <f>IF(D170&lt;=mortTerm, F170 - J170, 0)
</f>
        <v>9780.82105</v>
      </c>
      <c r="J170" s="16">
        <f>IF(D170&lt;=mortTerm,
   F170*(1+mortRate/12)^12 - (-PMT(mortRate/12, mortTerm*12, C170))*(((1+mortRate/12)^12 - 1)/(mortRate/12)),
   0
)
</f>
        <v>206105.3316</v>
      </c>
      <c r="K170" s="13">
        <f>IFERROR(__xludf.DUMMYFUNCTION("IF(A170="""","""",
   IF(F170&gt;0,
      INDEX(FILTER('RE Portfolio'!L$2:L2000,'RE Portfolio'!D$2:D2000=""BUY""), INT((ROW()-2)/amortYears)+1) - G170,
      INDEX(FILTER('RE Portfolio'!L$2:L2000,'RE Portfolio'!D$2:D2000=""BUY""), INT((ROW()-2)/amortYears)+1"&amp;")
   )
)
"),7242.922231062719)</f>
        <v>7242.922231</v>
      </c>
      <c r="L170" s="15">
        <f>IFERROR(__xludf.DUMMYFUNCTION("IF(A170="""","""",
  INDEX(FILTER('RE Portfolio'!C$2:C2000,'RE Portfolio'!D$2:D2000=""BUY""), INT((ROW()-2)/amortYears)+1)
  * (1 + VALUE(Assumptions!$B$11))^(D170-1)
)
"),774577.6002109334)</f>
        <v>774577.6002</v>
      </c>
    </row>
    <row r="171">
      <c r="A171" s="15">
        <f>IFERROR(__xludf.DUMMYFUNCTION("IFERROR(INDEX(FILTER('RE Portfolio'!A$2:A2000,'RE Portfolio'!D$2:D2000=""BUY""), INT((ROW()-2)/amortYears)+1), )
"),5.0)</f>
        <v>5</v>
      </c>
      <c r="B171" s="15">
        <f>IFERROR(__xludf.DUMMYFUNCTION("IFERROR(INDEX(FILTER('RE Portfolio'!B$2:B2000,'RE Portfolio'!D$2:D2000=""BUY""), INT((ROW()-2)/amortYears)+1), )
"),37.0)</f>
        <v>37</v>
      </c>
      <c r="C171" s="15">
        <f>IFERROR(__xludf.DUMMYFUNCTION("IFERROR(INDEX(FILTER('RE Portfolio'!G$2:G2000,'RE Portfolio'!D$2:D2000=""BUY""), INT((ROW()-2)/amortYears)+1), )
"),310164.9850918022)</f>
        <v>310164.9851</v>
      </c>
      <c r="D171" s="15">
        <f>MOD(ROW()-2, amortYears)+1</f>
        <v>18</v>
      </c>
      <c r="E171" s="15">
        <f t="shared" si="1"/>
        <v>54</v>
      </c>
      <c r="F171" s="16">
        <f t="shared" si="2"/>
        <v>206105.3316</v>
      </c>
      <c r="G171" s="16">
        <f>IF(D171&lt;=mortTerm, -PMT(mortRate/12, mortTerm*12, C171)*12, 0)
</f>
        <v>23525.44429</v>
      </c>
      <c r="H171" s="16">
        <f>IF(D171&lt;=mortTerm, G171 - I171, 0)
</f>
        <v>13089.58354</v>
      </c>
      <c r="I171" s="16">
        <f>IF(D171&lt;=mortTerm, F171 - J171, 0)
</f>
        <v>10435.86075</v>
      </c>
      <c r="J171" s="16">
        <f>IF(D171&lt;=mortTerm,
   F171*(1+mortRate/12)^12 - (-PMT(mortRate/12, mortTerm*12, C171))*(((1+mortRate/12)^12 - 1)/(mortRate/12)),
   0
)
</f>
        <v>195669.4708</v>
      </c>
      <c r="K171" s="13">
        <f>IFERROR(__xludf.DUMMYFUNCTION("IF(A171="""","""",
   IF(F171&gt;0,
      INDEX(FILTER('RE Portfolio'!L$2:L2000,'RE Portfolio'!D$2:D2000=""BUY""), INT((ROW()-2)/amortYears)+1) - G171,
      INDEX(FILTER('RE Portfolio'!L$2:L2000,'RE Portfolio'!D$2:D2000=""BUY""), INT((ROW()-2)/amortYears)+1"&amp;")
   )
)
"),7242.922231062719)</f>
        <v>7242.922231</v>
      </c>
      <c r="L171" s="15">
        <f>IFERROR(__xludf.DUMMYFUNCTION("IF(A171="""","""",
  INDEX(FILTER('RE Portfolio'!C$2:C2000,'RE Portfolio'!D$2:D2000=""BUY""), INT((ROW()-2)/amortYears)+1)
  * (1 + VALUE(Assumptions!$B$11))^(D171-1)
)
"),805560.7042193707)</f>
        <v>805560.7042</v>
      </c>
    </row>
    <row r="172">
      <c r="A172" s="15">
        <f>IFERROR(__xludf.DUMMYFUNCTION("IFERROR(INDEX(FILTER('RE Portfolio'!A$2:A2000,'RE Portfolio'!D$2:D2000=""BUY""), INT((ROW()-2)/amortYears)+1), )
"),5.0)</f>
        <v>5</v>
      </c>
      <c r="B172" s="15">
        <f>IFERROR(__xludf.DUMMYFUNCTION("IFERROR(INDEX(FILTER('RE Portfolio'!B$2:B2000,'RE Portfolio'!D$2:D2000=""BUY""), INT((ROW()-2)/amortYears)+1), )
"),37.0)</f>
        <v>37</v>
      </c>
      <c r="C172" s="15">
        <f>IFERROR(__xludf.DUMMYFUNCTION("IFERROR(INDEX(FILTER('RE Portfolio'!G$2:G2000,'RE Portfolio'!D$2:D2000=""BUY""), INT((ROW()-2)/amortYears)+1), )
"),310164.9850918022)</f>
        <v>310164.9851</v>
      </c>
      <c r="D172" s="15">
        <f>MOD(ROW()-2, amortYears)+1</f>
        <v>19</v>
      </c>
      <c r="E172" s="15">
        <f t="shared" si="1"/>
        <v>55</v>
      </c>
      <c r="F172" s="16">
        <f t="shared" si="2"/>
        <v>195669.4708</v>
      </c>
      <c r="G172" s="16">
        <f>IF(D172&lt;=mortTerm, -PMT(mortRate/12, mortTerm*12, C172)*12, 0)
</f>
        <v>23525.44429</v>
      </c>
      <c r="H172" s="16">
        <f>IF(D172&lt;=mortTerm, G172 - I172, 0)
</f>
        <v>12390.67462</v>
      </c>
      <c r="I172" s="16">
        <f>IF(D172&lt;=mortTerm, F172 - J172, 0)
</f>
        <v>11134.76967</v>
      </c>
      <c r="J172" s="16">
        <f>IF(D172&lt;=mortTerm,
   F172*(1+mortRate/12)^12 - (-PMT(mortRate/12, mortTerm*12, C172))*(((1+mortRate/12)^12 - 1)/(mortRate/12)),
   0
)
</f>
        <v>184534.7011</v>
      </c>
      <c r="K172" s="13">
        <f>IFERROR(__xludf.DUMMYFUNCTION("IF(A172="""","""",
   IF(F172&gt;0,
      INDEX(FILTER('RE Portfolio'!L$2:L2000,'RE Portfolio'!D$2:D2000=""BUY""), INT((ROW()-2)/amortYears)+1) - G172,
      INDEX(FILTER('RE Portfolio'!L$2:L2000,'RE Portfolio'!D$2:D2000=""BUY""), INT((ROW()-2)/amortYears)+1"&amp;")
   )
)
"),7242.922231062719)</f>
        <v>7242.922231</v>
      </c>
      <c r="L172" s="15">
        <f>IFERROR(__xludf.DUMMYFUNCTION("IF(A172="""","""",
  INDEX(FILTER('RE Portfolio'!C$2:C2000,'RE Portfolio'!D$2:D2000=""BUY""), INT((ROW()-2)/amortYears)+1)
  * (1 + VALUE(Assumptions!$B$11))^(D172-1)
)
"),837783.1323881457)</f>
        <v>837783.1324</v>
      </c>
    </row>
    <row r="173">
      <c r="A173" s="15">
        <f>IFERROR(__xludf.DUMMYFUNCTION("IFERROR(INDEX(FILTER('RE Portfolio'!A$2:A2000,'RE Portfolio'!D$2:D2000=""BUY""), INT((ROW()-2)/amortYears)+1), )
"),5.0)</f>
        <v>5</v>
      </c>
      <c r="B173" s="15">
        <f>IFERROR(__xludf.DUMMYFUNCTION("IFERROR(INDEX(FILTER('RE Portfolio'!B$2:B2000,'RE Portfolio'!D$2:D2000=""BUY""), INT((ROW()-2)/amortYears)+1), )
"),37.0)</f>
        <v>37</v>
      </c>
      <c r="C173" s="15">
        <f>IFERROR(__xludf.DUMMYFUNCTION("IFERROR(INDEX(FILTER('RE Portfolio'!G$2:G2000,'RE Portfolio'!D$2:D2000=""BUY""), INT((ROW()-2)/amortYears)+1), )
"),310164.9850918022)</f>
        <v>310164.9851</v>
      </c>
      <c r="D173" s="15">
        <f>MOD(ROW()-2, amortYears)+1</f>
        <v>20</v>
      </c>
      <c r="E173" s="15">
        <f t="shared" si="1"/>
        <v>56</v>
      </c>
      <c r="F173" s="16">
        <f t="shared" si="2"/>
        <v>184534.7011</v>
      </c>
      <c r="G173" s="16">
        <f>IF(D173&lt;=mortTerm, -PMT(mortRate/12, mortTerm*12, C173)*12, 0)
</f>
        <v>23525.44429</v>
      </c>
      <c r="H173" s="16">
        <f>IF(D173&lt;=mortTerm, G173 - I173, 0)
</f>
        <v>11644.95847</v>
      </c>
      <c r="I173" s="16">
        <f>IF(D173&lt;=mortTerm, F173 - J173, 0)
</f>
        <v>11880.48582</v>
      </c>
      <c r="J173" s="16">
        <f>IF(D173&lt;=mortTerm,
   F173*(1+mortRate/12)^12 - (-PMT(mortRate/12, mortTerm*12, C173))*(((1+mortRate/12)^12 - 1)/(mortRate/12)),
   0
)
</f>
        <v>172654.2153</v>
      </c>
      <c r="K173" s="13">
        <f>IFERROR(__xludf.DUMMYFUNCTION("IF(A173="""","""",
   IF(F173&gt;0,
      INDEX(FILTER('RE Portfolio'!L$2:L2000,'RE Portfolio'!D$2:D2000=""BUY""), INT((ROW()-2)/amortYears)+1) - G173,
      INDEX(FILTER('RE Portfolio'!L$2:L2000,'RE Portfolio'!D$2:D2000=""BUY""), INT((ROW()-2)/amortYears)+1"&amp;")
   )
)
"),7242.922231062719)</f>
        <v>7242.922231</v>
      </c>
      <c r="L173" s="15">
        <f>IFERROR(__xludf.DUMMYFUNCTION("IF(A173="""","""",
  INDEX(FILTER('RE Portfolio'!C$2:C2000,'RE Portfolio'!D$2:D2000=""BUY""), INT((ROW()-2)/amortYears)+1)
  * (1 + VALUE(Assumptions!$B$11))^(D173-1)
)
"),871294.4576836715)</f>
        <v>871294.4577</v>
      </c>
    </row>
    <row r="174">
      <c r="A174" s="15">
        <f>IFERROR(__xludf.DUMMYFUNCTION("IFERROR(INDEX(FILTER('RE Portfolio'!A$2:A2000,'RE Portfolio'!D$2:D2000=""BUY""), INT((ROW()-2)/amortYears)+1), )
"),5.0)</f>
        <v>5</v>
      </c>
      <c r="B174" s="15">
        <f>IFERROR(__xludf.DUMMYFUNCTION("IFERROR(INDEX(FILTER('RE Portfolio'!B$2:B2000,'RE Portfolio'!D$2:D2000=""BUY""), INT((ROW()-2)/amortYears)+1), )
"),37.0)</f>
        <v>37</v>
      </c>
      <c r="C174" s="15">
        <f>IFERROR(__xludf.DUMMYFUNCTION("IFERROR(INDEX(FILTER('RE Portfolio'!G$2:G2000,'RE Portfolio'!D$2:D2000=""BUY""), INT((ROW()-2)/amortYears)+1), )
"),310164.9850918022)</f>
        <v>310164.9851</v>
      </c>
      <c r="D174" s="15">
        <f>MOD(ROW()-2, amortYears)+1</f>
        <v>21</v>
      </c>
      <c r="E174" s="15">
        <f t="shared" si="1"/>
        <v>57</v>
      </c>
      <c r="F174" s="16">
        <f t="shared" si="2"/>
        <v>172654.2153</v>
      </c>
      <c r="G174" s="16">
        <f>IF(D174&lt;=mortTerm, -PMT(mortRate/12, mortTerm*12, C174)*12, 0)
</f>
        <v>23525.44429</v>
      </c>
      <c r="H174" s="16">
        <f>IF(D174&lt;=mortTerm, G174 - I174, 0)
</f>
        <v>10849.30033</v>
      </c>
      <c r="I174" s="16">
        <f>IF(D174&lt;=mortTerm, F174 - J174, 0)
</f>
        <v>12676.14396</v>
      </c>
      <c r="J174" s="16">
        <f>IF(D174&lt;=mortTerm,
   F174*(1+mortRate/12)^12 - (-PMT(mortRate/12, mortTerm*12, C174))*(((1+mortRate/12)^12 - 1)/(mortRate/12)),
   0
)
</f>
        <v>159978.0714</v>
      </c>
      <c r="K174" s="13">
        <f>IFERROR(__xludf.DUMMYFUNCTION("IF(A174="""","""",
   IF(F174&gt;0,
      INDEX(FILTER('RE Portfolio'!L$2:L2000,'RE Portfolio'!D$2:D2000=""BUY""), INT((ROW()-2)/amortYears)+1) - G174,
      INDEX(FILTER('RE Portfolio'!L$2:L2000,'RE Portfolio'!D$2:D2000=""BUY""), INT((ROW()-2)/amortYears)+1"&amp;")
   )
)
"),7242.922231062719)</f>
        <v>7242.922231</v>
      </c>
      <c r="L174" s="15">
        <f>IFERROR(__xludf.DUMMYFUNCTION("IF(A174="""","""",
  INDEX(FILTER('RE Portfolio'!C$2:C2000,'RE Portfolio'!D$2:D2000=""BUY""), INT((ROW()-2)/amortYears)+1)
  * (1 + VALUE(Assumptions!$B$11))^(D174-1)
)
"),906146.2359910184)</f>
        <v>906146.236</v>
      </c>
    </row>
    <row r="175">
      <c r="A175" s="15">
        <f>IFERROR(__xludf.DUMMYFUNCTION("IFERROR(INDEX(FILTER('RE Portfolio'!A$2:A2000,'RE Portfolio'!D$2:D2000=""BUY""), INT((ROW()-2)/amortYears)+1), )
"),5.0)</f>
        <v>5</v>
      </c>
      <c r="B175" s="15">
        <f>IFERROR(__xludf.DUMMYFUNCTION("IFERROR(INDEX(FILTER('RE Portfolio'!B$2:B2000,'RE Portfolio'!D$2:D2000=""BUY""), INT((ROW()-2)/amortYears)+1), )
"),37.0)</f>
        <v>37</v>
      </c>
      <c r="C175" s="15">
        <f>IFERROR(__xludf.DUMMYFUNCTION("IFERROR(INDEX(FILTER('RE Portfolio'!G$2:G2000,'RE Portfolio'!D$2:D2000=""BUY""), INT((ROW()-2)/amortYears)+1), )
"),310164.9850918022)</f>
        <v>310164.9851</v>
      </c>
      <c r="D175" s="15">
        <f>MOD(ROW()-2, amortYears)+1</f>
        <v>22</v>
      </c>
      <c r="E175" s="15">
        <f t="shared" si="1"/>
        <v>58</v>
      </c>
      <c r="F175" s="16">
        <f t="shared" si="2"/>
        <v>159978.0714</v>
      </c>
      <c r="G175" s="16">
        <f>IF(D175&lt;=mortTerm, -PMT(mortRate/12, mortTerm*12, C175)*12, 0)
</f>
        <v>23525.44429</v>
      </c>
      <c r="H175" s="16">
        <f>IF(D175&lt;=mortTerm, G175 - I175, 0)
</f>
        <v>10000.3555</v>
      </c>
      <c r="I175" s="16">
        <f>IF(D175&lt;=mortTerm, F175 - J175, 0)
</f>
        <v>13525.08879</v>
      </c>
      <c r="J175" s="16">
        <f>IF(D175&lt;=mortTerm,
   F175*(1+mortRate/12)^12 - (-PMT(mortRate/12, mortTerm*12, C175))*(((1+mortRate/12)^12 - 1)/(mortRate/12)),
   0
)
</f>
        <v>146452.9826</v>
      </c>
      <c r="K175" s="13">
        <f>IFERROR(__xludf.DUMMYFUNCTION("IF(A175="""","""",
   IF(F175&gt;0,
      INDEX(FILTER('RE Portfolio'!L$2:L2000,'RE Portfolio'!D$2:D2000=""BUY""), INT((ROW()-2)/amortYears)+1) - G175,
      INDEX(FILTER('RE Portfolio'!L$2:L2000,'RE Portfolio'!D$2:D2000=""BUY""), INT((ROW()-2)/amortYears)+1"&amp;")
   )
)
"),7242.922231062719)</f>
        <v>7242.922231</v>
      </c>
      <c r="L175" s="15">
        <f>IFERROR(__xludf.DUMMYFUNCTION("IF(A175="""","""",
  INDEX(FILTER('RE Portfolio'!C$2:C2000,'RE Portfolio'!D$2:D2000=""BUY""), INT((ROW()-2)/amortYears)+1)
  * (1 + VALUE(Assumptions!$B$11))^(D175-1)
)
"),942392.0854306591)</f>
        <v>942392.0854</v>
      </c>
    </row>
    <row r="176">
      <c r="A176" s="15">
        <f>IFERROR(__xludf.DUMMYFUNCTION("IFERROR(INDEX(FILTER('RE Portfolio'!A$2:A2000,'RE Portfolio'!D$2:D2000=""BUY""), INT((ROW()-2)/amortYears)+1), )
"),5.0)</f>
        <v>5</v>
      </c>
      <c r="B176" s="15">
        <f>IFERROR(__xludf.DUMMYFUNCTION("IFERROR(INDEX(FILTER('RE Portfolio'!B$2:B2000,'RE Portfolio'!D$2:D2000=""BUY""), INT((ROW()-2)/amortYears)+1), )
"),37.0)</f>
        <v>37</v>
      </c>
      <c r="C176" s="15">
        <f>IFERROR(__xludf.DUMMYFUNCTION("IFERROR(INDEX(FILTER('RE Portfolio'!G$2:G2000,'RE Portfolio'!D$2:D2000=""BUY""), INT((ROW()-2)/amortYears)+1), )
"),310164.9850918022)</f>
        <v>310164.9851</v>
      </c>
      <c r="D176" s="15">
        <f>MOD(ROW()-2, amortYears)+1</f>
        <v>23</v>
      </c>
      <c r="E176" s="15">
        <f t="shared" si="1"/>
        <v>59</v>
      </c>
      <c r="F176" s="16">
        <f t="shared" si="2"/>
        <v>146452.9826</v>
      </c>
      <c r="G176" s="16">
        <f>IF(D176&lt;=mortTerm, -PMT(mortRate/12, mortTerm*12, C176)*12, 0)
</f>
        <v>23525.44429</v>
      </c>
      <c r="H176" s="16">
        <f>IF(D176&lt;=mortTerm, G176 - I176, 0)
</f>
        <v>9094.555252</v>
      </c>
      <c r="I176" s="16">
        <f>IF(D176&lt;=mortTerm, F176 - J176, 0)
</f>
        <v>14430.88904</v>
      </c>
      <c r="J176" s="16">
        <f>IF(D176&lt;=mortTerm,
   F176*(1+mortRate/12)^12 - (-PMT(mortRate/12, mortTerm*12, C176))*(((1+mortRate/12)^12 - 1)/(mortRate/12)),
   0
)
</f>
        <v>132022.0935</v>
      </c>
      <c r="K176" s="13">
        <f>IFERROR(__xludf.DUMMYFUNCTION("IF(A176="""","""",
   IF(F176&gt;0,
      INDEX(FILTER('RE Portfolio'!L$2:L2000,'RE Portfolio'!D$2:D2000=""BUY""), INT((ROW()-2)/amortYears)+1) - G176,
      INDEX(FILTER('RE Portfolio'!L$2:L2000,'RE Portfolio'!D$2:D2000=""BUY""), INT((ROW()-2)/amortYears)+1"&amp;")
   )
)
"),7242.922231062719)</f>
        <v>7242.922231</v>
      </c>
      <c r="L176" s="15">
        <f>IFERROR(__xludf.DUMMYFUNCTION("IF(A176="""","""",
  INDEX(FILTER('RE Portfolio'!C$2:C2000,'RE Portfolio'!D$2:D2000=""BUY""), INT((ROW()-2)/amortYears)+1)
  * (1 + VALUE(Assumptions!$B$11))^(D176-1)
)
"),980087.7688478854)</f>
        <v>980087.7688</v>
      </c>
    </row>
    <row r="177">
      <c r="A177" s="15">
        <f>IFERROR(__xludf.DUMMYFUNCTION("IFERROR(INDEX(FILTER('RE Portfolio'!A$2:A2000,'RE Portfolio'!D$2:D2000=""BUY""), INT((ROW()-2)/amortYears)+1), )
"),5.0)</f>
        <v>5</v>
      </c>
      <c r="B177" s="15">
        <f>IFERROR(__xludf.DUMMYFUNCTION("IFERROR(INDEX(FILTER('RE Portfolio'!B$2:B2000,'RE Portfolio'!D$2:D2000=""BUY""), INT((ROW()-2)/amortYears)+1), )
"),37.0)</f>
        <v>37</v>
      </c>
      <c r="C177" s="15">
        <f>IFERROR(__xludf.DUMMYFUNCTION("IFERROR(INDEX(FILTER('RE Portfolio'!G$2:G2000,'RE Portfolio'!D$2:D2000=""BUY""), INT((ROW()-2)/amortYears)+1), )
"),310164.9850918022)</f>
        <v>310164.9851</v>
      </c>
      <c r="D177" s="15">
        <f>MOD(ROW()-2, amortYears)+1</f>
        <v>24</v>
      </c>
      <c r="E177" s="15">
        <f t="shared" si="1"/>
        <v>60</v>
      </c>
      <c r="F177" s="16">
        <f t="shared" si="2"/>
        <v>132022.0935</v>
      </c>
      <c r="G177" s="16">
        <f>IF(D177&lt;=mortTerm, -PMT(mortRate/12, mortTerm*12, C177)*12, 0)
</f>
        <v>23525.44429</v>
      </c>
      <c r="H177" s="16">
        <f>IF(D177&lt;=mortTerm, G177 - I177, 0)
</f>
        <v>8128.091887</v>
      </c>
      <c r="I177" s="16">
        <f>IF(D177&lt;=mortTerm, F177 - J177, 0)
</f>
        <v>15397.3524</v>
      </c>
      <c r="J177" s="16">
        <f>IF(D177&lt;=mortTerm,
   F177*(1+mortRate/12)^12 - (-PMT(mortRate/12, mortTerm*12, C177))*(((1+mortRate/12)^12 - 1)/(mortRate/12)),
   0
)
</f>
        <v>116624.7411</v>
      </c>
      <c r="K177" s="13">
        <f>IFERROR(__xludf.DUMMYFUNCTION("IF(A177="""","""",
   IF(F177&gt;0,
      INDEX(FILTER('RE Portfolio'!L$2:L2000,'RE Portfolio'!D$2:D2000=""BUY""), INT((ROW()-2)/amortYears)+1) - G177,
      INDEX(FILTER('RE Portfolio'!L$2:L2000,'RE Portfolio'!D$2:D2000=""BUY""), INT((ROW()-2)/amortYears)+1"&amp;")
   )
)
"),7242.922231062719)</f>
        <v>7242.922231</v>
      </c>
      <c r="L177" s="15">
        <f>IFERROR(__xludf.DUMMYFUNCTION("IF(A177="""","""",
  INDEX(FILTER('RE Portfolio'!C$2:C2000,'RE Portfolio'!D$2:D2000=""BUY""), INT((ROW()-2)/amortYears)+1)
  * (1 + VALUE(Assumptions!$B$11))^(D177-1)
)
"),1019291.279601801)</f>
        <v>1019291.28</v>
      </c>
    </row>
    <row r="178">
      <c r="A178" s="15">
        <f>IFERROR(__xludf.DUMMYFUNCTION("IFERROR(INDEX(FILTER('RE Portfolio'!A$2:A2000,'RE Portfolio'!D$2:D2000=""BUY""), INT((ROW()-2)/amortYears)+1), )
"),5.0)</f>
        <v>5</v>
      </c>
      <c r="B178" s="15">
        <f>IFERROR(__xludf.DUMMYFUNCTION("IFERROR(INDEX(FILTER('RE Portfolio'!B$2:B2000,'RE Portfolio'!D$2:D2000=""BUY""), INT((ROW()-2)/amortYears)+1), )
"),37.0)</f>
        <v>37</v>
      </c>
      <c r="C178" s="15">
        <f>IFERROR(__xludf.DUMMYFUNCTION("IFERROR(INDEX(FILTER('RE Portfolio'!G$2:G2000,'RE Portfolio'!D$2:D2000=""BUY""), INT((ROW()-2)/amortYears)+1), )
"),310164.9850918022)</f>
        <v>310164.9851</v>
      </c>
      <c r="D178" s="15">
        <f>MOD(ROW()-2, amortYears)+1</f>
        <v>25</v>
      </c>
      <c r="E178" s="15">
        <f t="shared" si="1"/>
        <v>61</v>
      </c>
      <c r="F178" s="16">
        <f t="shared" si="2"/>
        <v>116624.7411</v>
      </c>
      <c r="G178" s="16">
        <f>IF(D178&lt;=mortTerm, -PMT(mortRate/12, mortTerm*12, C178)*12, 0)
</f>
        <v>23525.44429</v>
      </c>
      <c r="H178" s="16">
        <f>IF(D178&lt;=mortTerm, G178 - I178, 0)
</f>
        <v>7096.902681</v>
      </c>
      <c r="I178" s="16">
        <f>IF(D178&lt;=mortTerm, F178 - J178, 0)
</f>
        <v>16428.54161</v>
      </c>
      <c r="J178" s="16">
        <f>IF(D178&lt;=mortTerm,
   F178*(1+mortRate/12)^12 - (-PMT(mortRate/12, mortTerm*12, C178))*(((1+mortRate/12)^12 - 1)/(mortRate/12)),
   0
)
</f>
        <v>100196.1995</v>
      </c>
      <c r="K178" s="13">
        <f>IFERROR(__xludf.DUMMYFUNCTION("IF(A178="""","""",
   IF(F178&gt;0,
      INDEX(FILTER('RE Portfolio'!L$2:L2000,'RE Portfolio'!D$2:D2000=""BUY""), INT((ROW()-2)/amortYears)+1) - G178,
      INDEX(FILTER('RE Portfolio'!L$2:L2000,'RE Portfolio'!D$2:D2000=""BUY""), INT((ROW()-2)/amortYears)+1"&amp;")
   )
)
"),7242.922231062719)</f>
        <v>7242.922231</v>
      </c>
      <c r="L178" s="15">
        <f>IFERROR(__xludf.DUMMYFUNCTION("IF(A178="""","""",
  INDEX(FILTER('RE Portfolio'!C$2:C2000,'RE Portfolio'!D$2:D2000=""BUY""), INT((ROW()-2)/amortYears)+1)
  * (1 + VALUE(Assumptions!$B$11))^(D178-1)
)
"),1060062.9307858732)</f>
        <v>1060062.931</v>
      </c>
    </row>
    <row r="179">
      <c r="A179" s="15">
        <f>IFERROR(__xludf.DUMMYFUNCTION("IFERROR(INDEX(FILTER('RE Portfolio'!A$2:A2000,'RE Portfolio'!D$2:D2000=""BUY""), INT((ROW()-2)/amortYears)+1), )
"),5.0)</f>
        <v>5</v>
      </c>
      <c r="B179" s="15">
        <f>IFERROR(__xludf.DUMMYFUNCTION("IFERROR(INDEX(FILTER('RE Portfolio'!B$2:B2000,'RE Portfolio'!D$2:D2000=""BUY""), INT((ROW()-2)/amortYears)+1), )
"),37.0)</f>
        <v>37</v>
      </c>
      <c r="C179" s="15">
        <f>IFERROR(__xludf.DUMMYFUNCTION("IFERROR(INDEX(FILTER('RE Portfolio'!G$2:G2000,'RE Portfolio'!D$2:D2000=""BUY""), INT((ROW()-2)/amortYears)+1), )
"),310164.9850918022)</f>
        <v>310164.9851</v>
      </c>
      <c r="D179" s="15">
        <f>MOD(ROW()-2, amortYears)+1</f>
        <v>26</v>
      </c>
      <c r="E179" s="15">
        <f t="shared" si="1"/>
        <v>62</v>
      </c>
      <c r="F179" s="16">
        <f t="shared" si="2"/>
        <v>100196.1995</v>
      </c>
      <c r="G179" s="16">
        <f>IF(D179&lt;=mortTerm, -PMT(mortRate/12, mortTerm*12, C179)*12, 0)
</f>
        <v>23525.44429</v>
      </c>
      <c r="H179" s="16">
        <f>IF(D179&lt;=mortTerm, G179 - I179, 0)
</f>
        <v>5996.652824</v>
      </c>
      <c r="I179" s="16">
        <f>IF(D179&lt;=mortTerm, F179 - J179, 0)
</f>
        <v>17528.79147</v>
      </c>
      <c r="J179" s="16">
        <f>IF(D179&lt;=mortTerm,
   F179*(1+mortRate/12)^12 - (-PMT(mortRate/12, mortTerm*12, C179))*(((1+mortRate/12)^12 - 1)/(mortRate/12)),
   0
)
</f>
        <v>82667.40806</v>
      </c>
      <c r="K179" s="13">
        <f>IFERROR(__xludf.DUMMYFUNCTION("IF(A179="""","""",
   IF(F179&gt;0,
      INDEX(FILTER('RE Portfolio'!L$2:L2000,'RE Portfolio'!D$2:D2000=""BUY""), INT((ROW()-2)/amortYears)+1) - G179,
      INDEX(FILTER('RE Portfolio'!L$2:L2000,'RE Portfolio'!D$2:D2000=""BUY""), INT((ROW()-2)/amortYears)+1"&amp;")
   )
)
"),7242.922231062719)</f>
        <v>7242.922231</v>
      </c>
      <c r="L179" s="15">
        <f>IFERROR(__xludf.DUMMYFUNCTION("IF(A179="""","""",
  INDEX(FILTER('RE Portfolio'!C$2:C2000,'RE Portfolio'!D$2:D2000=""BUY""), INT((ROW()-2)/amortYears)+1)
  * (1 + VALUE(Assumptions!$B$11))^(D179-1)
)
"),1102465.4480173078)</f>
        <v>1102465.448</v>
      </c>
    </row>
    <row r="180">
      <c r="A180" s="15">
        <f>IFERROR(__xludf.DUMMYFUNCTION("IFERROR(INDEX(FILTER('RE Portfolio'!A$2:A2000,'RE Portfolio'!D$2:D2000=""BUY""), INT((ROW()-2)/amortYears)+1), )
"),5.0)</f>
        <v>5</v>
      </c>
      <c r="B180" s="15">
        <f>IFERROR(__xludf.DUMMYFUNCTION("IFERROR(INDEX(FILTER('RE Portfolio'!B$2:B2000,'RE Portfolio'!D$2:D2000=""BUY""), INT((ROW()-2)/amortYears)+1), )
"),37.0)</f>
        <v>37</v>
      </c>
      <c r="C180" s="15">
        <f>IFERROR(__xludf.DUMMYFUNCTION("IFERROR(INDEX(FILTER('RE Portfolio'!G$2:G2000,'RE Portfolio'!D$2:D2000=""BUY""), INT((ROW()-2)/amortYears)+1), )
"),310164.9850918022)</f>
        <v>310164.9851</v>
      </c>
      <c r="D180" s="15">
        <f>MOD(ROW()-2, amortYears)+1</f>
        <v>27</v>
      </c>
      <c r="E180" s="15">
        <f t="shared" si="1"/>
        <v>63</v>
      </c>
      <c r="F180" s="16">
        <f t="shared" si="2"/>
        <v>82667.40806</v>
      </c>
      <c r="G180" s="16">
        <f>IF(D180&lt;=mortTerm, -PMT(mortRate/12, mortTerm*12, C180)*12, 0)
</f>
        <v>23525.44429</v>
      </c>
      <c r="H180" s="16">
        <f>IF(D180&lt;=mortTerm, G180 - I180, 0)
</f>
        <v>4822.717196</v>
      </c>
      <c r="I180" s="16">
        <f>IF(D180&lt;=mortTerm, F180 - J180, 0)
</f>
        <v>18702.72709</v>
      </c>
      <c r="J180" s="16">
        <f>IF(D180&lt;=mortTerm,
   F180*(1+mortRate/12)^12 - (-PMT(mortRate/12, mortTerm*12, C180))*(((1+mortRate/12)^12 - 1)/(mortRate/12)),
   0
)
</f>
        <v>63964.68096</v>
      </c>
      <c r="K180" s="13">
        <f>IFERROR(__xludf.DUMMYFUNCTION("IF(A180="""","""",
   IF(F180&gt;0,
      INDEX(FILTER('RE Portfolio'!L$2:L2000,'RE Portfolio'!D$2:D2000=""BUY""), INT((ROW()-2)/amortYears)+1) - G180,
      INDEX(FILTER('RE Portfolio'!L$2:L2000,'RE Portfolio'!D$2:D2000=""BUY""), INT((ROW()-2)/amortYears)+1"&amp;")
   )
)
"),7242.922231062719)</f>
        <v>7242.922231</v>
      </c>
      <c r="L180" s="15">
        <f>IFERROR(__xludf.DUMMYFUNCTION("IF(A180="""","""",
  INDEX(FILTER('RE Portfolio'!C$2:C2000,'RE Portfolio'!D$2:D2000=""BUY""), INT((ROW()-2)/amortYears)+1)
  * (1 + VALUE(Assumptions!$B$11))^(D180-1)
)
"),1146564.0659380003)</f>
        <v>1146564.066</v>
      </c>
    </row>
    <row r="181">
      <c r="A181" s="15">
        <f>IFERROR(__xludf.DUMMYFUNCTION("IFERROR(INDEX(FILTER('RE Portfolio'!A$2:A2000,'RE Portfolio'!D$2:D2000=""BUY""), INT((ROW()-2)/amortYears)+1), )
"),5.0)</f>
        <v>5</v>
      </c>
      <c r="B181" s="15">
        <f>IFERROR(__xludf.DUMMYFUNCTION("IFERROR(INDEX(FILTER('RE Portfolio'!B$2:B2000,'RE Portfolio'!D$2:D2000=""BUY""), INT((ROW()-2)/amortYears)+1), )
"),37.0)</f>
        <v>37</v>
      </c>
      <c r="C181" s="15">
        <f>IFERROR(__xludf.DUMMYFUNCTION("IFERROR(INDEX(FILTER('RE Portfolio'!G$2:G2000,'RE Portfolio'!D$2:D2000=""BUY""), INT((ROW()-2)/amortYears)+1), )
"),310164.9850918022)</f>
        <v>310164.9851</v>
      </c>
      <c r="D181" s="15">
        <f>MOD(ROW()-2, amortYears)+1</f>
        <v>28</v>
      </c>
      <c r="E181" s="15">
        <f t="shared" si="1"/>
        <v>64</v>
      </c>
      <c r="F181" s="16">
        <f t="shared" si="2"/>
        <v>63964.68096</v>
      </c>
      <c r="G181" s="16">
        <f>IF(D181&lt;=mortTerm, -PMT(mortRate/12, mortTerm*12, C181)*12, 0)
</f>
        <v>23525.44429</v>
      </c>
      <c r="H181" s="16">
        <f>IF(D181&lt;=mortTerm, G181 - I181, 0)
</f>
        <v>3570.160925</v>
      </c>
      <c r="I181" s="16">
        <f>IF(D181&lt;=mortTerm, F181 - J181, 0)
</f>
        <v>19955.28337</v>
      </c>
      <c r="J181" s="16">
        <f>IF(D181&lt;=mortTerm,
   F181*(1+mortRate/12)^12 - (-PMT(mortRate/12, mortTerm*12, C181))*(((1+mortRate/12)^12 - 1)/(mortRate/12)),
   0
)
</f>
        <v>44009.3976</v>
      </c>
      <c r="K181" s="13">
        <f>IFERROR(__xludf.DUMMYFUNCTION("IF(A181="""","""",
   IF(F181&gt;0,
      INDEX(FILTER('RE Portfolio'!L$2:L2000,'RE Portfolio'!D$2:D2000=""BUY""), INT((ROW()-2)/amortYears)+1) - G181,
      INDEX(FILTER('RE Portfolio'!L$2:L2000,'RE Portfolio'!D$2:D2000=""BUY""), INT((ROW()-2)/amortYears)+1"&amp;")
   )
)
"),7242.922231062719)</f>
        <v>7242.922231</v>
      </c>
      <c r="L181" s="15">
        <f>IFERROR(__xludf.DUMMYFUNCTION("IF(A181="""","""",
  INDEX(FILTER('RE Portfolio'!C$2:C2000,'RE Portfolio'!D$2:D2000=""BUY""), INT((ROW()-2)/amortYears)+1)
  * (1 + VALUE(Assumptions!$B$11))^(D181-1)
)
"),1192426.6285755204)</f>
        <v>1192426.629</v>
      </c>
    </row>
    <row r="182">
      <c r="A182" s="15">
        <f>IFERROR(__xludf.DUMMYFUNCTION("IFERROR(INDEX(FILTER('RE Portfolio'!A$2:A2000,'RE Portfolio'!D$2:D2000=""BUY""), INT((ROW()-2)/amortYears)+1), )
"),5.0)</f>
        <v>5</v>
      </c>
      <c r="B182" s="15">
        <f>IFERROR(__xludf.DUMMYFUNCTION("IFERROR(INDEX(FILTER('RE Portfolio'!B$2:B2000,'RE Portfolio'!D$2:D2000=""BUY""), INT((ROW()-2)/amortYears)+1), )
"),37.0)</f>
        <v>37</v>
      </c>
      <c r="C182" s="15">
        <f>IFERROR(__xludf.DUMMYFUNCTION("IFERROR(INDEX(FILTER('RE Portfolio'!G$2:G2000,'RE Portfolio'!D$2:D2000=""BUY""), INT((ROW()-2)/amortYears)+1), )
"),310164.9850918022)</f>
        <v>310164.9851</v>
      </c>
      <c r="D182" s="15">
        <f>MOD(ROW()-2, amortYears)+1</f>
        <v>29</v>
      </c>
      <c r="E182" s="15">
        <f t="shared" si="1"/>
        <v>65</v>
      </c>
      <c r="F182" s="16">
        <f t="shared" si="2"/>
        <v>44009.3976</v>
      </c>
      <c r="G182" s="16">
        <f>IF(D182&lt;=mortTerm, -PMT(mortRate/12, mortTerm*12, C182)*12, 0)
</f>
        <v>23525.44429</v>
      </c>
      <c r="H182" s="16">
        <f>IF(D182&lt;=mortTerm, G182 - I182, 0)
</f>
        <v>2233.718641</v>
      </c>
      <c r="I182" s="16">
        <f>IF(D182&lt;=mortTerm, F182 - J182, 0)
</f>
        <v>21291.72565</v>
      </c>
      <c r="J182" s="16">
        <f>IF(D182&lt;=mortTerm,
   F182*(1+mortRate/12)^12 - (-PMT(mortRate/12, mortTerm*12, C182))*(((1+mortRate/12)^12 - 1)/(mortRate/12)),
   0
)
</f>
        <v>22717.67195</v>
      </c>
      <c r="K182" s="13">
        <f>IFERROR(__xludf.DUMMYFUNCTION("IF(A182="""","""",
   IF(F182&gt;0,
      INDEX(FILTER('RE Portfolio'!L$2:L2000,'RE Portfolio'!D$2:D2000=""BUY""), INT((ROW()-2)/amortYears)+1) - G182,
      INDEX(FILTER('RE Portfolio'!L$2:L2000,'RE Portfolio'!D$2:D2000=""BUY""), INT((ROW()-2)/amortYears)+1"&amp;")
   )
)
"),7242.922231062719)</f>
        <v>7242.922231</v>
      </c>
      <c r="L182" s="15">
        <f>IFERROR(__xludf.DUMMYFUNCTION("IF(A182="""","""",
  INDEX(FILTER('RE Portfolio'!C$2:C2000,'RE Portfolio'!D$2:D2000=""BUY""), INT((ROW()-2)/amortYears)+1)
  * (1 + VALUE(Assumptions!$B$11))^(D182-1)
)
"),1240123.6937185412)</f>
        <v>1240123.694</v>
      </c>
    </row>
    <row r="183">
      <c r="A183" s="15">
        <f>IFERROR(__xludf.DUMMYFUNCTION("IFERROR(INDEX(FILTER('RE Portfolio'!A$2:A2000,'RE Portfolio'!D$2:D2000=""BUY""), INT((ROW()-2)/amortYears)+1), )
"),5.0)</f>
        <v>5</v>
      </c>
      <c r="B183" s="15">
        <f>IFERROR(__xludf.DUMMYFUNCTION("IFERROR(INDEX(FILTER('RE Portfolio'!B$2:B2000,'RE Portfolio'!D$2:D2000=""BUY""), INT((ROW()-2)/amortYears)+1), )
"),37.0)</f>
        <v>37</v>
      </c>
      <c r="C183" s="15">
        <f>IFERROR(__xludf.DUMMYFUNCTION("IFERROR(INDEX(FILTER('RE Portfolio'!G$2:G2000,'RE Portfolio'!D$2:D2000=""BUY""), INT((ROW()-2)/amortYears)+1), )
"),310164.9850918022)</f>
        <v>310164.9851</v>
      </c>
      <c r="D183" s="15">
        <f>MOD(ROW()-2, amortYears)+1</f>
        <v>30</v>
      </c>
      <c r="E183" s="15">
        <f t="shared" si="1"/>
        <v>66</v>
      </c>
      <c r="F183" s="16">
        <f t="shared" si="2"/>
        <v>22717.67195</v>
      </c>
      <c r="G183" s="16">
        <f>IF(D183&lt;=mortTerm, -PMT(mortRate/12, mortTerm*12, C183)*12, 0)
</f>
        <v>23525.44429</v>
      </c>
      <c r="H183" s="16">
        <f>IF(D183&lt;=mortTerm, G183 - I183, 0)
</f>
        <v>807.7723415</v>
      </c>
      <c r="I183" s="16">
        <f>IF(D183&lt;=mortTerm, F183 - J183, 0)
</f>
        <v>22717.67195</v>
      </c>
      <c r="J183" s="16">
        <f>IF(D183&lt;=mortTerm,
   F183*(1+mortRate/12)^12 - (-PMT(mortRate/12, mortTerm*12, C183))*(((1+mortRate/12)^12 - 1)/(mortRate/12)),
   0
)
</f>
        <v>0.0000000006548361853</v>
      </c>
      <c r="K183" s="13">
        <f>IFERROR(__xludf.DUMMYFUNCTION("IF(A183="""","""",
   IF(F183&gt;0,
      INDEX(FILTER('RE Portfolio'!L$2:L2000,'RE Portfolio'!D$2:D2000=""BUY""), INT((ROW()-2)/amortYears)+1) - G183,
      INDEX(FILTER('RE Portfolio'!L$2:L2000,'RE Portfolio'!D$2:D2000=""BUY""), INT((ROW()-2)/amortYears)+1"&amp;")
   )
)
"),7242.922231062719)</f>
        <v>7242.922231</v>
      </c>
      <c r="L183" s="15">
        <f>IFERROR(__xludf.DUMMYFUNCTION("IF(A183="""","""",
  INDEX(FILTER('RE Portfolio'!C$2:C2000,'RE Portfolio'!D$2:D2000=""BUY""), INT((ROW()-2)/amortYears)+1)
  * (1 + VALUE(Assumptions!$B$11))^(D183-1)
)
"),1289728.641467283)</f>
        <v>1289728.641</v>
      </c>
    </row>
    <row r="184">
      <c r="A184" s="15">
        <f>IFERROR(__xludf.DUMMYFUNCTION("IFERROR(INDEX(FILTER('RE Portfolio'!A$2:A2000,'RE Portfolio'!D$2:D2000=""BUY""), INT((ROW()-2)/amortYears)+1), )
"),5.0)</f>
        <v>5</v>
      </c>
      <c r="B184" s="15">
        <f>IFERROR(__xludf.DUMMYFUNCTION("IFERROR(INDEX(FILTER('RE Portfolio'!B$2:B2000,'RE Portfolio'!D$2:D2000=""BUY""), INT((ROW()-2)/amortYears)+1), )
"),37.0)</f>
        <v>37</v>
      </c>
      <c r="C184" s="15">
        <f>IFERROR(__xludf.DUMMYFUNCTION("IFERROR(INDEX(FILTER('RE Portfolio'!G$2:G2000,'RE Portfolio'!D$2:D2000=""BUY""), INT((ROW()-2)/amortYears)+1), )
"),310164.9850918022)</f>
        <v>310164.9851</v>
      </c>
      <c r="D184" s="15">
        <f>MOD(ROW()-2, amortYears)+1</f>
        <v>31</v>
      </c>
      <c r="E184" s="15">
        <f t="shared" si="1"/>
        <v>67</v>
      </c>
      <c r="F184" s="16">
        <f t="shared" si="2"/>
        <v>0.0000000006548361853</v>
      </c>
      <c r="G184" s="15">
        <f>IF(D184&lt;=mortTerm, -PMT(mortRate/12, mortTerm*12, C184)*12, 0)
</f>
        <v>0</v>
      </c>
      <c r="H184" s="15">
        <f>IF(D184&lt;=mortTerm, G184 - I184, 0)
</f>
        <v>0</v>
      </c>
      <c r="I184" s="15">
        <f>IF(D184&lt;=mortTerm, F184 - J184, 0)
</f>
        <v>0</v>
      </c>
      <c r="J184" s="15">
        <f>IF(D184&lt;=mortTerm,
   F184*(1+mortRate/12)^12 - (-PMT(mortRate/12, mortTerm*12, C184))*(((1+mortRate/12)^12 - 1)/(mortRate/12)),
   0
)
</f>
        <v>0</v>
      </c>
      <c r="K184" s="13">
        <f>IFERROR(__xludf.DUMMYFUNCTION("IF(A184="""","""",
   IF(F184&gt;0,
      INDEX(FILTER('RE Portfolio'!L$2:L2000,'RE Portfolio'!D$2:D2000=""BUY""), INT((ROW()-2)/amortYears)+1) - G184,
      INDEX(FILTER('RE Portfolio'!L$2:L2000,'RE Portfolio'!D$2:D2000=""BUY""), INT((ROW()-2)/amortYears)+1"&amp;")
   )
)
"),30768.36652110678)</f>
        <v>30768.36652</v>
      </c>
      <c r="L184" s="15">
        <f>IFERROR(__xludf.DUMMYFUNCTION("IF(A184="""","""",
  INDEX(FILTER('RE Portfolio'!C$2:C2000,'RE Portfolio'!D$2:D2000=""BUY""), INT((ROW()-2)/amortYears)+1)
  * (1 + VALUE(Assumptions!$B$11))^(D184-1)
)
"),1341317.7871259744)</f>
        <v>1341317.787</v>
      </c>
    </row>
    <row r="185">
      <c r="A185" s="15">
        <f>IFERROR(__xludf.DUMMYFUNCTION("IFERROR(INDEX(FILTER('RE Portfolio'!A$2:A2000,'RE Portfolio'!D$2:D2000=""BUY""), INT((ROW()-2)/amortYears)+1), )
"),5.0)</f>
        <v>5</v>
      </c>
      <c r="B185" s="15">
        <f>IFERROR(__xludf.DUMMYFUNCTION("IFERROR(INDEX(FILTER('RE Portfolio'!B$2:B2000,'RE Portfolio'!D$2:D2000=""BUY""), INT((ROW()-2)/amortYears)+1), )
"),37.0)</f>
        <v>37</v>
      </c>
      <c r="C185" s="15">
        <f>IFERROR(__xludf.DUMMYFUNCTION("IFERROR(INDEX(FILTER('RE Portfolio'!G$2:G2000,'RE Portfolio'!D$2:D2000=""BUY""), INT((ROW()-2)/amortYears)+1), )
"),310164.9850918022)</f>
        <v>310164.9851</v>
      </c>
      <c r="D185" s="15">
        <f>MOD(ROW()-2, amortYears)+1</f>
        <v>32</v>
      </c>
      <c r="E185" s="15">
        <f t="shared" si="1"/>
        <v>68</v>
      </c>
      <c r="F185" s="15">
        <f t="shared" si="2"/>
        <v>0</v>
      </c>
      <c r="G185" s="15">
        <f>IF(D185&lt;=mortTerm, -PMT(mortRate/12, mortTerm*12, C185)*12, 0)
</f>
        <v>0</v>
      </c>
      <c r="H185" s="15">
        <f>IF(D185&lt;=mortTerm, G185 - I185, 0)
</f>
        <v>0</v>
      </c>
      <c r="I185" s="15">
        <f>IF(D185&lt;=mortTerm, F185 - J185, 0)
</f>
        <v>0</v>
      </c>
      <c r="J185" s="15">
        <f>IF(D185&lt;=mortTerm,
   F185*(1+mortRate/12)^12 - (-PMT(mortRate/12, mortTerm*12, C185))*(((1+mortRate/12)^12 - 1)/(mortRate/12)),
   0
)
</f>
        <v>0</v>
      </c>
      <c r="K185" s="13">
        <f>IFERROR(__xludf.DUMMYFUNCTION("IF(A185="""","""",
   IF(F185&gt;0,
      INDEX(FILTER('RE Portfolio'!L$2:L2000,'RE Portfolio'!D$2:D2000=""BUY""), INT((ROW()-2)/amortYears)+1) - G185,
      INDEX(FILTER('RE Portfolio'!L$2:L2000,'RE Portfolio'!D$2:D2000=""BUY""), INT((ROW()-2)/amortYears)+1"&amp;")
   )
)
"),30768.36652110678)</f>
        <v>30768.36652</v>
      </c>
      <c r="L185" s="15">
        <f>IFERROR(__xludf.DUMMYFUNCTION("IF(A185="""","""",
  INDEX(FILTER('RE Portfolio'!C$2:C2000,'RE Portfolio'!D$2:D2000=""BUY""), INT((ROW()-2)/amortYears)+1)
  * (1 + VALUE(Assumptions!$B$11))^(D185-1)
)
"),1394970.4986110134)</f>
        <v>1394970.499</v>
      </c>
    </row>
    <row r="186">
      <c r="A186" s="15">
        <f>IFERROR(__xludf.DUMMYFUNCTION("IFERROR(INDEX(FILTER('RE Portfolio'!A$2:A2000,'RE Portfolio'!D$2:D2000=""BUY""), INT((ROW()-2)/amortYears)+1), )
"),5.0)</f>
        <v>5</v>
      </c>
      <c r="B186" s="15">
        <f>IFERROR(__xludf.DUMMYFUNCTION("IFERROR(INDEX(FILTER('RE Portfolio'!B$2:B2000,'RE Portfolio'!D$2:D2000=""BUY""), INT((ROW()-2)/amortYears)+1), )
"),37.0)</f>
        <v>37</v>
      </c>
      <c r="C186" s="15">
        <f>IFERROR(__xludf.DUMMYFUNCTION("IFERROR(INDEX(FILTER('RE Portfolio'!G$2:G2000,'RE Portfolio'!D$2:D2000=""BUY""), INT((ROW()-2)/amortYears)+1), )
"),310164.9850918022)</f>
        <v>310164.9851</v>
      </c>
      <c r="D186" s="15">
        <f>MOD(ROW()-2, amortYears)+1</f>
        <v>33</v>
      </c>
      <c r="E186" s="15">
        <f t="shared" si="1"/>
        <v>69</v>
      </c>
      <c r="F186" s="15">
        <f t="shared" si="2"/>
        <v>0</v>
      </c>
      <c r="G186" s="15">
        <f>IF(D186&lt;=mortTerm, -PMT(mortRate/12, mortTerm*12, C186)*12, 0)
</f>
        <v>0</v>
      </c>
      <c r="H186" s="15">
        <f>IF(D186&lt;=mortTerm, G186 - I186, 0)
</f>
        <v>0</v>
      </c>
      <c r="I186" s="15">
        <f>IF(D186&lt;=mortTerm, F186 - J186, 0)
</f>
        <v>0</v>
      </c>
      <c r="J186" s="15">
        <f>IF(D186&lt;=mortTerm,
   F186*(1+mortRate/12)^12 - (-PMT(mortRate/12, mortTerm*12, C186))*(((1+mortRate/12)^12 - 1)/(mortRate/12)),
   0
)
</f>
        <v>0</v>
      </c>
      <c r="K186" s="13">
        <f>IFERROR(__xludf.DUMMYFUNCTION("IF(A186="""","""",
   IF(F186&gt;0,
      INDEX(FILTER('RE Portfolio'!L$2:L2000,'RE Portfolio'!D$2:D2000=""BUY""), INT((ROW()-2)/amortYears)+1) - G186,
      INDEX(FILTER('RE Portfolio'!L$2:L2000,'RE Portfolio'!D$2:D2000=""BUY""), INT((ROW()-2)/amortYears)+1"&amp;")
   )
)
"),30768.36652110678)</f>
        <v>30768.36652</v>
      </c>
      <c r="L186" s="15">
        <f>IFERROR(__xludf.DUMMYFUNCTION("IF(A186="""","""",
  INDEX(FILTER('RE Portfolio'!C$2:C2000,'RE Portfolio'!D$2:D2000=""BUY""), INT((ROW()-2)/amortYears)+1)
  * (1 + VALUE(Assumptions!$B$11))^(D186-1)
)
"),1450769.3185554538)</f>
        <v>1450769.319</v>
      </c>
    </row>
    <row r="187">
      <c r="A187" s="15">
        <f>IFERROR(__xludf.DUMMYFUNCTION("IFERROR(INDEX(FILTER('RE Portfolio'!A$2:A2000,'RE Portfolio'!D$2:D2000=""BUY""), INT((ROW()-2)/amortYears)+1), )
"),5.0)</f>
        <v>5</v>
      </c>
      <c r="B187" s="15">
        <f>IFERROR(__xludf.DUMMYFUNCTION("IFERROR(INDEX(FILTER('RE Portfolio'!B$2:B2000,'RE Portfolio'!D$2:D2000=""BUY""), INT((ROW()-2)/amortYears)+1), )
"),37.0)</f>
        <v>37</v>
      </c>
      <c r="C187" s="15">
        <f>IFERROR(__xludf.DUMMYFUNCTION("IFERROR(INDEX(FILTER('RE Portfolio'!G$2:G2000,'RE Portfolio'!D$2:D2000=""BUY""), INT((ROW()-2)/amortYears)+1), )
"),310164.9850918022)</f>
        <v>310164.9851</v>
      </c>
      <c r="D187" s="15">
        <f>MOD(ROW()-2, amortYears)+1</f>
        <v>34</v>
      </c>
      <c r="E187" s="15">
        <f t="shared" si="1"/>
        <v>70</v>
      </c>
      <c r="F187" s="15">
        <f t="shared" si="2"/>
        <v>0</v>
      </c>
      <c r="G187" s="15">
        <f>IF(D187&lt;=mortTerm, -PMT(mortRate/12, mortTerm*12, C187)*12, 0)
</f>
        <v>0</v>
      </c>
      <c r="H187" s="15">
        <f>IF(D187&lt;=mortTerm, G187 - I187, 0)
</f>
        <v>0</v>
      </c>
      <c r="I187" s="15">
        <f>IF(D187&lt;=mortTerm, F187 - J187, 0)
</f>
        <v>0</v>
      </c>
      <c r="J187" s="15">
        <f>IF(D187&lt;=mortTerm,
   F187*(1+mortRate/12)^12 - (-PMT(mortRate/12, mortTerm*12, C187))*(((1+mortRate/12)^12 - 1)/(mortRate/12)),
   0
)
</f>
        <v>0</v>
      </c>
      <c r="K187" s="13">
        <f>IFERROR(__xludf.DUMMYFUNCTION("IF(A187="""","""",
   IF(F187&gt;0,
      INDEX(FILTER('RE Portfolio'!L$2:L2000,'RE Portfolio'!D$2:D2000=""BUY""), INT((ROW()-2)/amortYears)+1) - G187,
      INDEX(FILTER('RE Portfolio'!L$2:L2000,'RE Portfolio'!D$2:D2000=""BUY""), INT((ROW()-2)/amortYears)+1"&amp;")
   )
)
"),30768.36652110678)</f>
        <v>30768.36652</v>
      </c>
      <c r="L187" s="15">
        <f>IFERROR(__xludf.DUMMYFUNCTION("IF(A187="""","""",
  INDEX(FILTER('RE Portfolio'!C$2:C2000,'RE Portfolio'!D$2:D2000=""BUY""), INT((ROW()-2)/amortYears)+1)
  * (1 + VALUE(Assumptions!$B$11))^(D187-1)
)
"),1508800.0912976721)</f>
        <v>1508800.091</v>
      </c>
    </row>
    <row r="188">
      <c r="A188" s="15">
        <f>IFERROR(__xludf.DUMMYFUNCTION("IFERROR(INDEX(FILTER('RE Portfolio'!A$2:A2000,'RE Portfolio'!D$2:D2000=""BUY""), INT((ROW()-2)/amortYears)+1), )
"),5.0)</f>
        <v>5</v>
      </c>
      <c r="B188" s="15">
        <f>IFERROR(__xludf.DUMMYFUNCTION("IFERROR(INDEX(FILTER('RE Portfolio'!B$2:B2000,'RE Portfolio'!D$2:D2000=""BUY""), INT((ROW()-2)/amortYears)+1), )
"),37.0)</f>
        <v>37</v>
      </c>
      <c r="C188" s="15">
        <f>IFERROR(__xludf.DUMMYFUNCTION("IFERROR(INDEX(FILTER('RE Portfolio'!G$2:G2000,'RE Portfolio'!D$2:D2000=""BUY""), INT((ROW()-2)/amortYears)+1), )
"),310164.9850918022)</f>
        <v>310164.9851</v>
      </c>
      <c r="D188" s="15">
        <f>MOD(ROW()-2, amortYears)+1</f>
        <v>35</v>
      </c>
      <c r="E188" s="15">
        <f t="shared" si="1"/>
        <v>71</v>
      </c>
      <c r="F188" s="15">
        <f t="shared" si="2"/>
        <v>0</v>
      </c>
      <c r="G188" s="15">
        <f>IF(D188&lt;=mortTerm, -PMT(mortRate/12, mortTerm*12, C188)*12, 0)
</f>
        <v>0</v>
      </c>
      <c r="H188" s="15">
        <f>IF(D188&lt;=mortTerm, G188 - I188, 0)
</f>
        <v>0</v>
      </c>
      <c r="I188" s="15">
        <f>IF(D188&lt;=mortTerm, F188 - J188, 0)
</f>
        <v>0</v>
      </c>
      <c r="J188" s="15">
        <f>IF(D188&lt;=mortTerm,
   F188*(1+mortRate/12)^12 - (-PMT(mortRate/12, mortTerm*12, C188))*(((1+mortRate/12)^12 - 1)/(mortRate/12)),
   0
)
</f>
        <v>0</v>
      </c>
      <c r="K188" s="13">
        <f>IFERROR(__xludf.DUMMYFUNCTION("IF(A188="""","""",
   IF(F188&gt;0,
      INDEX(FILTER('RE Portfolio'!L$2:L2000,'RE Portfolio'!D$2:D2000=""BUY""), INT((ROW()-2)/amortYears)+1) - G188,
      INDEX(FILTER('RE Portfolio'!L$2:L2000,'RE Portfolio'!D$2:D2000=""BUY""), INT((ROW()-2)/amortYears)+1"&amp;")
   )
)
"),30768.36652110678)</f>
        <v>30768.36652</v>
      </c>
      <c r="L188" s="15">
        <f>IFERROR(__xludf.DUMMYFUNCTION("IF(A188="""","""",
  INDEX(FILTER('RE Portfolio'!C$2:C2000,'RE Portfolio'!D$2:D2000=""BUY""), INT((ROW()-2)/amortYears)+1)
  * (1 + VALUE(Assumptions!$B$11))^(D188-1)
)
"),1569152.094949579)</f>
        <v>1569152.095</v>
      </c>
    </row>
    <row r="189">
      <c r="A189" s="15">
        <f>IFERROR(__xludf.DUMMYFUNCTION("IFERROR(INDEX(FILTER('RE Portfolio'!A$2:A2000,'RE Portfolio'!D$2:D2000=""BUY""), INT((ROW()-2)/amortYears)+1), )
"),5.0)</f>
        <v>5</v>
      </c>
      <c r="B189" s="15">
        <f>IFERROR(__xludf.DUMMYFUNCTION("IFERROR(INDEX(FILTER('RE Portfolio'!B$2:B2000,'RE Portfolio'!D$2:D2000=""BUY""), INT((ROW()-2)/amortYears)+1), )
"),37.0)</f>
        <v>37</v>
      </c>
      <c r="C189" s="15">
        <f>IFERROR(__xludf.DUMMYFUNCTION("IFERROR(INDEX(FILTER('RE Portfolio'!G$2:G2000,'RE Portfolio'!D$2:D2000=""BUY""), INT((ROW()-2)/amortYears)+1), )
"),310164.9850918022)</f>
        <v>310164.9851</v>
      </c>
      <c r="D189" s="15">
        <f>MOD(ROW()-2, amortYears)+1</f>
        <v>36</v>
      </c>
      <c r="E189" s="15">
        <f t="shared" si="1"/>
        <v>72</v>
      </c>
      <c r="F189" s="15">
        <f t="shared" si="2"/>
        <v>0</v>
      </c>
      <c r="G189" s="15">
        <f>IF(D189&lt;=mortTerm, -PMT(mortRate/12, mortTerm*12, C189)*12, 0)
</f>
        <v>0</v>
      </c>
      <c r="H189" s="15">
        <f>IF(D189&lt;=mortTerm, G189 - I189, 0)
</f>
        <v>0</v>
      </c>
      <c r="I189" s="15">
        <f>IF(D189&lt;=mortTerm, F189 - J189, 0)
</f>
        <v>0</v>
      </c>
      <c r="J189" s="15">
        <f>IF(D189&lt;=mortTerm,
   F189*(1+mortRate/12)^12 - (-PMT(mortRate/12, mortTerm*12, C189))*(((1+mortRate/12)^12 - 1)/(mortRate/12)),
   0
)
</f>
        <v>0</v>
      </c>
      <c r="K189" s="13">
        <f>IFERROR(__xludf.DUMMYFUNCTION("IF(A189="""","""",
   IF(F189&gt;0,
      INDEX(FILTER('RE Portfolio'!L$2:L2000,'RE Portfolio'!D$2:D2000=""BUY""), INT((ROW()-2)/amortYears)+1) - G189,
      INDEX(FILTER('RE Portfolio'!L$2:L2000,'RE Portfolio'!D$2:D2000=""BUY""), INT((ROW()-2)/amortYears)+1"&amp;")
   )
)
"),30768.36652110678)</f>
        <v>30768.36652</v>
      </c>
      <c r="L189" s="15">
        <f>IFERROR(__xludf.DUMMYFUNCTION("IF(A189="""","""",
  INDEX(FILTER('RE Portfolio'!C$2:C2000,'RE Portfolio'!D$2:D2000=""BUY""), INT((ROW()-2)/amortYears)+1)
  * (1 + VALUE(Assumptions!$B$11))^(D189-1)
)
"),1631918.1787475625)</f>
        <v>1631918.179</v>
      </c>
    </row>
    <row r="190">
      <c r="A190" s="15">
        <f>IFERROR(__xludf.DUMMYFUNCTION("IFERROR(INDEX(FILTER('RE Portfolio'!A$2:A2000,'RE Portfolio'!D$2:D2000=""BUY""), INT((ROW()-2)/amortYears)+1), )
"),5.0)</f>
        <v>5</v>
      </c>
      <c r="B190" s="15">
        <f>IFERROR(__xludf.DUMMYFUNCTION("IFERROR(INDEX(FILTER('RE Portfolio'!B$2:B2000,'RE Portfolio'!D$2:D2000=""BUY""), INT((ROW()-2)/amortYears)+1), )
"),37.0)</f>
        <v>37</v>
      </c>
      <c r="C190" s="15">
        <f>IFERROR(__xludf.DUMMYFUNCTION("IFERROR(INDEX(FILTER('RE Portfolio'!G$2:G2000,'RE Portfolio'!D$2:D2000=""BUY""), INT((ROW()-2)/amortYears)+1), )
"),310164.9850918022)</f>
        <v>310164.9851</v>
      </c>
      <c r="D190" s="15">
        <f>MOD(ROW()-2, amortYears)+1</f>
        <v>37</v>
      </c>
      <c r="E190" s="15">
        <f t="shared" si="1"/>
        <v>73</v>
      </c>
      <c r="F190" s="15">
        <f t="shared" si="2"/>
        <v>0</v>
      </c>
      <c r="G190" s="15">
        <f>IF(D190&lt;=mortTerm, -PMT(mortRate/12, mortTerm*12, C190)*12, 0)
</f>
        <v>0</v>
      </c>
      <c r="H190" s="15">
        <f>IF(D190&lt;=mortTerm, G190 - I190, 0)
</f>
        <v>0</v>
      </c>
      <c r="I190" s="15">
        <f>IF(D190&lt;=mortTerm, F190 - J190, 0)
</f>
        <v>0</v>
      </c>
      <c r="J190" s="15">
        <f>IF(D190&lt;=mortTerm,
   F190*(1+mortRate/12)^12 - (-PMT(mortRate/12, mortTerm*12, C190))*(((1+mortRate/12)^12 - 1)/(mortRate/12)),
   0
)
</f>
        <v>0</v>
      </c>
      <c r="K190" s="13">
        <f>IFERROR(__xludf.DUMMYFUNCTION("IF(A190="""","""",
   IF(F190&gt;0,
      INDEX(FILTER('RE Portfolio'!L$2:L2000,'RE Portfolio'!D$2:D2000=""BUY""), INT((ROW()-2)/amortYears)+1) - G190,
      INDEX(FILTER('RE Portfolio'!L$2:L2000,'RE Portfolio'!D$2:D2000=""BUY""), INT((ROW()-2)/amortYears)+1"&amp;")
   )
)
"),30768.36652110678)</f>
        <v>30768.36652</v>
      </c>
      <c r="L190" s="15">
        <f>IFERROR(__xludf.DUMMYFUNCTION("IF(A190="""","""",
  INDEX(FILTER('RE Portfolio'!C$2:C2000,'RE Portfolio'!D$2:D2000=""BUY""), INT((ROW()-2)/amortYears)+1)
  * (1 + VALUE(Assumptions!$B$11))^(D190-1)
)
"),1697194.905897465)</f>
        <v>1697194.906</v>
      </c>
    </row>
    <row r="191">
      <c r="A191" s="15">
        <f>IFERROR(__xludf.DUMMYFUNCTION("IFERROR(INDEX(FILTER('RE Portfolio'!A$2:A2000,'RE Portfolio'!D$2:D2000=""BUY""), INT((ROW()-2)/amortYears)+1), )
"),5.0)</f>
        <v>5</v>
      </c>
      <c r="B191" s="15">
        <f>IFERROR(__xludf.DUMMYFUNCTION("IFERROR(INDEX(FILTER('RE Portfolio'!B$2:B2000,'RE Portfolio'!D$2:D2000=""BUY""), INT((ROW()-2)/amortYears)+1), )
"),37.0)</f>
        <v>37</v>
      </c>
      <c r="C191" s="15">
        <f>IFERROR(__xludf.DUMMYFUNCTION("IFERROR(INDEX(FILTER('RE Portfolio'!G$2:G2000,'RE Portfolio'!D$2:D2000=""BUY""), INT((ROW()-2)/amortYears)+1), )
"),310164.9850918022)</f>
        <v>310164.9851</v>
      </c>
      <c r="D191" s="15">
        <f>MOD(ROW()-2, amortYears)+1</f>
        <v>38</v>
      </c>
      <c r="E191" s="15">
        <f t="shared" si="1"/>
        <v>74</v>
      </c>
      <c r="F191" s="15">
        <f t="shared" si="2"/>
        <v>0</v>
      </c>
      <c r="G191" s="15">
        <f>IF(D191&lt;=mortTerm, -PMT(mortRate/12, mortTerm*12, C191)*12, 0)
</f>
        <v>0</v>
      </c>
      <c r="H191" s="15">
        <f>IF(D191&lt;=mortTerm, G191 - I191, 0)
</f>
        <v>0</v>
      </c>
      <c r="I191" s="15">
        <f>IF(D191&lt;=mortTerm, F191 - J191, 0)
</f>
        <v>0</v>
      </c>
      <c r="J191" s="15">
        <f>IF(D191&lt;=mortTerm,
   F191*(1+mortRate/12)^12 - (-PMT(mortRate/12, mortTerm*12, C191))*(((1+mortRate/12)^12 - 1)/(mortRate/12)),
   0
)
</f>
        <v>0</v>
      </c>
      <c r="K191" s="13">
        <f>IFERROR(__xludf.DUMMYFUNCTION("IF(A191="""","""",
   IF(F191&gt;0,
      INDEX(FILTER('RE Portfolio'!L$2:L2000,'RE Portfolio'!D$2:D2000=""BUY""), INT((ROW()-2)/amortYears)+1) - G191,
      INDEX(FILTER('RE Portfolio'!L$2:L2000,'RE Portfolio'!D$2:D2000=""BUY""), INT((ROW()-2)/amortYears)+1"&amp;")
   )
)
"),30768.36652110678)</f>
        <v>30768.36652</v>
      </c>
      <c r="L191" s="15">
        <f>IFERROR(__xludf.DUMMYFUNCTION("IF(A191="""","""",
  INDEX(FILTER('RE Portfolio'!C$2:C2000,'RE Portfolio'!D$2:D2000=""BUY""), INT((ROW()-2)/amortYears)+1)
  * (1 + VALUE(Assumptions!$B$11))^(D191-1)
)
"),1765082.7021333633)</f>
        <v>1765082.702</v>
      </c>
    </row>
    <row r="192">
      <c r="A192" s="15">
        <f>IFERROR(__xludf.DUMMYFUNCTION("IFERROR(INDEX(FILTER('RE Portfolio'!A$2:A2000,'RE Portfolio'!D$2:D2000=""BUY""), INT((ROW()-2)/amortYears)+1), )
"),6.0)</f>
        <v>6</v>
      </c>
      <c r="B192" s="15">
        <f>IFERROR(__xludf.DUMMYFUNCTION("IFERROR(INDEX(FILTER('RE Portfolio'!B$2:B2000,'RE Portfolio'!D$2:D2000=""BUY""), INT((ROW()-2)/amortYears)+1), )
"),39.0)</f>
        <v>39</v>
      </c>
      <c r="C192" s="15">
        <f>IFERROR(__xludf.DUMMYFUNCTION("IFERROR(INDEX(FILTER('RE Portfolio'!G$2:G2000,'RE Portfolio'!D$2:D2000=""BUY""), INT((ROW()-2)/amortYears)+1), )
"),325867.08746207465)</f>
        <v>325867.0875</v>
      </c>
      <c r="D192" s="15">
        <f>MOD(ROW()-2, amortYears)+1</f>
        <v>1</v>
      </c>
      <c r="E192" s="15">
        <f t="shared" si="1"/>
        <v>39</v>
      </c>
      <c r="F192" s="15">
        <f t="shared" si="2"/>
        <v>325867.0875</v>
      </c>
      <c r="G192" s="16">
        <f>IF(D192&lt;=mortTerm, -PMT(mortRate/12, mortTerm*12, C192)*12, 0)
</f>
        <v>24716.41991</v>
      </c>
      <c r="H192" s="16">
        <f>IF(D192&lt;=mortTerm, G192 - I192, 0)
</f>
        <v>21074.12048</v>
      </c>
      <c r="I192" s="16">
        <f>IF(D192&lt;=mortTerm, F192 - J192, 0)
</f>
        <v>3642.299432</v>
      </c>
      <c r="J192" s="16">
        <f>IF(D192&lt;=mortTerm,
   F192*(1+mortRate/12)^12 - (-PMT(mortRate/12, mortTerm*12, C192))*(((1+mortRate/12)^12 - 1)/(mortRate/12)),
   0
)
</f>
        <v>322224.788</v>
      </c>
      <c r="K192" s="13">
        <f>IFERROR(__xludf.DUMMYFUNCTION("IF(A192="""","""",
   IF(F192&gt;0,
      INDEX(FILTER('RE Portfolio'!L$2:L2000,'RE Portfolio'!D$2:D2000=""BUY""), INT((ROW()-2)/amortYears)+1) - G192,
      INDEX(FILTER('RE Portfolio'!L$2:L2000,'RE Portfolio'!D$2:D2000=""BUY""), INT((ROW()-2)/amortYears)+1"&amp;")
   )
)
"),7609.5951690102665)</f>
        <v>7609.595169</v>
      </c>
      <c r="L192" s="15">
        <f>IFERROR(__xludf.DUMMYFUNCTION("IF(A192="""","""",
  INDEX(FILTER('RE Portfolio'!C$2:C2000,'RE Portfolio'!D$2:D2000=""BUY""), INT((ROW()-2)/amortYears)+1)
  * (1 + VALUE(Assumptions!$B$11))^(D192-1)
)
"),434489.44994943286)</f>
        <v>434489.4499</v>
      </c>
    </row>
    <row r="193">
      <c r="A193" s="15">
        <f>IFERROR(__xludf.DUMMYFUNCTION("IFERROR(INDEX(FILTER('RE Portfolio'!A$2:A2000,'RE Portfolio'!D$2:D2000=""BUY""), INT((ROW()-2)/amortYears)+1), )
"),6.0)</f>
        <v>6</v>
      </c>
      <c r="B193" s="15">
        <f>IFERROR(__xludf.DUMMYFUNCTION("IFERROR(INDEX(FILTER('RE Portfolio'!B$2:B2000,'RE Portfolio'!D$2:D2000=""BUY""), INT((ROW()-2)/amortYears)+1), )
"),39.0)</f>
        <v>39</v>
      </c>
      <c r="C193" s="15">
        <f>IFERROR(__xludf.DUMMYFUNCTION("IFERROR(INDEX(FILTER('RE Portfolio'!G$2:G2000,'RE Portfolio'!D$2:D2000=""BUY""), INT((ROW()-2)/amortYears)+1), )
"),325867.08746207465)</f>
        <v>325867.0875</v>
      </c>
      <c r="D193" s="15">
        <f>MOD(ROW()-2, amortYears)+1</f>
        <v>2</v>
      </c>
      <c r="E193" s="15">
        <f t="shared" si="1"/>
        <v>40</v>
      </c>
      <c r="F193" s="16">
        <f t="shared" si="2"/>
        <v>322224.788</v>
      </c>
      <c r="G193" s="16">
        <f>IF(D193&lt;=mortTerm, -PMT(mortRate/12, mortTerm*12, C193)*12, 0)
</f>
        <v>24716.41991</v>
      </c>
      <c r="H193" s="16">
        <f>IF(D193&lt;=mortTerm, G193 - I193, 0)
</f>
        <v>20830.18894</v>
      </c>
      <c r="I193" s="16">
        <f>IF(D193&lt;=mortTerm, F193 - J193, 0)
</f>
        <v>3886.23097</v>
      </c>
      <c r="J193" s="16">
        <f>IF(D193&lt;=mortTerm,
   F193*(1+mortRate/12)^12 - (-PMT(mortRate/12, mortTerm*12, C193))*(((1+mortRate/12)^12 - 1)/(mortRate/12)),
   0
)
</f>
        <v>318338.5571</v>
      </c>
      <c r="K193" s="13">
        <f>IFERROR(__xludf.DUMMYFUNCTION("IF(A193="""","""",
   IF(F193&gt;0,
      INDEX(FILTER('RE Portfolio'!L$2:L2000,'RE Portfolio'!D$2:D2000=""BUY""), INT((ROW()-2)/amortYears)+1) - G193,
      INDEX(FILTER('RE Portfolio'!L$2:L2000,'RE Portfolio'!D$2:D2000=""BUY""), INT((ROW()-2)/amortYears)+1"&amp;")
   )
)
"),7609.5951690102665)</f>
        <v>7609.595169</v>
      </c>
      <c r="L193" s="15">
        <f>IFERROR(__xludf.DUMMYFUNCTION("IF(A193="""","""",
  INDEX(FILTER('RE Portfolio'!C$2:C2000,'RE Portfolio'!D$2:D2000=""BUY""), INT((ROW()-2)/amortYears)+1)
  * (1 + VALUE(Assumptions!$B$11))^(D193-1)
)
"),451869.0279474102)</f>
        <v>451869.0279</v>
      </c>
    </row>
    <row r="194">
      <c r="A194" s="15">
        <f>IFERROR(__xludf.DUMMYFUNCTION("IFERROR(INDEX(FILTER('RE Portfolio'!A$2:A2000,'RE Portfolio'!D$2:D2000=""BUY""), INT((ROW()-2)/amortYears)+1), )
"),6.0)</f>
        <v>6</v>
      </c>
      <c r="B194" s="15">
        <f>IFERROR(__xludf.DUMMYFUNCTION("IFERROR(INDEX(FILTER('RE Portfolio'!B$2:B2000,'RE Portfolio'!D$2:D2000=""BUY""), INT((ROW()-2)/amortYears)+1), )
"),39.0)</f>
        <v>39</v>
      </c>
      <c r="C194" s="15">
        <f>IFERROR(__xludf.DUMMYFUNCTION("IFERROR(INDEX(FILTER('RE Portfolio'!G$2:G2000,'RE Portfolio'!D$2:D2000=""BUY""), INT((ROW()-2)/amortYears)+1), )
"),325867.08746207465)</f>
        <v>325867.0875</v>
      </c>
      <c r="D194" s="15">
        <f>MOD(ROW()-2, amortYears)+1</f>
        <v>3</v>
      </c>
      <c r="E194" s="15">
        <f t="shared" si="1"/>
        <v>41</v>
      </c>
      <c r="F194" s="16">
        <f t="shared" si="2"/>
        <v>318338.5571</v>
      </c>
      <c r="G194" s="16">
        <f>IF(D194&lt;=mortTerm, -PMT(mortRate/12, mortTerm*12, C194)*12, 0)
</f>
        <v>24716.41991</v>
      </c>
      <c r="H194" s="16">
        <f>IF(D194&lt;=mortTerm, G194 - I194, 0)
</f>
        <v>20569.92085</v>
      </c>
      <c r="I194" s="16">
        <f>IF(D194&lt;=mortTerm, F194 - J194, 0)
</f>
        <v>4146.499055</v>
      </c>
      <c r="J194" s="16">
        <f>IF(D194&lt;=mortTerm,
   F194*(1+mortRate/12)^12 - (-PMT(mortRate/12, mortTerm*12, C194))*(((1+mortRate/12)^12 - 1)/(mortRate/12)),
   0
)
</f>
        <v>314192.058</v>
      </c>
      <c r="K194" s="13">
        <f>IFERROR(__xludf.DUMMYFUNCTION("IF(A194="""","""",
   IF(F194&gt;0,
      INDEX(FILTER('RE Portfolio'!L$2:L2000,'RE Portfolio'!D$2:D2000=""BUY""), INT((ROW()-2)/amortYears)+1) - G194,
      INDEX(FILTER('RE Portfolio'!L$2:L2000,'RE Portfolio'!D$2:D2000=""BUY""), INT((ROW()-2)/amortYears)+1"&amp;")
   )
)
"),7609.5951690102665)</f>
        <v>7609.595169</v>
      </c>
      <c r="L194" s="15">
        <f>IFERROR(__xludf.DUMMYFUNCTION("IF(A194="""","""",
  INDEX(FILTER('RE Portfolio'!C$2:C2000,'RE Portfolio'!D$2:D2000=""BUY""), INT((ROW()-2)/amortYears)+1)
  * (1 + VALUE(Assumptions!$B$11))^(D194-1)
)
"),469943.78906530666)</f>
        <v>469943.7891</v>
      </c>
    </row>
    <row r="195">
      <c r="A195" s="15">
        <f>IFERROR(__xludf.DUMMYFUNCTION("IFERROR(INDEX(FILTER('RE Portfolio'!A$2:A2000,'RE Portfolio'!D$2:D2000=""BUY""), INT((ROW()-2)/amortYears)+1), )
"),6.0)</f>
        <v>6</v>
      </c>
      <c r="B195" s="15">
        <f>IFERROR(__xludf.DUMMYFUNCTION("IFERROR(INDEX(FILTER('RE Portfolio'!B$2:B2000,'RE Portfolio'!D$2:D2000=""BUY""), INT((ROW()-2)/amortYears)+1), )
"),39.0)</f>
        <v>39</v>
      </c>
      <c r="C195" s="15">
        <f>IFERROR(__xludf.DUMMYFUNCTION("IFERROR(INDEX(FILTER('RE Portfolio'!G$2:G2000,'RE Portfolio'!D$2:D2000=""BUY""), INT((ROW()-2)/amortYears)+1), )
"),325867.08746207465)</f>
        <v>325867.0875</v>
      </c>
      <c r="D195" s="15">
        <f>MOD(ROW()-2, amortYears)+1</f>
        <v>4</v>
      </c>
      <c r="E195" s="15">
        <f t="shared" si="1"/>
        <v>42</v>
      </c>
      <c r="F195" s="16">
        <f t="shared" si="2"/>
        <v>314192.058</v>
      </c>
      <c r="G195" s="16">
        <f>IF(D195&lt;=mortTerm, -PMT(mortRate/12, mortTerm*12, C195)*12, 0)
</f>
        <v>24716.41991</v>
      </c>
      <c r="H195" s="16">
        <f>IF(D195&lt;=mortTerm, G195 - I195, 0)
</f>
        <v>20292.22213</v>
      </c>
      <c r="I195" s="16">
        <f>IF(D195&lt;=mortTerm, F195 - J195, 0)
</f>
        <v>4424.197776</v>
      </c>
      <c r="J195" s="16">
        <f>IF(D195&lt;=mortTerm,
   F195*(1+mortRate/12)^12 - (-PMT(mortRate/12, mortTerm*12, C195))*(((1+mortRate/12)^12 - 1)/(mortRate/12)),
   0
)
</f>
        <v>309767.8602</v>
      </c>
      <c r="K195" s="13">
        <f>IFERROR(__xludf.DUMMYFUNCTION("IF(A195="""","""",
   IF(F195&gt;0,
      INDEX(FILTER('RE Portfolio'!L$2:L2000,'RE Portfolio'!D$2:D2000=""BUY""), INT((ROW()-2)/amortYears)+1) - G195,
      INDEX(FILTER('RE Portfolio'!L$2:L2000,'RE Portfolio'!D$2:D2000=""BUY""), INT((ROW()-2)/amortYears)+1"&amp;")
   )
)
"),7609.5951690102665)</f>
        <v>7609.595169</v>
      </c>
      <c r="L195" s="15">
        <f>IFERROR(__xludf.DUMMYFUNCTION("IF(A195="""","""",
  INDEX(FILTER('RE Portfolio'!C$2:C2000,'RE Portfolio'!D$2:D2000=""BUY""), INT((ROW()-2)/amortYears)+1)
  * (1 + VALUE(Assumptions!$B$11))^(D195-1)
)
"),488741.5406279189)</f>
        <v>488741.5406</v>
      </c>
    </row>
    <row r="196">
      <c r="A196" s="15">
        <f>IFERROR(__xludf.DUMMYFUNCTION("IFERROR(INDEX(FILTER('RE Portfolio'!A$2:A2000,'RE Portfolio'!D$2:D2000=""BUY""), INT((ROW()-2)/amortYears)+1), )
"),6.0)</f>
        <v>6</v>
      </c>
      <c r="B196" s="15">
        <f>IFERROR(__xludf.DUMMYFUNCTION("IFERROR(INDEX(FILTER('RE Portfolio'!B$2:B2000,'RE Portfolio'!D$2:D2000=""BUY""), INT((ROW()-2)/amortYears)+1), )
"),39.0)</f>
        <v>39</v>
      </c>
      <c r="C196" s="15">
        <f>IFERROR(__xludf.DUMMYFUNCTION("IFERROR(INDEX(FILTER('RE Portfolio'!G$2:G2000,'RE Portfolio'!D$2:D2000=""BUY""), INT((ROW()-2)/amortYears)+1), )
"),325867.08746207465)</f>
        <v>325867.0875</v>
      </c>
      <c r="D196" s="15">
        <f>MOD(ROW()-2, amortYears)+1</f>
        <v>5</v>
      </c>
      <c r="E196" s="15">
        <f t="shared" si="1"/>
        <v>43</v>
      </c>
      <c r="F196" s="16">
        <f t="shared" si="2"/>
        <v>309767.8602</v>
      </c>
      <c r="G196" s="16">
        <f>IF(D196&lt;=mortTerm, -PMT(mortRate/12, mortTerm*12, C196)*12, 0)
</f>
        <v>24716.41991</v>
      </c>
      <c r="H196" s="16">
        <f>IF(D196&lt;=mortTerm, G196 - I196, 0)
</f>
        <v>19995.92541</v>
      </c>
      <c r="I196" s="16">
        <f>IF(D196&lt;=mortTerm, F196 - J196, 0)
</f>
        <v>4720.494495</v>
      </c>
      <c r="J196" s="16">
        <f>IF(D196&lt;=mortTerm,
   F196*(1+mortRate/12)^12 - (-PMT(mortRate/12, mortTerm*12, C196))*(((1+mortRate/12)^12 - 1)/(mortRate/12)),
   0
)
</f>
        <v>305047.3657</v>
      </c>
      <c r="K196" s="13">
        <f>IFERROR(__xludf.DUMMYFUNCTION("IF(A196="""","""",
   IF(F196&gt;0,
      INDEX(FILTER('RE Portfolio'!L$2:L2000,'RE Portfolio'!D$2:D2000=""BUY""), INT((ROW()-2)/amortYears)+1) - G196,
      INDEX(FILTER('RE Portfolio'!L$2:L2000,'RE Portfolio'!D$2:D2000=""BUY""), INT((ROW()-2)/amortYears)+1"&amp;")
   )
)
"),7609.5951690102665)</f>
        <v>7609.595169</v>
      </c>
      <c r="L196" s="15">
        <f>IFERROR(__xludf.DUMMYFUNCTION("IF(A196="""","""",
  INDEX(FILTER('RE Portfolio'!C$2:C2000,'RE Portfolio'!D$2:D2000=""BUY""), INT((ROW()-2)/amortYears)+1)
  * (1 + VALUE(Assumptions!$B$11))^(D196-1)
)
"),508291.2022530357)</f>
        <v>508291.2023</v>
      </c>
    </row>
    <row r="197">
      <c r="A197" s="15">
        <f>IFERROR(__xludf.DUMMYFUNCTION("IFERROR(INDEX(FILTER('RE Portfolio'!A$2:A2000,'RE Portfolio'!D$2:D2000=""BUY""), INT((ROW()-2)/amortYears)+1), )
"),6.0)</f>
        <v>6</v>
      </c>
      <c r="B197" s="15">
        <f>IFERROR(__xludf.DUMMYFUNCTION("IFERROR(INDEX(FILTER('RE Portfolio'!B$2:B2000,'RE Portfolio'!D$2:D2000=""BUY""), INT((ROW()-2)/amortYears)+1), )
"),39.0)</f>
        <v>39</v>
      </c>
      <c r="C197" s="15">
        <f>IFERROR(__xludf.DUMMYFUNCTION("IFERROR(INDEX(FILTER('RE Portfolio'!G$2:G2000,'RE Portfolio'!D$2:D2000=""BUY""), INT((ROW()-2)/amortYears)+1), )
"),325867.08746207465)</f>
        <v>325867.0875</v>
      </c>
      <c r="D197" s="15">
        <f>MOD(ROW()-2, amortYears)+1</f>
        <v>6</v>
      </c>
      <c r="E197" s="15">
        <f t="shared" si="1"/>
        <v>44</v>
      </c>
      <c r="F197" s="16">
        <f t="shared" si="2"/>
        <v>305047.3657</v>
      </c>
      <c r="G197" s="16">
        <f>IF(D197&lt;=mortTerm, -PMT(mortRate/12, mortTerm*12, C197)*12, 0)
</f>
        <v>24716.41991</v>
      </c>
      <c r="H197" s="16">
        <f>IF(D197&lt;=mortTerm, G197 - I197, 0)
</f>
        <v>19679.78515</v>
      </c>
      <c r="I197" s="16">
        <f>IF(D197&lt;=mortTerm, F197 - J197, 0)
</f>
        <v>5036.634754</v>
      </c>
      <c r="J197" s="16">
        <f>IF(D197&lt;=mortTerm,
   F197*(1+mortRate/12)^12 - (-PMT(mortRate/12, mortTerm*12, C197))*(((1+mortRate/12)^12 - 1)/(mortRate/12)),
   0
)
</f>
        <v>300010.731</v>
      </c>
      <c r="K197" s="13">
        <f>IFERROR(__xludf.DUMMYFUNCTION("IF(A197="""","""",
   IF(F197&gt;0,
      INDEX(FILTER('RE Portfolio'!L$2:L2000,'RE Portfolio'!D$2:D2000=""BUY""), INT((ROW()-2)/amortYears)+1) - G197,
      INDEX(FILTER('RE Portfolio'!L$2:L2000,'RE Portfolio'!D$2:D2000=""BUY""), INT((ROW()-2)/amortYears)+1"&amp;")
   )
)
"),7609.5951690102665)</f>
        <v>7609.595169</v>
      </c>
      <c r="L197" s="15">
        <f>IFERROR(__xludf.DUMMYFUNCTION("IF(A197="""","""",
  INDEX(FILTER('RE Portfolio'!C$2:C2000,'RE Portfolio'!D$2:D2000=""BUY""), INT((ROW()-2)/amortYears)+1)
  * (1 + VALUE(Assumptions!$B$11))^(D197-1)
)
"),528622.8503431571)</f>
        <v>528622.8503</v>
      </c>
    </row>
    <row r="198">
      <c r="A198" s="15">
        <f>IFERROR(__xludf.DUMMYFUNCTION("IFERROR(INDEX(FILTER('RE Portfolio'!A$2:A2000,'RE Portfolio'!D$2:D2000=""BUY""), INT((ROW()-2)/amortYears)+1), )
"),6.0)</f>
        <v>6</v>
      </c>
      <c r="B198" s="15">
        <f>IFERROR(__xludf.DUMMYFUNCTION("IFERROR(INDEX(FILTER('RE Portfolio'!B$2:B2000,'RE Portfolio'!D$2:D2000=""BUY""), INT((ROW()-2)/amortYears)+1), )
"),39.0)</f>
        <v>39</v>
      </c>
      <c r="C198" s="15">
        <f>IFERROR(__xludf.DUMMYFUNCTION("IFERROR(INDEX(FILTER('RE Portfolio'!G$2:G2000,'RE Portfolio'!D$2:D2000=""BUY""), INT((ROW()-2)/amortYears)+1), )
"),325867.08746207465)</f>
        <v>325867.0875</v>
      </c>
      <c r="D198" s="15">
        <f>MOD(ROW()-2, amortYears)+1</f>
        <v>7</v>
      </c>
      <c r="E198" s="15">
        <f t="shared" si="1"/>
        <v>45</v>
      </c>
      <c r="F198" s="16">
        <f t="shared" si="2"/>
        <v>300010.731</v>
      </c>
      <c r="G198" s="16">
        <f>IF(D198&lt;=mortTerm, -PMT(mortRate/12, mortTerm*12, C198)*12, 0)
</f>
        <v>24716.41991</v>
      </c>
      <c r="H198" s="16">
        <f>IF(D198&lt;=mortTerm, G198 - I198, 0)
</f>
        <v>19342.4724</v>
      </c>
      <c r="I198" s="16">
        <f>IF(D198&lt;=mortTerm, F198 - J198, 0)
</f>
        <v>5373.947511</v>
      </c>
      <c r="J198" s="16">
        <f>IF(D198&lt;=mortTerm,
   F198*(1+mortRate/12)^12 - (-PMT(mortRate/12, mortTerm*12, C198))*(((1+mortRate/12)^12 - 1)/(mortRate/12)),
   0
)
</f>
        <v>294636.7835</v>
      </c>
      <c r="K198" s="13">
        <f>IFERROR(__xludf.DUMMYFUNCTION("IF(A198="""","""",
   IF(F198&gt;0,
      INDEX(FILTER('RE Portfolio'!L$2:L2000,'RE Portfolio'!D$2:D2000=""BUY""), INT((ROW()-2)/amortYears)+1) - G198,
      INDEX(FILTER('RE Portfolio'!L$2:L2000,'RE Portfolio'!D$2:D2000=""BUY""), INT((ROW()-2)/amortYears)+1"&amp;")
   )
)
"),7609.5951690102665)</f>
        <v>7609.595169</v>
      </c>
      <c r="L198" s="15">
        <f>IFERROR(__xludf.DUMMYFUNCTION("IF(A198="""","""",
  INDEX(FILTER('RE Portfolio'!C$2:C2000,'RE Portfolio'!D$2:D2000=""BUY""), INT((ROW()-2)/amortYears)+1)
  * (1 + VALUE(Assumptions!$B$11))^(D198-1)
)
"),549767.7643568835)</f>
        <v>549767.7644</v>
      </c>
    </row>
    <row r="199">
      <c r="A199" s="15">
        <f>IFERROR(__xludf.DUMMYFUNCTION("IFERROR(INDEX(FILTER('RE Portfolio'!A$2:A2000,'RE Portfolio'!D$2:D2000=""BUY""), INT((ROW()-2)/amortYears)+1), )
"),6.0)</f>
        <v>6</v>
      </c>
      <c r="B199" s="15">
        <f>IFERROR(__xludf.DUMMYFUNCTION("IFERROR(INDEX(FILTER('RE Portfolio'!B$2:B2000,'RE Portfolio'!D$2:D2000=""BUY""), INT((ROW()-2)/amortYears)+1), )
"),39.0)</f>
        <v>39</v>
      </c>
      <c r="C199" s="15">
        <f>IFERROR(__xludf.DUMMYFUNCTION("IFERROR(INDEX(FILTER('RE Portfolio'!G$2:G2000,'RE Portfolio'!D$2:D2000=""BUY""), INT((ROW()-2)/amortYears)+1), )
"),325867.08746207465)</f>
        <v>325867.0875</v>
      </c>
      <c r="D199" s="15">
        <f>MOD(ROW()-2, amortYears)+1</f>
        <v>8</v>
      </c>
      <c r="E199" s="15">
        <f t="shared" si="1"/>
        <v>46</v>
      </c>
      <c r="F199" s="16">
        <f t="shared" si="2"/>
        <v>294636.7835</v>
      </c>
      <c r="G199" s="16">
        <f>IF(D199&lt;=mortTerm, -PMT(mortRate/12, mortTerm*12, C199)*12, 0)
</f>
        <v>24716.41991</v>
      </c>
      <c r="H199" s="16">
        <f>IF(D199&lt;=mortTerm, G199 - I199, 0)
</f>
        <v>18982.56918</v>
      </c>
      <c r="I199" s="16">
        <f>IF(D199&lt;=mortTerm, F199 - J199, 0)
</f>
        <v>5733.850729</v>
      </c>
      <c r="J199" s="16">
        <f>IF(D199&lt;=mortTerm,
   F199*(1+mortRate/12)^12 - (-PMT(mortRate/12, mortTerm*12, C199))*(((1+mortRate/12)^12 - 1)/(mortRate/12)),
   0
)
</f>
        <v>288902.9327</v>
      </c>
      <c r="K199" s="13">
        <f>IFERROR(__xludf.DUMMYFUNCTION("IF(A199="""","""",
   IF(F199&gt;0,
      INDEX(FILTER('RE Portfolio'!L$2:L2000,'RE Portfolio'!D$2:D2000=""BUY""), INT((ROW()-2)/amortYears)+1) - G199,
      INDEX(FILTER('RE Portfolio'!L$2:L2000,'RE Portfolio'!D$2:D2000=""BUY""), INT((ROW()-2)/amortYears)+1"&amp;")
   )
)
"),7609.5951690102665)</f>
        <v>7609.595169</v>
      </c>
      <c r="L199" s="15">
        <f>IFERROR(__xludf.DUMMYFUNCTION("IF(A199="""","""",
  INDEX(FILTER('RE Portfolio'!C$2:C2000,'RE Portfolio'!D$2:D2000=""BUY""), INT((ROW()-2)/amortYears)+1)
  * (1 + VALUE(Assumptions!$B$11))^(D199-1)
)
"),571758.4749311587)</f>
        <v>571758.4749</v>
      </c>
    </row>
    <row r="200">
      <c r="A200" s="15">
        <f>IFERROR(__xludf.DUMMYFUNCTION("IFERROR(INDEX(FILTER('RE Portfolio'!A$2:A2000,'RE Portfolio'!D$2:D2000=""BUY""), INT((ROW()-2)/amortYears)+1), )
"),6.0)</f>
        <v>6</v>
      </c>
      <c r="B200" s="15">
        <f>IFERROR(__xludf.DUMMYFUNCTION("IFERROR(INDEX(FILTER('RE Portfolio'!B$2:B2000,'RE Portfolio'!D$2:D2000=""BUY""), INT((ROW()-2)/amortYears)+1), )
"),39.0)</f>
        <v>39</v>
      </c>
      <c r="C200" s="15">
        <f>IFERROR(__xludf.DUMMYFUNCTION("IFERROR(INDEX(FILTER('RE Portfolio'!G$2:G2000,'RE Portfolio'!D$2:D2000=""BUY""), INT((ROW()-2)/amortYears)+1), )
"),325867.08746207465)</f>
        <v>325867.0875</v>
      </c>
      <c r="D200" s="15">
        <f>MOD(ROW()-2, amortYears)+1</f>
        <v>9</v>
      </c>
      <c r="E200" s="15">
        <f t="shared" si="1"/>
        <v>47</v>
      </c>
      <c r="F200" s="16">
        <f t="shared" si="2"/>
        <v>288902.9327</v>
      </c>
      <c r="G200" s="16">
        <f>IF(D200&lt;=mortTerm, -PMT(mortRate/12, mortTerm*12, C200)*12, 0)
</f>
        <v>24716.41991</v>
      </c>
      <c r="H200" s="16">
        <f>IF(D200&lt;=mortTerm, G200 - I200, 0)
</f>
        <v>18598.56258</v>
      </c>
      <c r="I200" s="16">
        <f>IF(D200&lt;=mortTerm, F200 - J200, 0)
</f>
        <v>6117.857331</v>
      </c>
      <c r="J200" s="16">
        <f>IF(D200&lt;=mortTerm,
   F200*(1+mortRate/12)^12 - (-PMT(mortRate/12, mortTerm*12, C200))*(((1+mortRate/12)^12 - 1)/(mortRate/12)),
   0
)
</f>
        <v>282785.0754</v>
      </c>
      <c r="K200" s="13">
        <f>IFERROR(__xludf.DUMMYFUNCTION("IF(A200="""","""",
   IF(F200&gt;0,
      INDEX(FILTER('RE Portfolio'!L$2:L2000,'RE Portfolio'!D$2:D2000=""BUY""), INT((ROW()-2)/amortYears)+1) - G200,
      INDEX(FILTER('RE Portfolio'!L$2:L2000,'RE Portfolio'!D$2:D2000=""BUY""), INT((ROW()-2)/amortYears)+1"&amp;")
   )
)
"),7609.5951690102665)</f>
        <v>7609.595169</v>
      </c>
      <c r="L200" s="15">
        <f>IFERROR(__xludf.DUMMYFUNCTION("IF(A200="""","""",
  INDEX(FILTER('RE Portfolio'!C$2:C2000,'RE Portfolio'!D$2:D2000=""BUY""), INT((ROW()-2)/amortYears)+1)
  * (1 + VALUE(Assumptions!$B$11))^(D200-1)
)
"),594628.813928405)</f>
        <v>594628.8139</v>
      </c>
    </row>
    <row r="201">
      <c r="A201" s="15">
        <f>IFERROR(__xludf.DUMMYFUNCTION("IFERROR(INDEX(FILTER('RE Portfolio'!A$2:A2000,'RE Portfolio'!D$2:D2000=""BUY""), INT((ROW()-2)/amortYears)+1), )
"),6.0)</f>
        <v>6</v>
      </c>
      <c r="B201" s="15">
        <f>IFERROR(__xludf.DUMMYFUNCTION("IFERROR(INDEX(FILTER('RE Portfolio'!B$2:B2000,'RE Portfolio'!D$2:D2000=""BUY""), INT((ROW()-2)/amortYears)+1), )
"),39.0)</f>
        <v>39</v>
      </c>
      <c r="C201" s="15">
        <f>IFERROR(__xludf.DUMMYFUNCTION("IFERROR(INDEX(FILTER('RE Portfolio'!G$2:G2000,'RE Portfolio'!D$2:D2000=""BUY""), INT((ROW()-2)/amortYears)+1), )
"),325867.08746207465)</f>
        <v>325867.0875</v>
      </c>
      <c r="D201" s="15">
        <f>MOD(ROW()-2, amortYears)+1</f>
        <v>10</v>
      </c>
      <c r="E201" s="15">
        <f t="shared" si="1"/>
        <v>48</v>
      </c>
      <c r="F201" s="16">
        <f t="shared" si="2"/>
        <v>282785.0754</v>
      </c>
      <c r="G201" s="16">
        <f>IF(D201&lt;=mortTerm, -PMT(mortRate/12, mortTerm*12, C201)*12, 0)
</f>
        <v>24716.41991</v>
      </c>
      <c r="H201" s="16">
        <f>IF(D201&lt;=mortTerm, G201 - I201, 0)
</f>
        <v>18188.83834</v>
      </c>
      <c r="I201" s="16">
        <f>IF(D201&lt;=mortTerm, F201 - J201, 0)
</f>
        <v>6527.581567</v>
      </c>
      <c r="J201" s="16">
        <f>IF(D201&lt;=mortTerm,
   F201*(1+mortRate/12)^12 - (-PMT(mortRate/12, mortTerm*12, C201))*(((1+mortRate/12)^12 - 1)/(mortRate/12)),
   0
)
</f>
        <v>276257.4938</v>
      </c>
      <c r="K201" s="13">
        <f>IFERROR(__xludf.DUMMYFUNCTION("IF(A201="""","""",
   IF(F201&gt;0,
      INDEX(FILTER('RE Portfolio'!L$2:L2000,'RE Portfolio'!D$2:D2000=""BUY""), INT((ROW()-2)/amortYears)+1) - G201,
      INDEX(FILTER('RE Portfolio'!L$2:L2000,'RE Portfolio'!D$2:D2000=""BUY""), INT((ROW()-2)/amortYears)+1"&amp;")
   )
)
"),7609.5951690102665)</f>
        <v>7609.595169</v>
      </c>
      <c r="L201" s="15">
        <f>IFERROR(__xludf.DUMMYFUNCTION("IF(A201="""","""",
  INDEX(FILTER('RE Portfolio'!C$2:C2000,'RE Portfolio'!D$2:D2000=""BUY""), INT((ROW()-2)/amortYears)+1)
  * (1 + VALUE(Assumptions!$B$11))^(D201-1)
)
"),618413.9664855413)</f>
        <v>618413.9665</v>
      </c>
    </row>
    <row r="202">
      <c r="A202" s="15">
        <f>IFERROR(__xludf.DUMMYFUNCTION("IFERROR(INDEX(FILTER('RE Portfolio'!A$2:A2000,'RE Portfolio'!D$2:D2000=""BUY""), INT((ROW()-2)/amortYears)+1), )
"),6.0)</f>
        <v>6</v>
      </c>
      <c r="B202" s="15">
        <f>IFERROR(__xludf.DUMMYFUNCTION("IFERROR(INDEX(FILTER('RE Portfolio'!B$2:B2000,'RE Portfolio'!D$2:D2000=""BUY""), INT((ROW()-2)/amortYears)+1), )
"),39.0)</f>
        <v>39</v>
      </c>
      <c r="C202" s="15">
        <f>IFERROR(__xludf.DUMMYFUNCTION("IFERROR(INDEX(FILTER('RE Portfolio'!G$2:G2000,'RE Portfolio'!D$2:D2000=""BUY""), INT((ROW()-2)/amortYears)+1), )
"),325867.08746207465)</f>
        <v>325867.0875</v>
      </c>
      <c r="D202" s="15">
        <f>MOD(ROW()-2, amortYears)+1</f>
        <v>11</v>
      </c>
      <c r="E202" s="15">
        <f t="shared" si="1"/>
        <v>49</v>
      </c>
      <c r="F202" s="16">
        <f t="shared" si="2"/>
        <v>276257.4938</v>
      </c>
      <c r="G202" s="16">
        <f>IF(D202&lt;=mortTerm, -PMT(mortRate/12, mortTerm*12, C202)*12, 0)
</f>
        <v>24716.41991</v>
      </c>
      <c r="H202" s="16">
        <f>IF(D202&lt;=mortTerm, G202 - I202, 0)
</f>
        <v>17751.67411</v>
      </c>
      <c r="I202" s="16">
        <f>IF(D202&lt;=mortTerm, F202 - J202, 0)
</f>
        <v>6964.745793</v>
      </c>
      <c r="J202" s="16">
        <f>IF(D202&lt;=mortTerm,
   F202*(1+mortRate/12)^12 - (-PMT(mortRate/12, mortTerm*12, C202))*(((1+mortRate/12)^12 - 1)/(mortRate/12)),
   0
)
</f>
        <v>269292.748</v>
      </c>
      <c r="K202" s="13">
        <f>IFERROR(__xludf.DUMMYFUNCTION("IF(A202="""","""",
   IF(F202&gt;0,
      INDEX(FILTER('RE Portfolio'!L$2:L2000,'RE Portfolio'!D$2:D2000=""BUY""), INT((ROW()-2)/amortYears)+1) - G202,
      INDEX(FILTER('RE Portfolio'!L$2:L2000,'RE Portfolio'!D$2:D2000=""BUY""), INT((ROW()-2)/amortYears)+1"&amp;")
   )
)
"),7609.5951690102665)</f>
        <v>7609.595169</v>
      </c>
      <c r="L202" s="15">
        <f>IFERROR(__xludf.DUMMYFUNCTION("IF(A202="""","""",
  INDEX(FILTER('RE Portfolio'!C$2:C2000,'RE Portfolio'!D$2:D2000=""BUY""), INT((ROW()-2)/amortYears)+1)
  * (1 + VALUE(Assumptions!$B$11))^(D202-1)
)
"),643150.5251449631)</f>
        <v>643150.5251</v>
      </c>
    </row>
    <row r="203">
      <c r="A203" s="15">
        <f>IFERROR(__xludf.DUMMYFUNCTION("IFERROR(INDEX(FILTER('RE Portfolio'!A$2:A2000,'RE Portfolio'!D$2:D2000=""BUY""), INT((ROW()-2)/amortYears)+1), )
"),6.0)</f>
        <v>6</v>
      </c>
      <c r="B203" s="15">
        <f>IFERROR(__xludf.DUMMYFUNCTION("IFERROR(INDEX(FILTER('RE Portfolio'!B$2:B2000,'RE Portfolio'!D$2:D2000=""BUY""), INT((ROW()-2)/amortYears)+1), )
"),39.0)</f>
        <v>39</v>
      </c>
      <c r="C203" s="15">
        <f>IFERROR(__xludf.DUMMYFUNCTION("IFERROR(INDEX(FILTER('RE Portfolio'!G$2:G2000,'RE Portfolio'!D$2:D2000=""BUY""), INT((ROW()-2)/amortYears)+1), )
"),325867.08746207465)</f>
        <v>325867.0875</v>
      </c>
      <c r="D203" s="15">
        <f>MOD(ROW()-2, amortYears)+1</f>
        <v>12</v>
      </c>
      <c r="E203" s="15">
        <f t="shared" si="1"/>
        <v>50</v>
      </c>
      <c r="F203" s="16">
        <f t="shared" si="2"/>
        <v>269292.748</v>
      </c>
      <c r="G203" s="16">
        <f>IF(D203&lt;=mortTerm, -PMT(mortRate/12, mortTerm*12, C203)*12, 0)
</f>
        <v>24716.41991</v>
      </c>
      <c r="H203" s="16">
        <f>IF(D203&lt;=mortTerm, G203 - I203, 0)
</f>
        <v>17285.23219</v>
      </c>
      <c r="I203" s="16">
        <f>IF(D203&lt;=mortTerm, F203 - J203, 0)
</f>
        <v>7431.187718</v>
      </c>
      <c r="J203" s="16">
        <f>IF(D203&lt;=mortTerm,
   F203*(1+mortRate/12)^12 - (-PMT(mortRate/12, mortTerm*12, C203))*(((1+mortRate/12)^12 - 1)/(mortRate/12)),
   0
)
</f>
        <v>261861.5603</v>
      </c>
      <c r="K203" s="13">
        <f>IFERROR(__xludf.DUMMYFUNCTION("IF(A203="""","""",
   IF(F203&gt;0,
      INDEX(FILTER('RE Portfolio'!L$2:L2000,'RE Portfolio'!D$2:D2000=""BUY""), INT((ROW()-2)/amortYears)+1) - G203,
      INDEX(FILTER('RE Portfolio'!L$2:L2000,'RE Portfolio'!D$2:D2000=""BUY""), INT((ROW()-2)/amortYears)+1"&amp;")
   )
)
"),7609.5951690102665)</f>
        <v>7609.595169</v>
      </c>
      <c r="L203" s="15">
        <f>IFERROR(__xludf.DUMMYFUNCTION("IF(A203="""","""",
  INDEX(FILTER('RE Portfolio'!C$2:C2000,'RE Portfolio'!D$2:D2000=""BUY""), INT((ROW()-2)/amortYears)+1)
  * (1 + VALUE(Assumptions!$B$11))^(D203-1)
)
"),668876.5461507615)</f>
        <v>668876.5462</v>
      </c>
    </row>
    <row r="204">
      <c r="A204" s="15">
        <f>IFERROR(__xludf.DUMMYFUNCTION("IFERROR(INDEX(FILTER('RE Portfolio'!A$2:A2000,'RE Portfolio'!D$2:D2000=""BUY""), INT((ROW()-2)/amortYears)+1), )
"),6.0)</f>
        <v>6</v>
      </c>
      <c r="B204" s="15">
        <f>IFERROR(__xludf.DUMMYFUNCTION("IFERROR(INDEX(FILTER('RE Portfolio'!B$2:B2000,'RE Portfolio'!D$2:D2000=""BUY""), INT((ROW()-2)/amortYears)+1), )
"),39.0)</f>
        <v>39</v>
      </c>
      <c r="C204" s="15">
        <f>IFERROR(__xludf.DUMMYFUNCTION("IFERROR(INDEX(FILTER('RE Portfolio'!G$2:G2000,'RE Portfolio'!D$2:D2000=""BUY""), INT((ROW()-2)/amortYears)+1), )
"),325867.08746207465)</f>
        <v>325867.0875</v>
      </c>
      <c r="D204" s="15">
        <f>MOD(ROW()-2, amortYears)+1</f>
        <v>13</v>
      </c>
      <c r="E204" s="15">
        <f t="shared" si="1"/>
        <v>51</v>
      </c>
      <c r="F204" s="16">
        <f t="shared" si="2"/>
        <v>261861.5603</v>
      </c>
      <c r="G204" s="16">
        <f>IF(D204&lt;=mortTerm, -PMT(mortRate/12, mortTerm*12, C204)*12, 0)
</f>
        <v>24716.41991</v>
      </c>
      <c r="H204" s="16">
        <f>IF(D204&lt;=mortTerm, G204 - I204, 0)
</f>
        <v>16787.55179</v>
      </c>
      <c r="I204" s="16">
        <f>IF(D204&lt;=mortTerm, F204 - J204, 0)
</f>
        <v>7928.868122</v>
      </c>
      <c r="J204" s="16">
        <f>IF(D204&lt;=mortTerm,
   F204*(1+mortRate/12)^12 - (-PMT(mortRate/12, mortTerm*12, C204))*(((1+mortRate/12)^12 - 1)/(mortRate/12)),
   0
)
</f>
        <v>253932.6922</v>
      </c>
      <c r="K204" s="13">
        <f>IFERROR(__xludf.DUMMYFUNCTION("IF(A204="""","""",
   IF(F204&gt;0,
      INDEX(FILTER('RE Portfolio'!L$2:L2000,'RE Portfolio'!D$2:D2000=""BUY""), INT((ROW()-2)/amortYears)+1) - G204,
      INDEX(FILTER('RE Portfolio'!L$2:L2000,'RE Portfolio'!D$2:D2000=""BUY""), INT((ROW()-2)/amortYears)+1"&amp;")
   )
)
"),7609.5951690102665)</f>
        <v>7609.595169</v>
      </c>
      <c r="L204" s="15">
        <f>IFERROR(__xludf.DUMMYFUNCTION("IF(A204="""","""",
  INDEX(FILTER('RE Portfolio'!C$2:C2000,'RE Portfolio'!D$2:D2000=""BUY""), INT((ROW()-2)/amortYears)+1)
  * (1 + VALUE(Assumptions!$B$11))^(D204-1)
)
"),695631.6079967921)</f>
        <v>695631.608</v>
      </c>
    </row>
    <row r="205">
      <c r="A205" s="15">
        <f>IFERROR(__xludf.DUMMYFUNCTION("IFERROR(INDEX(FILTER('RE Portfolio'!A$2:A2000,'RE Portfolio'!D$2:D2000=""BUY""), INT((ROW()-2)/amortYears)+1), )
"),6.0)</f>
        <v>6</v>
      </c>
      <c r="B205" s="15">
        <f>IFERROR(__xludf.DUMMYFUNCTION("IFERROR(INDEX(FILTER('RE Portfolio'!B$2:B2000,'RE Portfolio'!D$2:D2000=""BUY""), INT((ROW()-2)/amortYears)+1), )
"),39.0)</f>
        <v>39</v>
      </c>
      <c r="C205" s="15">
        <f>IFERROR(__xludf.DUMMYFUNCTION("IFERROR(INDEX(FILTER('RE Portfolio'!G$2:G2000,'RE Portfolio'!D$2:D2000=""BUY""), INT((ROW()-2)/amortYears)+1), )
"),325867.08746207465)</f>
        <v>325867.0875</v>
      </c>
      <c r="D205" s="15">
        <f>MOD(ROW()-2, amortYears)+1</f>
        <v>14</v>
      </c>
      <c r="E205" s="15">
        <f t="shared" si="1"/>
        <v>52</v>
      </c>
      <c r="F205" s="16">
        <f t="shared" si="2"/>
        <v>253932.6922</v>
      </c>
      <c r="G205" s="16">
        <f>IF(D205&lt;=mortTerm, -PMT(mortRate/12, mortTerm*12, C205)*12, 0)
</f>
        <v>24716.41991</v>
      </c>
      <c r="H205" s="16">
        <f>IF(D205&lt;=mortTerm, G205 - I205, 0)
</f>
        <v>16256.5408</v>
      </c>
      <c r="I205" s="16">
        <f>IF(D205&lt;=mortTerm, F205 - J205, 0)
</f>
        <v>8459.879104</v>
      </c>
      <c r="J205" s="16">
        <f>IF(D205&lt;=mortTerm,
   F205*(1+mortRate/12)^12 - (-PMT(mortRate/12, mortTerm*12, C205))*(((1+mortRate/12)^12 - 1)/(mortRate/12)),
   0
)
</f>
        <v>245472.8131</v>
      </c>
      <c r="K205" s="13">
        <f>IFERROR(__xludf.DUMMYFUNCTION("IF(A205="""","""",
   IF(F205&gt;0,
      INDEX(FILTER('RE Portfolio'!L$2:L2000,'RE Portfolio'!D$2:D2000=""BUY""), INT((ROW()-2)/amortYears)+1) - G205,
      INDEX(FILTER('RE Portfolio'!L$2:L2000,'RE Portfolio'!D$2:D2000=""BUY""), INT((ROW()-2)/amortYears)+1"&amp;")
   )
)
"),7609.5951690102665)</f>
        <v>7609.595169</v>
      </c>
      <c r="L205" s="15">
        <f>IFERROR(__xludf.DUMMYFUNCTION("IF(A205="""","""",
  INDEX(FILTER('RE Portfolio'!C$2:C2000,'RE Portfolio'!D$2:D2000=""BUY""), INT((ROW()-2)/amortYears)+1)
  * (1 + VALUE(Assumptions!$B$11))^(D205-1)
)
"),723456.8723166639)</f>
        <v>723456.8723</v>
      </c>
    </row>
    <row r="206">
      <c r="A206" s="15">
        <f>IFERROR(__xludf.DUMMYFUNCTION("IFERROR(INDEX(FILTER('RE Portfolio'!A$2:A2000,'RE Portfolio'!D$2:D2000=""BUY""), INT((ROW()-2)/amortYears)+1), )
"),6.0)</f>
        <v>6</v>
      </c>
      <c r="B206" s="15">
        <f>IFERROR(__xludf.DUMMYFUNCTION("IFERROR(INDEX(FILTER('RE Portfolio'!B$2:B2000,'RE Portfolio'!D$2:D2000=""BUY""), INT((ROW()-2)/amortYears)+1), )
"),39.0)</f>
        <v>39</v>
      </c>
      <c r="C206" s="15">
        <f>IFERROR(__xludf.DUMMYFUNCTION("IFERROR(INDEX(FILTER('RE Portfolio'!G$2:G2000,'RE Portfolio'!D$2:D2000=""BUY""), INT((ROW()-2)/amortYears)+1), )
"),325867.08746207465)</f>
        <v>325867.0875</v>
      </c>
      <c r="D206" s="15">
        <f>MOD(ROW()-2, amortYears)+1</f>
        <v>15</v>
      </c>
      <c r="E206" s="15">
        <f t="shared" si="1"/>
        <v>53</v>
      </c>
      <c r="F206" s="16">
        <f t="shared" si="2"/>
        <v>245472.8131</v>
      </c>
      <c r="G206" s="16">
        <f>IF(D206&lt;=mortTerm, -PMT(mortRate/12, mortTerm*12, C206)*12, 0)
</f>
        <v>24716.41991</v>
      </c>
      <c r="H206" s="16">
        <f>IF(D206&lt;=mortTerm, G206 - I206, 0)
</f>
        <v>15689.96703</v>
      </c>
      <c r="I206" s="16">
        <f>IF(D206&lt;=mortTerm, F206 - J206, 0)
</f>
        <v>9026.452876</v>
      </c>
      <c r="J206" s="16">
        <f>IF(D206&lt;=mortTerm,
   F206*(1+mortRate/12)^12 - (-PMT(mortRate/12, mortTerm*12, C206))*(((1+mortRate/12)^12 - 1)/(mortRate/12)),
   0
)
</f>
        <v>236446.3602</v>
      </c>
      <c r="K206" s="13">
        <f>IFERROR(__xludf.DUMMYFUNCTION("IF(A206="""","""",
   IF(F206&gt;0,
      INDEX(FILTER('RE Portfolio'!L$2:L2000,'RE Portfolio'!D$2:D2000=""BUY""), INT((ROW()-2)/amortYears)+1) - G206,
      INDEX(FILTER('RE Portfolio'!L$2:L2000,'RE Portfolio'!D$2:D2000=""BUY""), INT((ROW()-2)/amortYears)+1"&amp;")
   )
)
"),7609.5951690102665)</f>
        <v>7609.595169</v>
      </c>
      <c r="L206" s="15">
        <f>IFERROR(__xludf.DUMMYFUNCTION("IF(A206="""","""",
  INDEX(FILTER('RE Portfolio'!C$2:C2000,'RE Portfolio'!D$2:D2000=""BUY""), INT((ROW()-2)/amortYears)+1)
  * (1 + VALUE(Assumptions!$B$11))^(D206-1)
)
"),752395.1472093303)</f>
        <v>752395.1472</v>
      </c>
    </row>
    <row r="207">
      <c r="A207" s="15">
        <f>IFERROR(__xludf.DUMMYFUNCTION("IFERROR(INDEX(FILTER('RE Portfolio'!A$2:A2000,'RE Portfolio'!D$2:D2000=""BUY""), INT((ROW()-2)/amortYears)+1), )
"),6.0)</f>
        <v>6</v>
      </c>
      <c r="B207" s="15">
        <f>IFERROR(__xludf.DUMMYFUNCTION("IFERROR(INDEX(FILTER('RE Portfolio'!B$2:B2000,'RE Portfolio'!D$2:D2000=""BUY""), INT((ROW()-2)/amortYears)+1), )
"),39.0)</f>
        <v>39</v>
      </c>
      <c r="C207" s="15">
        <f>IFERROR(__xludf.DUMMYFUNCTION("IFERROR(INDEX(FILTER('RE Portfolio'!G$2:G2000,'RE Portfolio'!D$2:D2000=""BUY""), INT((ROW()-2)/amortYears)+1), )
"),325867.08746207465)</f>
        <v>325867.0875</v>
      </c>
      <c r="D207" s="15">
        <f>MOD(ROW()-2, amortYears)+1</f>
        <v>16</v>
      </c>
      <c r="E207" s="15">
        <f t="shared" si="1"/>
        <v>54</v>
      </c>
      <c r="F207" s="16">
        <f t="shared" si="2"/>
        <v>236446.3602</v>
      </c>
      <c r="G207" s="16">
        <f>IF(D207&lt;=mortTerm, -PMT(mortRate/12, mortTerm*12, C207)*12, 0)
</f>
        <v>24716.41991</v>
      </c>
      <c r="H207" s="16">
        <f>IF(D207&lt;=mortTerm, G207 - I207, 0)
</f>
        <v>15085.44877</v>
      </c>
      <c r="I207" s="16">
        <f>IF(D207&lt;=mortTerm, F207 - J207, 0)
</f>
        <v>9630.971142</v>
      </c>
      <c r="J207" s="16">
        <f>IF(D207&lt;=mortTerm,
   F207*(1+mortRate/12)^12 - (-PMT(mortRate/12, mortTerm*12, C207))*(((1+mortRate/12)^12 - 1)/(mortRate/12)),
   0
)
</f>
        <v>226815.3891</v>
      </c>
      <c r="K207" s="13">
        <f>IFERROR(__xludf.DUMMYFUNCTION("IF(A207="""","""",
   IF(F207&gt;0,
      INDEX(FILTER('RE Portfolio'!L$2:L2000,'RE Portfolio'!D$2:D2000=""BUY""), INT((ROW()-2)/amortYears)+1) - G207,
      INDEX(FILTER('RE Portfolio'!L$2:L2000,'RE Portfolio'!D$2:D2000=""BUY""), INT((ROW()-2)/amortYears)+1"&amp;")
   )
)
"),7609.5951690102665)</f>
        <v>7609.595169</v>
      </c>
      <c r="L207" s="15">
        <f>IFERROR(__xludf.DUMMYFUNCTION("IF(A207="""","""",
  INDEX(FILTER('RE Portfolio'!C$2:C2000,'RE Portfolio'!D$2:D2000=""BUY""), INT((ROW()-2)/amortYears)+1)
  * (1 + VALUE(Assumptions!$B$11))^(D207-1)
)
"),782490.9530977035)</f>
        <v>782490.9531</v>
      </c>
    </row>
    <row r="208">
      <c r="A208" s="15">
        <f>IFERROR(__xludf.DUMMYFUNCTION("IFERROR(INDEX(FILTER('RE Portfolio'!A$2:A2000,'RE Portfolio'!D$2:D2000=""BUY""), INT((ROW()-2)/amortYears)+1), )
"),6.0)</f>
        <v>6</v>
      </c>
      <c r="B208" s="15">
        <f>IFERROR(__xludf.DUMMYFUNCTION("IFERROR(INDEX(FILTER('RE Portfolio'!B$2:B2000,'RE Portfolio'!D$2:D2000=""BUY""), INT((ROW()-2)/amortYears)+1), )
"),39.0)</f>
        <v>39</v>
      </c>
      <c r="C208" s="15">
        <f>IFERROR(__xludf.DUMMYFUNCTION("IFERROR(INDEX(FILTER('RE Portfolio'!G$2:G2000,'RE Portfolio'!D$2:D2000=""BUY""), INT((ROW()-2)/amortYears)+1), )
"),325867.08746207465)</f>
        <v>325867.0875</v>
      </c>
      <c r="D208" s="15">
        <f>MOD(ROW()-2, amortYears)+1</f>
        <v>17</v>
      </c>
      <c r="E208" s="15">
        <f t="shared" si="1"/>
        <v>55</v>
      </c>
      <c r="F208" s="16">
        <f t="shared" si="2"/>
        <v>226815.3891</v>
      </c>
      <c r="G208" s="16">
        <f>IF(D208&lt;=mortTerm, -PMT(mortRate/12, mortTerm*12, C208)*12, 0)
</f>
        <v>24716.41991</v>
      </c>
      <c r="H208" s="16">
        <f>IF(D208&lt;=mortTerm, G208 - I208, 0)
</f>
        <v>14440.44479</v>
      </c>
      <c r="I208" s="16">
        <f>IF(D208&lt;=mortTerm, F208 - J208, 0)
</f>
        <v>10275.97512</v>
      </c>
      <c r="J208" s="16">
        <f>IF(D208&lt;=mortTerm,
   F208*(1+mortRate/12)^12 - (-PMT(mortRate/12, mortTerm*12, C208))*(((1+mortRate/12)^12 - 1)/(mortRate/12)),
   0
)
</f>
        <v>216539.414</v>
      </c>
      <c r="K208" s="13">
        <f>IFERROR(__xludf.DUMMYFUNCTION("IF(A208="""","""",
   IF(F208&gt;0,
      INDEX(FILTER('RE Portfolio'!L$2:L2000,'RE Portfolio'!D$2:D2000=""BUY""), INT((ROW()-2)/amortYears)+1) - G208,
      INDEX(FILTER('RE Portfolio'!L$2:L2000,'RE Portfolio'!D$2:D2000=""BUY""), INT((ROW()-2)/amortYears)+1"&amp;")
   )
)
"),7609.5951690102665)</f>
        <v>7609.595169</v>
      </c>
      <c r="L208" s="15">
        <f>IFERROR(__xludf.DUMMYFUNCTION("IF(A208="""","""",
  INDEX(FILTER('RE Portfolio'!C$2:C2000,'RE Portfolio'!D$2:D2000=""BUY""), INT((ROW()-2)/amortYears)+1)
  * (1 + VALUE(Assumptions!$B$11))^(D208-1)
)
"),813790.5912216117)</f>
        <v>813790.5912</v>
      </c>
    </row>
    <row r="209">
      <c r="A209" s="15">
        <f>IFERROR(__xludf.DUMMYFUNCTION("IFERROR(INDEX(FILTER('RE Portfolio'!A$2:A2000,'RE Portfolio'!D$2:D2000=""BUY""), INT((ROW()-2)/amortYears)+1), )
"),6.0)</f>
        <v>6</v>
      </c>
      <c r="B209" s="15">
        <f>IFERROR(__xludf.DUMMYFUNCTION("IFERROR(INDEX(FILTER('RE Portfolio'!B$2:B2000,'RE Portfolio'!D$2:D2000=""BUY""), INT((ROW()-2)/amortYears)+1), )
"),39.0)</f>
        <v>39</v>
      </c>
      <c r="C209" s="15">
        <f>IFERROR(__xludf.DUMMYFUNCTION("IFERROR(INDEX(FILTER('RE Portfolio'!G$2:G2000,'RE Portfolio'!D$2:D2000=""BUY""), INT((ROW()-2)/amortYears)+1), )
"),325867.08746207465)</f>
        <v>325867.0875</v>
      </c>
      <c r="D209" s="15">
        <f>MOD(ROW()-2, amortYears)+1</f>
        <v>18</v>
      </c>
      <c r="E209" s="15">
        <f t="shared" si="1"/>
        <v>56</v>
      </c>
      <c r="F209" s="16">
        <f t="shared" si="2"/>
        <v>216539.414</v>
      </c>
      <c r="G209" s="16">
        <f>IF(D209&lt;=mortTerm, -PMT(mortRate/12, mortTerm*12, C209)*12, 0)
</f>
        <v>24716.41991</v>
      </c>
      <c r="H209" s="16">
        <f>IF(D209&lt;=mortTerm, G209 - I209, 0)
</f>
        <v>13752.24371</v>
      </c>
      <c r="I209" s="16">
        <f>IF(D209&lt;=mortTerm, F209 - J209, 0)
</f>
        <v>10964.1762</v>
      </c>
      <c r="J209" s="16">
        <f>IF(D209&lt;=mortTerm,
   F209*(1+mortRate/12)^12 - (-PMT(mortRate/12, mortTerm*12, C209))*(((1+mortRate/12)^12 - 1)/(mortRate/12)),
   0
)
</f>
        <v>205575.2378</v>
      </c>
      <c r="K209" s="13">
        <f>IFERROR(__xludf.DUMMYFUNCTION("IF(A209="""","""",
   IF(F209&gt;0,
      INDEX(FILTER('RE Portfolio'!L$2:L2000,'RE Portfolio'!D$2:D2000=""BUY""), INT((ROW()-2)/amortYears)+1) - G209,
      INDEX(FILTER('RE Portfolio'!L$2:L2000,'RE Portfolio'!D$2:D2000=""BUY""), INT((ROW()-2)/amortYears)+1"&amp;")
   )
)
"),7609.5951690102665)</f>
        <v>7609.595169</v>
      </c>
      <c r="L209" s="15">
        <f>IFERROR(__xludf.DUMMYFUNCTION("IF(A209="""","""",
  INDEX(FILTER('RE Portfolio'!C$2:C2000,'RE Portfolio'!D$2:D2000=""BUY""), INT((ROW()-2)/amortYears)+1)
  * (1 + VALUE(Assumptions!$B$11))^(D209-1)
)
"),846342.2148704763)</f>
        <v>846342.2149</v>
      </c>
    </row>
    <row r="210">
      <c r="A210" s="15">
        <f>IFERROR(__xludf.DUMMYFUNCTION("IFERROR(INDEX(FILTER('RE Portfolio'!A$2:A2000,'RE Portfolio'!D$2:D2000=""BUY""), INT((ROW()-2)/amortYears)+1), )
"),6.0)</f>
        <v>6</v>
      </c>
      <c r="B210" s="15">
        <f>IFERROR(__xludf.DUMMYFUNCTION("IFERROR(INDEX(FILTER('RE Portfolio'!B$2:B2000,'RE Portfolio'!D$2:D2000=""BUY""), INT((ROW()-2)/amortYears)+1), )
"),39.0)</f>
        <v>39</v>
      </c>
      <c r="C210" s="15">
        <f>IFERROR(__xludf.DUMMYFUNCTION("IFERROR(INDEX(FILTER('RE Portfolio'!G$2:G2000,'RE Portfolio'!D$2:D2000=""BUY""), INT((ROW()-2)/amortYears)+1), )
"),325867.08746207465)</f>
        <v>325867.0875</v>
      </c>
      <c r="D210" s="15">
        <f>MOD(ROW()-2, amortYears)+1</f>
        <v>19</v>
      </c>
      <c r="E210" s="15">
        <f t="shared" si="1"/>
        <v>57</v>
      </c>
      <c r="F210" s="16">
        <f t="shared" si="2"/>
        <v>205575.2378</v>
      </c>
      <c r="G210" s="16">
        <f>IF(D210&lt;=mortTerm, -PMT(mortRate/12, mortTerm*12, C210)*12, 0)
</f>
        <v>24716.41991</v>
      </c>
      <c r="H210" s="16">
        <f>IF(D210&lt;=mortTerm, G210 - I210, 0)
</f>
        <v>13017.95252</v>
      </c>
      <c r="I210" s="16">
        <f>IF(D210&lt;=mortTerm, F210 - J210, 0)
</f>
        <v>11698.46739</v>
      </c>
      <c r="J210" s="16">
        <f>IF(D210&lt;=mortTerm,
   F210*(1+mortRate/12)^12 - (-PMT(mortRate/12, mortTerm*12, C210))*(((1+mortRate/12)^12 - 1)/(mortRate/12)),
   0
)
</f>
        <v>193876.7704</v>
      </c>
      <c r="K210" s="13">
        <f>IFERROR(__xludf.DUMMYFUNCTION("IF(A210="""","""",
   IF(F210&gt;0,
      INDEX(FILTER('RE Portfolio'!L$2:L2000,'RE Portfolio'!D$2:D2000=""BUY""), INT((ROW()-2)/amortYears)+1) - G210,
      INDEX(FILTER('RE Portfolio'!L$2:L2000,'RE Portfolio'!D$2:D2000=""BUY""), INT((ROW()-2)/amortYears)+1"&amp;")
   )
)
"),7609.5951690102665)</f>
        <v>7609.595169</v>
      </c>
      <c r="L210" s="15">
        <f>IFERROR(__xludf.DUMMYFUNCTION("IF(A210="""","""",
  INDEX(FILTER('RE Portfolio'!C$2:C2000,'RE Portfolio'!D$2:D2000=""BUY""), INT((ROW()-2)/amortYears)+1)
  * (1 + VALUE(Assumptions!$B$11))^(D210-1)
)
"),880195.9034652954)</f>
        <v>880195.9035</v>
      </c>
    </row>
    <row r="211">
      <c r="A211" s="15">
        <f>IFERROR(__xludf.DUMMYFUNCTION("IFERROR(INDEX(FILTER('RE Portfolio'!A$2:A2000,'RE Portfolio'!D$2:D2000=""BUY""), INT((ROW()-2)/amortYears)+1), )
"),6.0)</f>
        <v>6</v>
      </c>
      <c r="B211" s="15">
        <f>IFERROR(__xludf.DUMMYFUNCTION("IFERROR(INDEX(FILTER('RE Portfolio'!B$2:B2000,'RE Portfolio'!D$2:D2000=""BUY""), INT((ROW()-2)/amortYears)+1), )
"),39.0)</f>
        <v>39</v>
      </c>
      <c r="C211" s="15">
        <f>IFERROR(__xludf.DUMMYFUNCTION("IFERROR(INDEX(FILTER('RE Portfolio'!G$2:G2000,'RE Portfolio'!D$2:D2000=""BUY""), INT((ROW()-2)/amortYears)+1), )
"),325867.08746207465)</f>
        <v>325867.0875</v>
      </c>
      <c r="D211" s="15">
        <f>MOD(ROW()-2, amortYears)+1</f>
        <v>20</v>
      </c>
      <c r="E211" s="15">
        <f t="shared" si="1"/>
        <v>58</v>
      </c>
      <c r="F211" s="16">
        <f t="shared" si="2"/>
        <v>193876.7704</v>
      </c>
      <c r="G211" s="16">
        <f>IF(D211&lt;=mortTerm, -PMT(mortRate/12, mortTerm*12, C211)*12, 0)
</f>
        <v>24716.41991</v>
      </c>
      <c r="H211" s="16">
        <f>IF(D211&lt;=mortTerm, G211 - I211, 0)
</f>
        <v>12234.48449</v>
      </c>
      <c r="I211" s="16">
        <f>IF(D211&lt;=mortTerm, F211 - J211, 0)
</f>
        <v>12481.93541</v>
      </c>
      <c r="J211" s="16">
        <f>IF(D211&lt;=mortTerm,
   F211*(1+mortRate/12)^12 - (-PMT(mortRate/12, mortTerm*12, C211))*(((1+mortRate/12)^12 - 1)/(mortRate/12)),
   0
)
</f>
        <v>181394.835</v>
      </c>
      <c r="K211" s="13">
        <f>IFERROR(__xludf.DUMMYFUNCTION("IF(A211="""","""",
   IF(F211&gt;0,
      INDEX(FILTER('RE Portfolio'!L$2:L2000,'RE Portfolio'!D$2:D2000=""BUY""), INT((ROW()-2)/amortYears)+1) - G211,
      INDEX(FILTER('RE Portfolio'!L$2:L2000,'RE Portfolio'!D$2:D2000=""BUY""), INT((ROW()-2)/amortYears)+1"&amp;")
   )
)
"),7609.5951690102665)</f>
        <v>7609.595169</v>
      </c>
      <c r="L211" s="15">
        <f>IFERROR(__xludf.DUMMYFUNCTION("IF(A211="""","""",
  INDEX(FILTER('RE Portfolio'!C$2:C2000,'RE Portfolio'!D$2:D2000=""BUY""), INT((ROW()-2)/amortYears)+1)
  * (1 + VALUE(Assumptions!$B$11))^(D211-1)
)
"),915403.7396039072)</f>
        <v>915403.7396</v>
      </c>
    </row>
    <row r="212">
      <c r="A212" s="15">
        <f>IFERROR(__xludf.DUMMYFUNCTION("IFERROR(INDEX(FILTER('RE Portfolio'!A$2:A2000,'RE Portfolio'!D$2:D2000=""BUY""), INT((ROW()-2)/amortYears)+1), )
"),6.0)</f>
        <v>6</v>
      </c>
      <c r="B212" s="15">
        <f>IFERROR(__xludf.DUMMYFUNCTION("IFERROR(INDEX(FILTER('RE Portfolio'!B$2:B2000,'RE Portfolio'!D$2:D2000=""BUY""), INT((ROW()-2)/amortYears)+1), )
"),39.0)</f>
        <v>39</v>
      </c>
      <c r="C212" s="15">
        <f>IFERROR(__xludf.DUMMYFUNCTION("IFERROR(INDEX(FILTER('RE Portfolio'!G$2:G2000,'RE Portfolio'!D$2:D2000=""BUY""), INT((ROW()-2)/amortYears)+1), )
"),325867.08746207465)</f>
        <v>325867.0875</v>
      </c>
      <c r="D212" s="15">
        <f>MOD(ROW()-2, amortYears)+1</f>
        <v>21</v>
      </c>
      <c r="E212" s="15">
        <f t="shared" si="1"/>
        <v>59</v>
      </c>
      <c r="F212" s="16">
        <f t="shared" si="2"/>
        <v>181394.835</v>
      </c>
      <c r="G212" s="16">
        <f>IF(D212&lt;=mortTerm, -PMT(mortRate/12, mortTerm*12, C212)*12, 0)
</f>
        <v>24716.41991</v>
      </c>
      <c r="H212" s="16">
        <f>IF(D212&lt;=mortTerm, G212 - I212, 0)
</f>
        <v>11398.54616</v>
      </c>
      <c r="I212" s="16">
        <f>IF(D212&lt;=mortTerm, F212 - J212, 0)
</f>
        <v>13317.87374</v>
      </c>
      <c r="J212" s="16">
        <f>IF(D212&lt;=mortTerm,
   F212*(1+mortRate/12)^12 - (-PMT(mortRate/12, mortTerm*12, C212))*(((1+mortRate/12)^12 - 1)/(mortRate/12)),
   0
)
</f>
        <v>168076.9612</v>
      </c>
      <c r="K212" s="13">
        <f>IFERROR(__xludf.DUMMYFUNCTION("IF(A212="""","""",
   IF(F212&gt;0,
      INDEX(FILTER('RE Portfolio'!L$2:L2000,'RE Portfolio'!D$2:D2000=""BUY""), INT((ROW()-2)/amortYears)+1) - G212,
      INDEX(FILTER('RE Portfolio'!L$2:L2000,'RE Portfolio'!D$2:D2000=""BUY""), INT((ROW()-2)/amortYears)+1"&amp;")
   )
)
"),7609.5951690102665)</f>
        <v>7609.595169</v>
      </c>
      <c r="L212" s="15">
        <f>IFERROR(__xludf.DUMMYFUNCTION("IF(A212="""","""",
  INDEX(FILTER('RE Portfolio'!C$2:C2000,'RE Portfolio'!D$2:D2000=""BUY""), INT((ROW()-2)/amortYears)+1)
  * (1 + VALUE(Assumptions!$B$11))^(D212-1)
)
"),952019.8891880636)</f>
        <v>952019.8892</v>
      </c>
    </row>
    <row r="213">
      <c r="A213" s="15">
        <f>IFERROR(__xludf.DUMMYFUNCTION("IFERROR(INDEX(FILTER('RE Portfolio'!A$2:A2000,'RE Portfolio'!D$2:D2000=""BUY""), INT((ROW()-2)/amortYears)+1), )
"),6.0)</f>
        <v>6</v>
      </c>
      <c r="B213" s="15">
        <f>IFERROR(__xludf.DUMMYFUNCTION("IFERROR(INDEX(FILTER('RE Portfolio'!B$2:B2000,'RE Portfolio'!D$2:D2000=""BUY""), INT((ROW()-2)/amortYears)+1), )
"),39.0)</f>
        <v>39</v>
      </c>
      <c r="C213" s="15">
        <f>IFERROR(__xludf.DUMMYFUNCTION("IFERROR(INDEX(FILTER('RE Portfolio'!G$2:G2000,'RE Portfolio'!D$2:D2000=""BUY""), INT((ROW()-2)/amortYears)+1), )
"),325867.08746207465)</f>
        <v>325867.0875</v>
      </c>
      <c r="D213" s="15">
        <f>MOD(ROW()-2, amortYears)+1</f>
        <v>22</v>
      </c>
      <c r="E213" s="15">
        <f t="shared" si="1"/>
        <v>60</v>
      </c>
      <c r="F213" s="16">
        <f t="shared" si="2"/>
        <v>168076.9612</v>
      </c>
      <c r="G213" s="16">
        <f>IF(D213&lt;=mortTerm, -PMT(mortRate/12, mortTerm*12, C213)*12, 0)
</f>
        <v>24716.41991</v>
      </c>
      <c r="H213" s="16">
        <f>IF(D213&lt;=mortTerm, G213 - I213, 0)
</f>
        <v>10506.62349</v>
      </c>
      <c r="I213" s="16">
        <f>IF(D213&lt;=mortTerm, F213 - J213, 0)
</f>
        <v>14209.79641</v>
      </c>
      <c r="J213" s="16">
        <f>IF(D213&lt;=mortTerm,
   F213*(1+mortRate/12)^12 - (-PMT(mortRate/12, mortTerm*12, C213))*(((1+mortRate/12)^12 - 1)/(mortRate/12)),
   0
)
</f>
        <v>153867.1648</v>
      </c>
      <c r="K213" s="13">
        <f>IFERROR(__xludf.DUMMYFUNCTION("IF(A213="""","""",
   IF(F213&gt;0,
      INDEX(FILTER('RE Portfolio'!L$2:L2000,'RE Portfolio'!D$2:D2000=""BUY""), INT((ROW()-2)/amortYears)+1) - G213,
      INDEX(FILTER('RE Portfolio'!L$2:L2000,'RE Portfolio'!D$2:D2000=""BUY""), INT((ROW()-2)/amortYears)+1"&amp;")
   )
)
"),7609.5951690102665)</f>
        <v>7609.595169</v>
      </c>
      <c r="L213" s="15">
        <f>IFERROR(__xludf.DUMMYFUNCTION("IF(A213="""","""",
  INDEX(FILTER('RE Portfolio'!C$2:C2000,'RE Portfolio'!D$2:D2000=""BUY""), INT((ROW()-2)/amortYears)+1)
  * (1 + VALUE(Assumptions!$B$11))^(D213-1)
)
"),990100.6847555861)</f>
        <v>990100.6848</v>
      </c>
    </row>
    <row r="214">
      <c r="A214" s="15">
        <f>IFERROR(__xludf.DUMMYFUNCTION("IFERROR(INDEX(FILTER('RE Portfolio'!A$2:A2000,'RE Portfolio'!D$2:D2000=""BUY""), INT((ROW()-2)/amortYears)+1), )
"),6.0)</f>
        <v>6</v>
      </c>
      <c r="B214" s="15">
        <f>IFERROR(__xludf.DUMMYFUNCTION("IFERROR(INDEX(FILTER('RE Portfolio'!B$2:B2000,'RE Portfolio'!D$2:D2000=""BUY""), INT((ROW()-2)/amortYears)+1), )
"),39.0)</f>
        <v>39</v>
      </c>
      <c r="C214" s="15">
        <f>IFERROR(__xludf.DUMMYFUNCTION("IFERROR(INDEX(FILTER('RE Portfolio'!G$2:G2000,'RE Portfolio'!D$2:D2000=""BUY""), INT((ROW()-2)/amortYears)+1), )
"),325867.08746207465)</f>
        <v>325867.0875</v>
      </c>
      <c r="D214" s="15">
        <f>MOD(ROW()-2, amortYears)+1</f>
        <v>23</v>
      </c>
      <c r="E214" s="15">
        <f t="shared" si="1"/>
        <v>61</v>
      </c>
      <c r="F214" s="16">
        <f t="shared" si="2"/>
        <v>153867.1648</v>
      </c>
      <c r="G214" s="16">
        <f>IF(D214&lt;=mortTerm, -PMT(mortRate/12, mortTerm*12, C214)*12, 0)
</f>
        <v>24716.41991</v>
      </c>
      <c r="H214" s="16">
        <f>IF(D214&lt;=mortTerm, G214 - I214, 0)
</f>
        <v>9554.967112</v>
      </c>
      <c r="I214" s="16">
        <f>IF(D214&lt;=mortTerm, F214 - J214, 0)
</f>
        <v>15161.4528</v>
      </c>
      <c r="J214" s="16">
        <f>IF(D214&lt;=mortTerm,
   F214*(1+mortRate/12)^12 - (-PMT(mortRate/12, mortTerm*12, C214))*(((1+mortRate/12)^12 - 1)/(mortRate/12)),
   0
)
</f>
        <v>138705.712</v>
      </c>
      <c r="K214" s="13">
        <f>IFERROR(__xludf.DUMMYFUNCTION("IF(A214="""","""",
   IF(F214&gt;0,
      INDEX(FILTER('RE Portfolio'!L$2:L2000,'RE Portfolio'!D$2:D2000=""BUY""), INT((ROW()-2)/amortYears)+1) - G214,
      INDEX(FILTER('RE Portfolio'!L$2:L2000,'RE Portfolio'!D$2:D2000=""BUY""), INT((ROW()-2)/amortYears)+1"&amp;")
   )
)
"),7609.5951690102665)</f>
        <v>7609.595169</v>
      </c>
      <c r="L214" s="15">
        <f>IFERROR(__xludf.DUMMYFUNCTION("IF(A214="""","""",
  INDEX(FILTER('RE Portfolio'!C$2:C2000,'RE Portfolio'!D$2:D2000=""BUY""), INT((ROW()-2)/amortYears)+1)
  * (1 + VALUE(Assumptions!$B$11))^(D214-1)
)
"),1029704.7121458095)</f>
        <v>1029704.712</v>
      </c>
    </row>
    <row r="215">
      <c r="A215" s="15">
        <f>IFERROR(__xludf.DUMMYFUNCTION("IFERROR(INDEX(FILTER('RE Portfolio'!A$2:A2000,'RE Portfolio'!D$2:D2000=""BUY""), INT((ROW()-2)/amortYears)+1), )
"),6.0)</f>
        <v>6</v>
      </c>
      <c r="B215" s="15">
        <f>IFERROR(__xludf.DUMMYFUNCTION("IFERROR(INDEX(FILTER('RE Portfolio'!B$2:B2000,'RE Portfolio'!D$2:D2000=""BUY""), INT((ROW()-2)/amortYears)+1), )
"),39.0)</f>
        <v>39</v>
      </c>
      <c r="C215" s="15">
        <f>IFERROR(__xludf.DUMMYFUNCTION("IFERROR(INDEX(FILTER('RE Portfolio'!G$2:G2000,'RE Portfolio'!D$2:D2000=""BUY""), INT((ROW()-2)/amortYears)+1), )
"),325867.08746207465)</f>
        <v>325867.0875</v>
      </c>
      <c r="D215" s="15">
        <f>MOD(ROW()-2, amortYears)+1</f>
        <v>24</v>
      </c>
      <c r="E215" s="15">
        <f t="shared" si="1"/>
        <v>62</v>
      </c>
      <c r="F215" s="16">
        <f t="shared" si="2"/>
        <v>138705.712</v>
      </c>
      <c r="G215" s="16">
        <f>IF(D215&lt;=mortTerm, -PMT(mortRate/12, mortTerm*12, C215)*12, 0)
</f>
        <v>24716.41991</v>
      </c>
      <c r="H215" s="16">
        <f>IF(D215&lt;=mortTerm, G215 - I215, 0)
</f>
        <v>8539.576539</v>
      </c>
      <c r="I215" s="16">
        <f>IF(D215&lt;=mortTerm, F215 - J215, 0)
</f>
        <v>16176.84337</v>
      </c>
      <c r="J215" s="16">
        <f>IF(D215&lt;=mortTerm,
   F215*(1+mortRate/12)^12 - (-PMT(mortRate/12, mortTerm*12, C215))*(((1+mortRate/12)^12 - 1)/(mortRate/12)),
   0
)
</f>
        <v>122528.8687</v>
      </c>
      <c r="K215" s="13">
        <f>IFERROR(__xludf.DUMMYFUNCTION("IF(A215="""","""",
   IF(F215&gt;0,
      INDEX(FILTER('RE Portfolio'!L$2:L2000,'RE Portfolio'!D$2:D2000=""BUY""), INT((ROW()-2)/amortYears)+1) - G215,
      INDEX(FILTER('RE Portfolio'!L$2:L2000,'RE Portfolio'!D$2:D2000=""BUY""), INT((ROW()-2)/amortYears)+1"&amp;")
   )
)
"),7609.5951690102665)</f>
        <v>7609.595169</v>
      </c>
      <c r="L215" s="15">
        <f>IFERROR(__xludf.DUMMYFUNCTION("IF(A215="""","""",
  INDEX(FILTER('RE Portfolio'!C$2:C2000,'RE Portfolio'!D$2:D2000=""BUY""), INT((ROW()-2)/amortYears)+1)
  * (1 + VALUE(Assumptions!$B$11))^(D215-1)
)
"),1070892.900631642)</f>
        <v>1070892.901</v>
      </c>
    </row>
    <row r="216">
      <c r="A216" s="15">
        <f>IFERROR(__xludf.DUMMYFUNCTION("IFERROR(INDEX(FILTER('RE Portfolio'!A$2:A2000,'RE Portfolio'!D$2:D2000=""BUY""), INT((ROW()-2)/amortYears)+1), )
"),6.0)</f>
        <v>6</v>
      </c>
      <c r="B216" s="15">
        <f>IFERROR(__xludf.DUMMYFUNCTION("IFERROR(INDEX(FILTER('RE Portfolio'!B$2:B2000,'RE Portfolio'!D$2:D2000=""BUY""), INT((ROW()-2)/amortYears)+1), )
"),39.0)</f>
        <v>39</v>
      </c>
      <c r="C216" s="15">
        <f>IFERROR(__xludf.DUMMYFUNCTION("IFERROR(INDEX(FILTER('RE Portfolio'!G$2:G2000,'RE Portfolio'!D$2:D2000=""BUY""), INT((ROW()-2)/amortYears)+1), )
"),325867.08746207465)</f>
        <v>325867.0875</v>
      </c>
      <c r="D216" s="15">
        <f>MOD(ROW()-2, amortYears)+1</f>
        <v>25</v>
      </c>
      <c r="E216" s="15">
        <f t="shared" si="1"/>
        <v>63</v>
      </c>
      <c r="F216" s="16">
        <f t="shared" si="2"/>
        <v>122528.8687</v>
      </c>
      <c r="G216" s="16">
        <f>IF(D216&lt;=mortTerm, -PMT(mortRate/12, mortTerm*12, C216)*12, 0)
</f>
        <v>24716.41991</v>
      </c>
      <c r="H216" s="16">
        <f>IF(D216&lt;=mortTerm, G216 - I216, 0)
</f>
        <v>7456.183379</v>
      </c>
      <c r="I216" s="16">
        <f>IF(D216&lt;=mortTerm, F216 - J216, 0)
</f>
        <v>17260.23653</v>
      </c>
      <c r="J216" s="16">
        <f>IF(D216&lt;=mortTerm,
   F216*(1+mortRate/12)^12 - (-PMT(mortRate/12, mortTerm*12, C216))*(((1+mortRate/12)^12 - 1)/(mortRate/12)),
   0
)
</f>
        <v>105268.6321</v>
      </c>
      <c r="K216" s="13">
        <f>IFERROR(__xludf.DUMMYFUNCTION("IF(A216="""","""",
   IF(F216&gt;0,
      INDEX(FILTER('RE Portfolio'!L$2:L2000,'RE Portfolio'!D$2:D2000=""BUY""), INT((ROW()-2)/amortYears)+1) - G216,
      INDEX(FILTER('RE Portfolio'!L$2:L2000,'RE Portfolio'!D$2:D2000=""BUY""), INT((ROW()-2)/amortYears)+1"&amp;")
   )
)
"),7609.5951690102665)</f>
        <v>7609.595169</v>
      </c>
      <c r="L216" s="15">
        <f>IFERROR(__xludf.DUMMYFUNCTION("IF(A216="""","""",
  INDEX(FILTER('RE Portfolio'!C$2:C2000,'RE Portfolio'!D$2:D2000=""BUY""), INT((ROW()-2)/amortYears)+1)
  * (1 + VALUE(Assumptions!$B$11))^(D216-1)
)
"),1113728.6166569078)</f>
        <v>1113728.617</v>
      </c>
    </row>
    <row r="217">
      <c r="A217" s="15">
        <f>IFERROR(__xludf.DUMMYFUNCTION("IFERROR(INDEX(FILTER('RE Portfolio'!A$2:A2000,'RE Portfolio'!D$2:D2000=""BUY""), INT((ROW()-2)/amortYears)+1), )
"),6.0)</f>
        <v>6</v>
      </c>
      <c r="B217" s="15">
        <f>IFERROR(__xludf.DUMMYFUNCTION("IFERROR(INDEX(FILTER('RE Portfolio'!B$2:B2000,'RE Portfolio'!D$2:D2000=""BUY""), INT((ROW()-2)/amortYears)+1), )
"),39.0)</f>
        <v>39</v>
      </c>
      <c r="C217" s="15">
        <f>IFERROR(__xludf.DUMMYFUNCTION("IFERROR(INDEX(FILTER('RE Portfolio'!G$2:G2000,'RE Portfolio'!D$2:D2000=""BUY""), INT((ROW()-2)/amortYears)+1), )
"),325867.08746207465)</f>
        <v>325867.0875</v>
      </c>
      <c r="D217" s="15">
        <f>MOD(ROW()-2, amortYears)+1</f>
        <v>26</v>
      </c>
      <c r="E217" s="15">
        <f t="shared" si="1"/>
        <v>64</v>
      </c>
      <c r="F217" s="16">
        <f t="shared" si="2"/>
        <v>105268.6321</v>
      </c>
      <c r="G217" s="16">
        <f>IF(D217&lt;=mortTerm, -PMT(mortRate/12, mortTerm*12, C217)*12, 0)
</f>
        <v>24716.41991</v>
      </c>
      <c r="H217" s="16">
        <f>IF(D217&lt;=mortTerm, G217 - I217, 0)
</f>
        <v>6300.233373</v>
      </c>
      <c r="I217" s="16">
        <f>IF(D217&lt;=mortTerm, F217 - J217, 0)
</f>
        <v>18416.18653</v>
      </c>
      <c r="J217" s="16">
        <f>IF(D217&lt;=mortTerm,
   F217*(1+mortRate/12)^12 - (-PMT(mortRate/12, mortTerm*12, C217))*(((1+mortRate/12)^12 - 1)/(mortRate/12)),
   0
)
</f>
        <v>86852.44559</v>
      </c>
      <c r="K217" s="13">
        <f>IFERROR(__xludf.DUMMYFUNCTION("IF(A217="""","""",
   IF(F217&gt;0,
      INDEX(FILTER('RE Portfolio'!L$2:L2000,'RE Portfolio'!D$2:D2000=""BUY""), INT((ROW()-2)/amortYears)+1) - G217,
      INDEX(FILTER('RE Portfolio'!L$2:L2000,'RE Portfolio'!D$2:D2000=""BUY""), INT((ROW()-2)/amortYears)+1"&amp;")
   )
)
"),7609.5951690102665)</f>
        <v>7609.595169</v>
      </c>
      <c r="L217" s="15">
        <f>IFERROR(__xludf.DUMMYFUNCTION("IF(A217="""","""",
  INDEX(FILTER('RE Portfolio'!C$2:C2000,'RE Portfolio'!D$2:D2000=""BUY""), INT((ROW()-2)/amortYears)+1)
  * (1 + VALUE(Assumptions!$B$11))^(D217-1)
)
"),1158277.761323184)</f>
        <v>1158277.761</v>
      </c>
    </row>
    <row r="218">
      <c r="A218" s="15">
        <f>IFERROR(__xludf.DUMMYFUNCTION("IFERROR(INDEX(FILTER('RE Portfolio'!A$2:A2000,'RE Portfolio'!D$2:D2000=""BUY""), INT((ROW()-2)/amortYears)+1), )
"),6.0)</f>
        <v>6</v>
      </c>
      <c r="B218" s="15">
        <f>IFERROR(__xludf.DUMMYFUNCTION("IFERROR(INDEX(FILTER('RE Portfolio'!B$2:B2000,'RE Portfolio'!D$2:D2000=""BUY""), INT((ROW()-2)/amortYears)+1), )
"),39.0)</f>
        <v>39</v>
      </c>
      <c r="C218" s="15">
        <f>IFERROR(__xludf.DUMMYFUNCTION("IFERROR(INDEX(FILTER('RE Portfolio'!G$2:G2000,'RE Portfolio'!D$2:D2000=""BUY""), INT((ROW()-2)/amortYears)+1), )
"),325867.08746207465)</f>
        <v>325867.0875</v>
      </c>
      <c r="D218" s="15">
        <f>MOD(ROW()-2, amortYears)+1</f>
        <v>27</v>
      </c>
      <c r="E218" s="15">
        <f t="shared" si="1"/>
        <v>65</v>
      </c>
      <c r="F218" s="16">
        <f t="shared" si="2"/>
        <v>86852.44559</v>
      </c>
      <c r="G218" s="16">
        <f>IF(D218&lt;=mortTerm, -PMT(mortRate/12, mortTerm*12, C218)*12, 0)
</f>
        <v>24716.41991</v>
      </c>
      <c r="H218" s="16">
        <f>IF(D218&lt;=mortTerm, G218 - I218, 0)
</f>
        <v>5066.867254</v>
      </c>
      <c r="I218" s="16">
        <f>IF(D218&lt;=mortTerm, F218 - J218, 0)
</f>
        <v>19649.55265</v>
      </c>
      <c r="J218" s="16">
        <f>IF(D218&lt;=mortTerm,
   F218*(1+mortRate/12)^12 - (-PMT(mortRate/12, mortTerm*12, C218))*(((1+mortRate/12)^12 - 1)/(mortRate/12)),
   0
)
</f>
        <v>67202.89294</v>
      </c>
      <c r="K218" s="13">
        <f>IFERROR(__xludf.DUMMYFUNCTION("IF(A218="""","""",
   IF(F218&gt;0,
      INDEX(FILTER('RE Portfolio'!L$2:L2000,'RE Portfolio'!D$2:D2000=""BUY""), INT((ROW()-2)/amortYears)+1) - G218,
      INDEX(FILTER('RE Portfolio'!L$2:L2000,'RE Portfolio'!D$2:D2000=""BUY""), INT((ROW()-2)/amortYears)+1"&amp;")
   )
)
"),7609.5951690102665)</f>
        <v>7609.595169</v>
      </c>
      <c r="L218" s="15">
        <f>IFERROR(__xludf.DUMMYFUNCTION("IF(A218="""","""",
  INDEX(FILTER('RE Portfolio'!C$2:C2000,'RE Portfolio'!D$2:D2000=""BUY""), INT((ROW()-2)/amortYears)+1)
  * (1 + VALUE(Assumptions!$B$11))^(D218-1)
)
"),1204608.8717761114)</f>
        <v>1204608.872</v>
      </c>
    </row>
    <row r="219">
      <c r="A219" s="15">
        <f>IFERROR(__xludf.DUMMYFUNCTION("IFERROR(INDEX(FILTER('RE Portfolio'!A$2:A2000,'RE Portfolio'!D$2:D2000=""BUY""), INT((ROW()-2)/amortYears)+1), )
"),6.0)</f>
        <v>6</v>
      </c>
      <c r="B219" s="15">
        <f>IFERROR(__xludf.DUMMYFUNCTION("IFERROR(INDEX(FILTER('RE Portfolio'!B$2:B2000,'RE Portfolio'!D$2:D2000=""BUY""), INT((ROW()-2)/amortYears)+1), )
"),39.0)</f>
        <v>39</v>
      </c>
      <c r="C219" s="15">
        <f>IFERROR(__xludf.DUMMYFUNCTION("IFERROR(INDEX(FILTER('RE Portfolio'!G$2:G2000,'RE Portfolio'!D$2:D2000=""BUY""), INT((ROW()-2)/amortYears)+1), )
"),325867.08746207465)</f>
        <v>325867.0875</v>
      </c>
      <c r="D219" s="15">
        <f>MOD(ROW()-2, amortYears)+1</f>
        <v>28</v>
      </c>
      <c r="E219" s="15">
        <f t="shared" si="1"/>
        <v>66</v>
      </c>
      <c r="F219" s="16">
        <f t="shared" si="2"/>
        <v>67202.89294</v>
      </c>
      <c r="G219" s="16">
        <f>IF(D219&lt;=mortTerm, -PMT(mortRate/12, mortTerm*12, C219)*12, 0)
</f>
        <v>24716.41991</v>
      </c>
      <c r="H219" s="16">
        <f>IF(D219&lt;=mortTerm, G219 - I219, 0)
</f>
        <v>3750.900322</v>
      </c>
      <c r="I219" s="16">
        <f>IF(D219&lt;=mortTerm, F219 - J219, 0)
</f>
        <v>20965.51959</v>
      </c>
      <c r="J219" s="16">
        <f>IF(D219&lt;=mortTerm,
   F219*(1+mortRate/12)^12 - (-PMT(mortRate/12, mortTerm*12, C219))*(((1+mortRate/12)^12 - 1)/(mortRate/12)),
   0
)
</f>
        <v>46237.37335</v>
      </c>
      <c r="K219" s="13">
        <f>IFERROR(__xludf.DUMMYFUNCTION("IF(A219="""","""",
   IF(F219&gt;0,
      INDEX(FILTER('RE Portfolio'!L$2:L2000,'RE Portfolio'!D$2:D2000=""BUY""), INT((ROW()-2)/amortYears)+1) - G219,
      INDEX(FILTER('RE Portfolio'!L$2:L2000,'RE Portfolio'!D$2:D2000=""BUY""), INT((ROW()-2)/amortYears)+1"&amp;")
   )
)
"),7609.5951690102665)</f>
        <v>7609.595169</v>
      </c>
      <c r="L219" s="15">
        <f>IFERROR(__xludf.DUMMYFUNCTION("IF(A219="""","""",
  INDEX(FILTER('RE Portfolio'!C$2:C2000,'RE Portfolio'!D$2:D2000=""BUY""), INT((ROW()-2)/amortYears)+1)
  * (1 + VALUE(Assumptions!$B$11))^(D219-1)
)
"),1252793.2266471558)</f>
        <v>1252793.227</v>
      </c>
    </row>
    <row r="220">
      <c r="A220" s="15">
        <f>IFERROR(__xludf.DUMMYFUNCTION("IFERROR(INDEX(FILTER('RE Portfolio'!A$2:A2000,'RE Portfolio'!D$2:D2000=""BUY""), INT((ROW()-2)/amortYears)+1), )
"),6.0)</f>
        <v>6</v>
      </c>
      <c r="B220" s="15">
        <f>IFERROR(__xludf.DUMMYFUNCTION("IFERROR(INDEX(FILTER('RE Portfolio'!B$2:B2000,'RE Portfolio'!D$2:D2000=""BUY""), INT((ROW()-2)/amortYears)+1), )
"),39.0)</f>
        <v>39</v>
      </c>
      <c r="C220" s="15">
        <f>IFERROR(__xludf.DUMMYFUNCTION("IFERROR(INDEX(FILTER('RE Portfolio'!G$2:G2000,'RE Portfolio'!D$2:D2000=""BUY""), INT((ROW()-2)/amortYears)+1), )
"),325867.08746207465)</f>
        <v>325867.0875</v>
      </c>
      <c r="D220" s="15">
        <f>MOD(ROW()-2, amortYears)+1</f>
        <v>29</v>
      </c>
      <c r="E220" s="15">
        <f t="shared" si="1"/>
        <v>67</v>
      </c>
      <c r="F220" s="16">
        <f t="shared" si="2"/>
        <v>46237.37335</v>
      </c>
      <c r="G220" s="16">
        <f>IF(D220&lt;=mortTerm, -PMT(mortRate/12, mortTerm*12, C220)*12, 0)
</f>
        <v>24716.41991</v>
      </c>
      <c r="H220" s="16">
        <f>IF(D220&lt;=mortTerm, G220 - I220, 0)
</f>
        <v>2346.800647</v>
      </c>
      <c r="I220" s="16">
        <f>IF(D220&lt;=mortTerm, F220 - J220, 0)
</f>
        <v>22369.61926</v>
      </c>
      <c r="J220" s="16">
        <f>IF(D220&lt;=mortTerm,
   F220*(1+mortRate/12)^12 - (-PMT(mortRate/12, mortTerm*12, C220))*(((1+mortRate/12)^12 - 1)/(mortRate/12)),
   0
)
</f>
        <v>23867.75409</v>
      </c>
      <c r="K220" s="13">
        <f>IFERROR(__xludf.DUMMYFUNCTION("IF(A220="""","""",
   IF(F220&gt;0,
      INDEX(FILTER('RE Portfolio'!L$2:L2000,'RE Portfolio'!D$2:D2000=""BUY""), INT((ROW()-2)/amortYears)+1) - G220,
      INDEX(FILTER('RE Portfolio'!L$2:L2000,'RE Portfolio'!D$2:D2000=""BUY""), INT((ROW()-2)/amortYears)+1"&amp;")
   )
)
"),7609.5951690102665)</f>
        <v>7609.595169</v>
      </c>
      <c r="L220" s="15">
        <f>IFERROR(__xludf.DUMMYFUNCTION("IF(A220="""","""",
  INDEX(FILTER('RE Portfolio'!C$2:C2000,'RE Portfolio'!D$2:D2000=""BUY""), INT((ROW()-2)/amortYears)+1)
  * (1 + VALUE(Assumptions!$B$11))^(D220-1)
)
"),1302904.9557130423)</f>
        <v>1302904.956</v>
      </c>
    </row>
    <row r="221">
      <c r="A221" s="15">
        <f>IFERROR(__xludf.DUMMYFUNCTION("IFERROR(INDEX(FILTER('RE Portfolio'!A$2:A2000,'RE Portfolio'!D$2:D2000=""BUY""), INT((ROW()-2)/amortYears)+1), )
"),6.0)</f>
        <v>6</v>
      </c>
      <c r="B221" s="15">
        <f>IFERROR(__xludf.DUMMYFUNCTION("IFERROR(INDEX(FILTER('RE Portfolio'!B$2:B2000,'RE Portfolio'!D$2:D2000=""BUY""), INT((ROW()-2)/amortYears)+1), )
"),39.0)</f>
        <v>39</v>
      </c>
      <c r="C221" s="15">
        <f>IFERROR(__xludf.DUMMYFUNCTION("IFERROR(INDEX(FILTER('RE Portfolio'!G$2:G2000,'RE Portfolio'!D$2:D2000=""BUY""), INT((ROW()-2)/amortYears)+1), )
"),325867.08746207465)</f>
        <v>325867.0875</v>
      </c>
      <c r="D221" s="15">
        <f>MOD(ROW()-2, amortYears)+1</f>
        <v>30</v>
      </c>
      <c r="E221" s="15">
        <f t="shared" si="1"/>
        <v>68</v>
      </c>
      <c r="F221" s="16">
        <f t="shared" si="2"/>
        <v>23867.75409</v>
      </c>
      <c r="G221" s="16">
        <f>IF(D221&lt;=mortTerm, -PMT(mortRate/12, mortTerm*12, C221)*12, 0)
</f>
        <v>24716.41991</v>
      </c>
      <c r="H221" s="16">
        <f>IF(D221&lt;=mortTerm, G221 - I221, 0)
</f>
        <v>848.6658163</v>
      </c>
      <c r="I221" s="16">
        <f>IF(D221&lt;=mortTerm, F221 - J221, 0)
</f>
        <v>23867.75409</v>
      </c>
      <c r="J221" s="16">
        <f>IF(D221&lt;=mortTerm,
   F221*(1+mortRate/12)^12 - (-PMT(mortRate/12, mortTerm*12, C221))*(((1+mortRate/12)^12 - 1)/(mortRate/12)),
   0
)
</f>
        <v>-0.000000001422449714</v>
      </c>
      <c r="K221" s="13">
        <f>IFERROR(__xludf.DUMMYFUNCTION("IF(A221="""","""",
   IF(F221&gt;0,
      INDEX(FILTER('RE Portfolio'!L$2:L2000,'RE Portfolio'!D$2:D2000=""BUY""), INT((ROW()-2)/amortYears)+1) - G221,
      INDEX(FILTER('RE Portfolio'!L$2:L2000,'RE Portfolio'!D$2:D2000=""BUY""), INT((ROW()-2)/amortYears)+1"&amp;")
   )
)
"),7609.5951690102665)</f>
        <v>7609.595169</v>
      </c>
      <c r="L221" s="15">
        <f>IFERROR(__xludf.DUMMYFUNCTION("IF(A221="""","""",
  INDEX(FILTER('RE Portfolio'!C$2:C2000,'RE Portfolio'!D$2:D2000=""BUY""), INT((ROW()-2)/amortYears)+1)
  * (1 + VALUE(Assumptions!$B$11))^(D221-1)
)
"),1355021.153941564)</f>
        <v>1355021.154</v>
      </c>
    </row>
    <row r="222">
      <c r="A222" s="15">
        <f>IFERROR(__xludf.DUMMYFUNCTION("IFERROR(INDEX(FILTER('RE Portfolio'!A$2:A2000,'RE Portfolio'!D$2:D2000=""BUY""), INT((ROW()-2)/amortYears)+1), )
"),6.0)</f>
        <v>6</v>
      </c>
      <c r="B222" s="15">
        <f>IFERROR(__xludf.DUMMYFUNCTION("IFERROR(INDEX(FILTER('RE Portfolio'!B$2:B2000,'RE Portfolio'!D$2:D2000=""BUY""), INT((ROW()-2)/amortYears)+1), )
"),39.0)</f>
        <v>39</v>
      </c>
      <c r="C222" s="15">
        <f>IFERROR(__xludf.DUMMYFUNCTION("IFERROR(INDEX(FILTER('RE Portfolio'!G$2:G2000,'RE Portfolio'!D$2:D2000=""BUY""), INT((ROW()-2)/amortYears)+1), )
"),325867.08746207465)</f>
        <v>325867.0875</v>
      </c>
      <c r="D222" s="15">
        <f>MOD(ROW()-2, amortYears)+1</f>
        <v>31</v>
      </c>
      <c r="E222" s="15">
        <f t="shared" si="1"/>
        <v>69</v>
      </c>
      <c r="F222" s="16">
        <f t="shared" si="2"/>
        <v>-0.000000001422449714</v>
      </c>
      <c r="G222" s="15">
        <f>IF(D222&lt;=mortTerm, -PMT(mortRate/12, mortTerm*12, C222)*12, 0)
</f>
        <v>0</v>
      </c>
      <c r="H222" s="15">
        <f>IF(D222&lt;=mortTerm, G222 - I222, 0)
</f>
        <v>0</v>
      </c>
      <c r="I222" s="15">
        <f>IF(D222&lt;=mortTerm, F222 - J222, 0)
</f>
        <v>0</v>
      </c>
      <c r="J222" s="15">
        <f>IF(D222&lt;=mortTerm,
   F222*(1+mortRate/12)^12 - (-PMT(mortRate/12, mortTerm*12, C222))*(((1+mortRate/12)^12 - 1)/(mortRate/12)),
   0
)
</f>
        <v>0</v>
      </c>
      <c r="K222" s="13">
        <f>IFERROR(__xludf.DUMMYFUNCTION("IF(A222="""","""",
   IF(F222&gt;0,
      INDEX(FILTER('RE Portfolio'!L$2:L2000,'RE Portfolio'!D$2:D2000=""BUY""), INT((ROW()-2)/amortYears)+1) - G222,
      INDEX(FILTER('RE Portfolio'!L$2:L2000,'RE Portfolio'!D$2:D2000=""BUY""), INT((ROW()-2)/amortYears)+1"&amp;")
   )
)
"),32326.015076237803)</f>
        <v>32326.01508</v>
      </c>
      <c r="L222" s="15">
        <f>IFERROR(__xludf.DUMMYFUNCTION("IF(A222="""","""",
  INDEX(FILTER('RE Portfolio'!C$2:C2000,'RE Portfolio'!D$2:D2000=""BUY""), INT((ROW()-2)/amortYears)+1)
  * (1 + VALUE(Assumptions!$B$11))^(D222-1)
)
"),1409222.0000992266)</f>
        <v>1409222</v>
      </c>
    </row>
    <row r="223">
      <c r="A223" s="15">
        <f>IFERROR(__xludf.DUMMYFUNCTION("IFERROR(INDEX(FILTER('RE Portfolio'!A$2:A2000,'RE Portfolio'!D$2:D2000=""BUY""), INT((ROW()-2)/amortYears)+1), )
"),6.0)</f>
        <v>6</v>
      </c>
      <c r="B223" s="15">
        <f>IFERROR(__xludf.DUMMYFUNCTION("IFERROR(INDEX(FILTER('RE Portfolio'!B$2:B2000,'RE Portfolio'!D$2:D2000=""BUY""), INT((ROW()-2)/amortYears)+1), )
"),39.0)</f>
        <v>39</v>
      </c>
      <c r="C223" s="15">
        <f>IFERROR(__xludf.DUMMYFUNCTION("IFERROR(INDEX(FILTER('RE Portfolio'!G$2:G2000,'RE Portfolio'!D$2:D2000=""BUY""), INT((ROW()-2)/amortYears)+1), )
"),325867.08746207465)</f>
        <v>325867.0875</v>
      </c>
      <c r="D223" s="15">
        <f>MOD(ROW()-2, amortYears)+1</f>
        <v>32</v>
      </c>
      <c r="E223" s="15">
        <f t="shared" si="1"/>
        <v>70</v>
      </c>
      <c r="F223" s="15">
        <f t="shared" si="2"/>
        <v>0</v>
      </c>
      <c r="G223" s="15">
        <f>IF(D223&lt;=mortTerm, -PMT(mortRate/12, mortTerm*12, C223)*12, 0)
</f>
        <v>0</v>
      </c>
      <c r="H223" s="15">
        <f>IF(D223&lt;=mortTerm, G223 - I223, 0)
</f>
        <v>0</v>
      </c>
      <c r="I223" s="15">
        <f>IF(D223&lt;=mortTerm, F223 - J223, 0)
</f>
        <v>0</v>
      </c>
      <c r="J223" s="15">
        <f>IF(D223&lt;=mortTerm,
   F223*(1+mortRate/12)^12 - (-PMT(mortRate/12, mortTerm*12, C223))*(((1+mortRate/12)^12 - 1)/(mortRate/12)),
   0
)
</f>
        <v>0</v>
      </c>
      <c r="K223" s="13">
        <f>IFERROR(__xludf.DUMMYFUNCTION("IF(A223="""","""",
   IF(F223&gt;0,
      INDEX(FILTER('RE Portfolio'!L$2:L2000,'RE Portfolio'!D$2:D2000=""BUY""), INT((ROW()-2)/amortYears)+1) - G223,
      INDEX(FILTER('RE Portfolio'!L$2:L2000,'RE Portfolio'!D$2:D2000=""BUY""), INT((ROW()-2)/amortYears)+1"&amp;")
   )
)
"),32326.015076237803)</f>
        <v>32326.01508</v>
      </c>
      <c r="L223" s="15">
        <f>IFERROR(__xludf.DUMMYFUNCTION("IF(A223="""","""",
  INDEX(FILTER('RE Portfolio'!C$2:C2000,'RE Portfolio'!D$2:D2000=""BUY""), INT((ROW()-2)/amortYears)+1)
  * (1 + VALUE(Assumptions!$B$11))^(D223-1)
)
"),1465590.8801031958)</f>
        <v>1465590.88</v>
      </c>
    </row>
    <row r="224">
      <c r="A224" s="15">
        <f>IFERROR(__xludf.DUMMYFUNCTION("IFERROR(INDEX(FILTER('RE Portfolio'!A$2:A2000,'RE Portfolio'!D$2:D2000=""BUY""), INT((ROW()-2)/amortYears)+1), )
"),6.0)</f>
        <v>6</v>
      </c>
      <c r="B224" s="15">
        <f>IFERROR(__xludf.DUMMYFUNCTION("IFERROR(INDEX(FILTER('RE Portfolio'!B$2:B2000,'RE Portfolio'!D$2:D2000=""BUY""), INT((ROW()-2)/amortYears)+1), )
"),39.0)</f>
        <v>39</v>
      </c>
      <c r="C224" s="15">
        <f>IFERROR(__xludf.DUMMYFUNCTION("IFERROR(INDEX(FILTER('RE Portfolio'!G$2:G2000,'RE Portfolio'!D$2:D2000=""BUY""), INT((ROW()-2)/amortYears)+1), )
"),325867.08746207465)</f>
        <v>325867.0875</v>
      </c>
      <c r="D224" s="15">
        <f>MOD(ROW()-2, amortYears)+1</f>
        <v>33</v>
      </c>
      <c r="E224" s="15">
        <f t="shared" si="1"/>
        <v>71</v>
      </c>
      <c r="F224" s="15">
        <f t="shared" si="2"/>
        <v>0</v>
      </c>
      <c r="G224" s="15">
        <f>IF(D224&lt;=mortTerm, -PMT(mortRate/12, mortTerm*12, C224)*12, 0)
</f>
        <v>0</v>
      </c>
      <c r="H224" s="15">
        <f>IF(D224&lt;=mortTerm, G224 - I224, 0)
</f>
        <v>0</v>
      </c>
      <c r="I224" s="15">
        <f>IF(D224&lt;=mortTerm, F224 - J224, 0)
</f>
        <v>0</v>
      </c>
      <c r="J224" s="15">
        <f>IF(D224&lt;=mortTerm,
   F224*(1+mortRate/12)^12 - (-PMT(mortRate/12, mortTerm*12, C224))*(((1+mortRate/12)^12 - 1)/(mortRate/12)),
   0
)
</f>
        <v>0</v>
      </c>
      <c r="K224" s="13">
        <f>IFERROR(__xludf.DUMMYFUNCTION("IF(A224="""","""",
   IF(F224&gt;0,
      INDEX(FILTER('RE Portfolio'!L$2:L2000,'RE Portfolio'!D$2:D2000=""BUY""), INT((ROW()-2)/amortYears)+1) - G224,
      INDEX(FILTER('RE Portfolio'!L$2:L2000,'RE Portfolio'!D$2:D2000=""BUY""), INT((ROW()-2)/amortYears)+1"&amp;")
   )
)
"),32326.015076237803)</f>
        <v>32326.01508</v>
      </c>
      <c r="L224" s="15">
        <f>IFERROR(__xludf.DUMMYFUNCTION("IF(A224="""","""",
  INDEX(FILTER('RE Portfolio'!C$2:C2000,'RE Portfolio'!D$2:D2000=""BUY""), INT((ROW()-2)/amortYears)+1)
  * (1 + VALUE(Assumptions!$B$11))^(D224-1)
)
"),1524214.5153073235)</f>
        <v>1524214.515</v>
      </c>
    </row>
    <row r="225">
      <c r="A225" s="15">
        <f>IFERROR(__xludf.DUMMYFUNCTION("IFERROR(INDEX(FILTER('RE Portfolio'!A$2:A2000,'RE Portfolio'!D$2:D2000=""BUY""), INT((ROW()-2)/amortYears)+1), )
"),6.0)</f>
        <v>6</v>
      </c>
      <c r="B225" s="15">
        <f>IFERROR(__xludf.DUMMYFUNCTION("IFERROR(INDEX(FILTER('RE Portfolio'!B$2:B2000,'RE Portfolio'!D$2:D2000=""BUY""), INT((ROW()-2)/amortYears)+1), )
"),39.0)</f>
        <v>39</v>
      </c>
      <c r="C225" s="15">
        <f>IFERROR(__xludf.DUMMYFUNCTION("IFERROR(INDEX(FILTER('RE Portfolio'!G$2:G2000,'RE Portfolio'!D$2:D2000=""BUY""), INT((ROW()-2)/amortYears)+1), )
"),325867.08746207465)</f>
        <v>325867.0875</v>
      </c>
      <c r="D225" s="15">
        <f>MOD(ROW()-2, amortYears)+1</f>
        <v>34</v>
      </c>
      <c r="E225" s="15">
        <f t="shared" si="1"/>
        <v>72</v>
      </c>
      <c r="F225" s="15">
        <f t="shared" si="2"/>
        <v>0</v>
      </c>
      <c r="G225" s="15">
        <f>IF(D225&lt;=mortTerm, -PMT(mortRate/12, mortTerm*12, C225)*12, 0)
</f>
        <v>0</v>
      </c>
      <c r="H225" s="15">
        <f>IF(D225&lt;=mortTerm, G225 - I225, 0)
</f>
        <v>0</v>
      </c>
      <c r="I225" s="15">
        <f>IF(D225&lt;=mortTerm, F225 - J225, 0)
</f>
        <v>0</v>
      </c>
      <c r="J225" s="15">
        <f>IF(D225&lt;=mortTerm,
   F225*(1+mortRate/12)^12 - (-PMT(mortRate/12, mortTerm*12, C225))*(((1+mortRate/12)^12 - 1)/(mortRate/12)),
   0
)
</f>
        <v>0</v>
      </c>
      <c r="K225" s="13">
        <f>IFERROR(__xludf.DUMMYFUNCTION("IF(A225="""","""",
   IF(F225&gt;0,
      INDEX(FILTER('RE Portfolio'!L$2:L2000,'RE Portfolio'!D$2:D2000=""BUY""), INT((ROW()-2)/amortYears)+1) - G225,
      INDEX(FILTER('RE Portfolio'!L$2:L2000,'RE Portfolio'!D$2:D2000=""BUY""), INT((ROW()-2)/amortYears)+1"&amp;")
   )
)
"),32326.015076237803)</f>
        <v>32326.01508</v>
      </c>
      <c r="L225" s="15">
        <f>IFERROR(__xludf.DUMMYFUNCTION("IF(A225="""","""",
  INDEX(FILTER('RE Portfolio'!C$2:C2000,'RE Portfolio'!D$2:D2000=""BUY""), INT((ROW()-2)/amortYears)+1)
  * (1 + VALUE(Assumptions!$B$11))^(D225-1)
)
"),1585183.0959196168)</f>
        <v>1585183.096</v>
      </c>
    </row>
    <row r="226">
      <c r="A226" s="15">
        <f>IFERROR(__xludf.DUMMYFUNCTION("IFERROR(INDEX(FILTER('RE Portfolio'!A$2:A2000,'RE Portfolio'!D$2:D2000=""BUY""), INT((ROW()-2)/amortYears)+1), )
"),6.0)</f>
        <v>6</v>
      </c>
      <c r="B226" s="15">
        <f>IFERROR(__xludf.DUMMYFUNCTION("IFERROR(INDEX(FILTER('RE Portfolio'!B$2:B2000,'RE Portfolio'!D$2:D2000=""BUY""), INT((ROW()-2)/amortYears)+1), )
"),39.0)</f>
        <v>39</v>
      </c>
      <c r="C226" s="15">
        <f>IFERROR(__xludf.DUMMYFUNCTION("IFERROR(INDEX(FILTER('RE Portfolio'!G$2:G2000,'RE Portfolio'!D$2:D2000=""BUY""), INT((ROW()-2)/amortYears)+1), )
"),325867.08746207465)</f>
        <v>325867.0875</v>
      </c>
      <c r="D226" s="15">
        <f>MOD(ROW()-2, amortYears)+1</f>
        <v>35</v>
      </c>
      <c r="E226" s="15">
        <f t="shared" si="1"/>
        <v>73</v>
      </c>
      <c r="F226" s="15">
        <f t="shared" si="2"/>
        <v>0</v>
      </c>
      <c r="G226" s="15">
        <f>IF(D226&lt;=mortTerm, -PMT(mortRate/12, mortTerm*12, C226)*12, 0)
</f>
        <v>0</v>
      </c>
      <c r="H226" s="15">
        <f>IF(D226&lt;=mortTerm, G226 - I226, 0)
</f>
        <v>0</v>
      </c>
      <c r="I226" s="15">
        <f>IF(D226&lt;=mortTerm, F226 - J226, 0)
</f>
        <v>0</v>
      </c>
      <c r="J226" s="15">
        <f>IF(D226&lt;=mortTerm,
   F226*(1+mortRate/12)^12 - (-PMT(mortRate/12, mortTerm*12, C226))*(((1+mortRate/12)^12 - 1)/(mortRate/12)),
   0
)
</f>
        <v>0</v>
      </c>
      <c r="K226" s="13">
        <f>IFERROR(__xludf.DUMMYFUNCTION("IF(A226="""","""",
   IF(F226&gt;0,
      INDEX(FILTER('RE Portfolio'!L$2:L2000,'RE Portfolio'!D$2:D2000=""BUY""), INT((ROW()-2)/amortYears)+1) - G226,
      INDEX(FILTER('RE Portfolio'!L$2:L2000,'RE Portfolio'!D$2:D2000=""BUY""), INT((ROW()-2)/amortYears)+1"&amp;")
   )
)
"),32326.015076237803)</f>
        <v>32326.01508</v>
      </c>
      <c r="L226" s="15">
        <f>IFERROR(__xludf.DUMMYFUNCTION("IF(A226="""","""",
  INDEX(FILTER('RE Portfolio'!C$2:C2000,'RE Portfolio'!D$2:D2000=""BUY""), INT((ROW()-2)/amortYears)+1)
  * (1 + VALUE(Assumptions!$B$11))^(D226-1)
)
"),1648590.4197564013)</f>
        <v>1648590.42</v>
      </c>
    </row>
    <row r="227">
      <c r="A227" s="15">
        <f>IFERROR(__xludf.DUMMYFUNCTION("IFERROR(INDEX(FILTER('RE Portfolio'!A$2:A2000,'RE Portfolio'!D$2:D2000=""BUY""), INT((ROW()-2)/amortYears)+1), )
"),6.0)</f>
        <v>6</v>
      </c>
      <c r="B227" s="15">
        <f>IFERROR(__xludf.DUMMYFUNCTION("IFERROR(INDEX(FILTER('RE Portfolio'!B$2:B2000,'RE Portfolio'!D$2:D2000=""BUY""), INT((ROW()-2)/amortYears)+1), )
"),39.0)</f>
        <v>39</v>
      </c>
      <c r="C227" s="15">
        <f>IFERROR(__xludf.DUMMYFUNCTION("IFERROR(INDEX(FILTER('RE Portfolio'!G$2:G2000,'RE Portfolio'!D$2:D2000=""BUY""), INT((ROW()-2)/amortYears)+1), )
"),325867.08746207465)</f>
        <v>325867.0875</v>
      </c>
      <c r="D227" s="15">
        <f>MOD(ROW()-2, amortYears)+1</f>
        <v>36</v>
      </c>
      <c r="E227" s="15">
        <f t="shared" si="1"/>
        <v>74</v>
      </c>
      <c r="F227" s="15">
        <f t="shared" si="2"/>
        <v>0</v>
      </c>
      <c r="G227" s="15">
        <f>IF(D227&lt;=mortTerm, -PMT(mortRate/12, mortTerm*12, C227)*12, 0)
</f>
        <v>0</v>
      </c>
      <c r="H227" s="15">
        <f>IF(D227&lt;=mortTerm, G227 - I227, 0)
</f>
        <v>0</v>
      </c>
      <c r="I227" s="15">
        <f>IF(D227&lt;=mortTerm, F227 - J227, 0)
</f>
        <v>0</v>
      </c>
      <c r="J227" s="15">
        <f>IF(D227&lt;=mortTerm,
   F227*(1+mortRate/12)^12 - (-PMT(mortRate/12, mortTerm*12, C227))*(((1+mortRate/12)^12 - 1)/(mortRate/12)),
   0
)
</f>
        <v>0</v>
      </c>
      <c r="K227" s="13">
        <f>IFERROR(__xludf.DUMMYFUNCTION("IF(A227="""","""",
   IF(F227&gt;0,
      INDEX(FILTER('RE Portfolio'!L$2:L2000,'RE Portfolio'!D$2:D2000=""BUY""), INT((ROW()-2)/amortYears)+1) - G227,
      INDEX(FILTER('RE Portfolio'!L$2:L2000,'RE Portfolio'!D$2:D2000=""BUY""), INT((ROW()-2)/amortYears)+1"&amp;")
   )
)
"),32326.015076237803)</f>
        <v>32326.01508</v>
      </c>
      <c r="L227" s="15">
        <f>IFERROR(__xludf.DUMMYFUNCTION("IF(A227="""","""",
  INDEX(FILTER('RE Portfolio'!C$2:C2000,'RE Portfolio'!D$2:D2000=""BUY""), INT((ROW()-2)/amortYears)+1)
  * (1 + VALUE(Assumptions!$B$11))^(D227-1)
)
"),1714534.0365466576)</f>
        <v>1714534.037</v>
      </c>
    </row>
    <row r="228">
      <c r="A228" s="15">
        <f>IFERROR(__xludf.DUMMYFUNCTION("IFERROR(INDEX(FILTER('RE Portfolio'!A$2:A2000,'RE Portfolio'!D$2:D2000=""BUY""), INT((ROW()-2)/amortYears)+1), )
"),6.0)</f>
        <v>6</v>
      </c>
      <c r="B228" s="15">
        <f>IFERROR(__xludf.DUMMYFUNCTION("IFERROR(INDEX(FILTER('RE Portfolio'!B$2:B2000,'RE Portfolio'!D$2:D2000=""BUY""), INT((ROW()-2)/amortYears)+1), )
"),39.0)</f>
        <v>39</v>
      </c>
      <c r="C228" s="15">
        <f>IFERROR(__xludf.DUMMYFUNCTION("IFERROR(INDEX(FILTER('RE Portfolio'!G$2:G2000,'RE Portfolio'!D$2:D2000=""BUY""), INT((ROW()-2)/amortYears)+1), )
"),325867.08746207465)</f>
        <v>325867.0875</v>
      </c>
      <c r="D228" s="15">
        <f>MOD(ROW()-2, amortYears)+1</f>
        <v>37</v>
      </c>
      <c r="E228" s="15">
        <f t="shared" si="1"/>
        <v>75</v>
      </c>
      <c r="F228" s="15">
        <f t="shared" si="2"/>
        <v>0</v>
      </c>
      <c r="G228" s="15">
        <f>IF(D228&lt;=mortTerm, -PMT(mortRate/12, mortTerm*12, C228)*12, 0)
</f>
        <v>0</v>
      </c>
      <c r="H228" s="15">
        <f>IF(D228&lt;=mortTerm, G228 - I228, 0)
</f>
        <v>0</v>
      </c>
      <c r="I228" s="15">
        <f>IF(D228&lt;=mortTerm, F228 - J228, 0)
</f>
        <v>0</v>
      </c>
      <c r="J228" s="15">
        <f>IF(D228&lt;=mortTerm,
   F228*(1+mortRate/12)^12 - (-PMT(mortRate/12, mortTerm*12, C228))*(((1+mortRate/12)^12 - 1)/(mortRate/12)),
   0
)
</f>
        <v>0</v>
      </c>
      <c r="K228" s="13">
        <f>IFERROR(__xludf.DUMMYFUNCTION("IF(A228="""","""",
   IF(F228&gt;0,
      INDEX(FILTER('RE Portfolio'!L$2:L2000,'RE Portfolio'!D$2:D2000=""BUY""), INT((ROW()-2)/amortYears)+1) - G228,
      INDEX(FILTER('RE Portfolio'!L$2:L2000,'RE Portfolio'!D$2:D2000=""BUY""), INT((ROW()-2)/amortYears)+1"&amp;")
   )
)
"),32326.015076237803)</f>
        <v>32326.01508</v>
      </c>
      <c r="L228" s="15">
        <f>IFERROR(__xludf.DUMMYFUNCTION("IF(A228="""","""",
  INDEX(FILTER('RE Portfolio'!C$2:C2000,'RE Portfolio'!D$2:D2000=""BUY""), INT((ROW()-2)/amortYears)+1)
  * (1 + VALUE(Assumptions!$B$11))^(D228-1)
)
"),1783115.398008524)</f>
        <v>1783115.398</v>
      </c>
    </row>
    <row r="229">
      <c r="A229" s="15">
        <f>IFERROR(__xludf.DUMMYFUNCTION("IFERROR(INDEX(FILTER('RE Portfolio'!A$2:A2000,'RE Portfolio'!D$2:D2000=""BUY""), INT((ROW()-2)/amortYears)+1), )
"),6.0)</f>
        <v>6</v>
      </c>
      <c r="B229" s="15">
        <f>IFERROR(__xludf.DUMMYFUNCTION("IFERROR(INDEX(FILTER('RE Portfolio'!B$2:B2000,'RE Portfolio'!D$2:D2000=""BUY""), INT((ROW()-2)/amortYears)+1), )
"),39.0)</f>
        <v>39</v>
      </c>
      <c r="C229" s="15">
        <f>IFERROR(__xludf.DUMMYFUNCTION("IFERROR(INDEX(FILTER('RE Portfolio'!G$2:G2000,'RE Portfolio'!D$2:D2000=""BUY""), INT((ROW()-2)/amortYears)+1), )
"),325867.08746207465)</f>
        <v>325867.0875</v>
      </c>
      <c r="D229" s="15">
        <f>MOD(ROW()-2, amortYears)+1</f>
        <v>38</v>
      </c>
      <c r="E229" s="15">
        <f t="shared" si="1"/>
        <v>76</v>
      </c>
      <c r="F229" s="15">
        <f t="shared" si="2"/>
        <v>0</v>
      </c>
      <c r="G229" s="15">
        <f>IF(D229&lt;=mortTerm, -PMT(mortRate/12, mortTerm*12, C229)*12, 0)
</f>
        <v>0</v>
      </c>
      <c r="H229" s="15">
        <f>IF(D229&lt;=mortTerm, G229 - I229, 0)
</f>
        <v>0</v>
      </c>
      <c r="I229" s="15">
        <f>IF(D229&lt;=mortTerm, F229 - J229, 0)
</f>
        <v>0</v>
      </c>
      <c r="J229" s="15">
        <f>IF(D229&lt;=mortTerm,
   F229*(1+mortRate/12)^12 - (-PMT(mortRate/12, mortTerm*12, C229))*(((1+mortRate/12)^12 - 1)/(mortRate/12)),
   0
)
</f>
        <v>0</v>
      </c>
      <c r="K229" s="13">
        <f>IFERROR(__xludf.DUMMYFUNCTION("IF(A229="""","""",
   IF(F229&gt;0,
      INDEX(FILTER('RE Portfolio'!L$2:L2000,'RE Portfolio'!D$2:D2000=""BUY""), INT((ROW()-2)/amortYears)+1) - G229,
      INDEX(FILTER('RE Portfolio'!L$2:L2000,'RE Portfolio'!D$2:D2000=""BUY""), INT((ROW()-2)/amortYears)+1"&amp;")
   )
)
"),32326.015076237803)</f>
        <v>32326.01508</v>
      </c>
      <c r="L229" s="15">
        <f>IFERROR(__xludf.DUMMYFUNCTION("IF(A229="""","""",
  INDEX(FILTER('RE Portfolio'!C$2:C2000,'RE Portfolio'!D$2:D2000=""BUY""), INT((ROW()-2)/amortYears)+1)
  * (1 + VALUE(Assumptions!$B$11))^(D229-1)
)
"),1854440.0139288646)</f>
        <v>1854440.014</v>
      </c>
    </row>
    <row r="230">
      <c r="A230" s="15">
        <f>IFERROR(__xludf.DUMMYFUNCTION("IFERROR(INDEX(FILTER('RE Portfolio'!A$2:A2000,'RE Portfolio'!D$2:D2000=""BUY""), INT((ROW()-2)/amortYears)+1), )
"),7.0)</f>
        <v>7</v>
      </c>
      <c r="B230" s="15">
        <f>IFERROR(__xludf.DUMMYFUNCTION("IFERROR(INDEX(FILTER('RE Portfolio'!B$2:B2000,'RE Portfolio'!D$2:D2000=""BUY""), INT((ROW()-2)/amortYears)+1), )
"),41.0)</f>
        <v>41</v>
      </c>
      <c r="C230" s="15">
        <f>IFERROR(__xludf.DUMMYFUNCTION("IFERROR(INDEX(FILTER('RE Portfolio'!G$2:G2000,'RE Portfolio'!D$2:D2000=""BUY""), INT((ROW()-2)/amortYears)+1), )
"),342364.10876484215)</f>
        <v>342364.1088</v>
      </c>
      <c r="D230" s="15">
        <f>MOD(ROW()-2, amortYears)+1</f>
        <v>1</v>
      </c>
      <c r="E230" s="15">
        <f t="shared" si="1"/>
        <v>41</v>
      </c>
      <c r="F230" s="15">
        <f t="shared" si="2"/>
        <v>342364.1088</v>
      </c>
      <c r="G230" s="16">
        <f>IF(D230&lt;=mortTerm, -PMT(mortRate/12, mortTerm*12, C230)*12, 0)
</f>
        <v>25967.68867</v>
      </c>
      <c r="H230" s="16">
        <f>IF(D230&lt;=mortTerm, G230 - I230, 0)
</f>
        <v>22140.99782</v>
      </c>
      <c r="I230" s="16">
        <f>IF(D230&lt;=mortTerm, F230 - J230, 0)
</f>
        <v>3826.69084</v>
      </c>
      <c r="J230" s="16">
        <f>IF(D230&lt;=mortTerm,
   F230*(1+mortRate/12)^12 - (-PMT(mortRate/12, mortTerm*12, C230))*(((1+mortRate/12)^12 - 1)/(mortRate/12)),
   0
)
</f>
        <v>338537.4179</v>
      </c>
      <c r="K230" s="13">
        <f>IFERROR(__xludf.DUMMYFUNCTION("IF(A230="""","""",
   IF(F230&gt;0,
      INDEX(FILTER('RE Portfolio'!L$2:L2000,'RE Portfolio'!D$2:D2000=""BUY""), INT((ROW()-2)/amortYears)+1) - G230,
      INDEX(FILTER('RE Portfolio'!L$2:L2000,'RE Portfolio'!D$2:D2000=""BUY""), INT((ROW()-2)/amortYears)+1"&amp;")
   )
)
"),7994.830924441409)</f>
        <v>7994.830924</v>
      </c>
      <c r="L230" s="15">
        <f>IFERROR(__xludf.DUMMYFUNCTION("IF(A230="""","""",
  INDEX(FILTER('RE Portfolio'!C$2:C2000,'RE Portfolio'!D$2:D2000=""BUY""), INT((ROW()-2)/amortYears)+1)
  * (1 + VALUE(Assumptions!$B$11))^(D230-1)
)
"),456485.47835312283)</f>
        <v>456485.4784</v>
      </c>
    </row>
    <row r="231">
      <c r="A231" s="15">
        <f>IFERROR(__xludf.DUMMYFUNCTION("IFERROR(INDEX(FILTER('RE Portfolio'!A$2:A2000,'RE Portfolio'!D$2:D2000=""BUY""), INT((ROW()-2)/amortYears)+1), )
"),7.0)</f>
        <v>7</v>
      </c>
      <c r="B231" s="15">
        <f>IFERROR(__xludf.DUMMYFUNCTION("IFERROR(INDEX(FILTER('RE Portfolio'!B$2:B2000,'RE Portfolio'!D$2:D2000=""BUY""), INT((ROW()-2)/amortYears)+1), )
"),41.0)</f>
        <v>41</v>
      </c>
      <c r="C231" s="15">
        <f>IFERROR(__xludf.DUMMYFUNCTION("IFERROR(INDEX(FILTER('RE Portfolio'!G$2:G2000,'RE Portfolio'!D$2:D2000=""BUY""), INT((ROW()-2)/amortYears)+1), )
"),342364.10876484215)</f>
        <v>342364.1088</v>
      </c>
      <c r="D231" s="15">
        <f>MOD(ROW()-2, amortYears)+1</f>
        <v>2</v>
      </c>
      <c r="E231" s="15">
        <f t="shared" si="1"/>
        <v>42</v>
      </c>
      <c r="F231" s="16">
        <f t="shared" si="2"/>
        <v>338537.4179</v>
      </c>
      <c r="G231" s="16">
        <f>IF(D231&lt;=mortTerm, -PMT(mortRate/12, mortTerm*12, C231)*12, 0)
</f>
        <v>25967.68867</v>
      </c>
      <c r="H231" s="16">
        <f>IF(D231&lt;=mortTerm, G231 - I231, 0)
</f>
        <v>21884.71725</v>
      </c>
      <c r="I231" s="16">
        <f>IF(D231&lt;=mortTerm, F231 - J231, 0)
</f>
        <v>4082.971413</v>
      </c>
      <c r="J231" s="16">
        <f>IF(D231&lt;=mortTerm,
   F231*(1+mortRate/12)^12 - (-PMT(mortRate/12, mortTerm*12, C231))*(((1+mortRate/12)^12 - 1)/(mortRate/12)),
   0
)
</f>
        <v>334454.4465</v>
      </c>
      <c r="K231" s="13">
        <f>IFERROR(__xludf.DUMMYFUNCTION("IF(A231="""","""",
   IF(F231&gt;0,
      INDEX(FILTER('RE Portfolio'!L$2:L2000,'RE Portfolio'!D$2:D2000=""BUY""), INT((ROW()-2)/amortYears)+1) - G231,
      INDEX(FILTER('RE Portfolio'!L$2:L2000,'RE Portfolio'!D$2:D2000=""BUY""), INT((ROW()-2)/amortYears)+1"&amp;")
   )
)
"),7994.830924441409)</f>
        <v>7994.830924</v>
      </c>
      <c r="L231" s="15">
        <f>IFERROR(__xludf.DUMMYFUNCTION("IF(A231="""","""",
  INDEX(FILTER('RE Portfolio'!C$2:C2000,'RE Portfolio'!D$2:D2000=""BUY""), INT((ROW()-2)/amortYears)+1)
  * (1 + VALUE(Assumptions!$B$11))^(D231-1)
)
"),474744.89748724777)</f>
        <v>474744.8975</v>
      </c>
    </row>
    <row r="232">
      <c r="A232" s="15">
        <f>IFERROR(__xludf.DUMMYFUNCTION("IFERROR(INDEX(FILTER('RE Portfolio'!A$2:A2000,'RE Portfolio'!D$2:D2000=""BUY""), INT((ROW()-2)/amortYears)+1), )
"),7.0)</f>
        <v>7</v>
      </c>
      <c r="B232" s="15">
        <f>IFERROR(__xludf.DUMMYFUNCTION("IFERROR(INDEX(FILTER('RE Portfolio'!B$2:B2000,'RE Portfolio'!D$2:D2000=""BUY""), INT((ROW()-2)/amortYears)+1), )
"),41.0)</f>
        <v>41</v>
      </c>
      <c r="C232" s="15">
        <f>IFERROR(__xludf.DUMMYFUNCTION("IFERROR(INDEX(FILTER('RE Portfolio'!G$2:G2000,'RE Portfolio'!D$2:D2000=""BUY""), INT((ROW()-2)/amortYears)+1), )
"),342364.10876484215)</f>
        <v>342364.1088</v>
      </c>
      <c r="D232" s="15">
        <f>MOD(ROW()-2, amortYears)+1</f>
        <v>3</v>
      </c>
      <c r="E232" s="15">
        <f t="shared" si="1"/>
        <v>43</v>
      </c>
      <c r="F232" s="16">
        <f t="shared" si="2"/>
        <v>334454.4465</v>
      </c>
      <c r="G232" s="16">
        <f>IF(D232&lt;=mortTerm, -PMT(mortRate/12, mortTerm*12, C232)*12, 0)
</f>
        <v>25967.68867</v>
      </c>
      <c r="H232" s="16">
        <f>IF(D232&lt;=mortTerm, G232 - I232, 0)
</f>
        <v>21611.27309</v>
      </c>
      <c r="I232" s="16">
        <f>IF(D232&lt;=mortTerm, F232 - J232, 0)
</f>
        <v>4356.41557</v>
      </c>
      <c r="J232" s="16">
        <f>IF(D232&lt;=mortTerm,
   F232*(1+mortRate/12)^12 - (-PMT(mortRate/12, mortTerm*12, C232))*(((1+mortRate/12)^12 - 1)/(mortRate/12)),
   0
)
</f>
        <v>330098.0309</v>
      </c>
      <c r="K232" s="13">
        <f>IFERROR(__xludf.DUMMYFUNCTION("IF(A232="""","""",
   IF(F232&gt;0,
      INDEX(FILTER('RE Portfolio'!L$2:L2000,'RE Portfolio'!D$2:D2000=""BUY""), INT((ROW()-2)/amortYears)+1) - G232,
      INDEX(FILTER('RE Portfolio'!L$2:L2000,'RE Portfolio'!D$2:D2000=""BUY""), INT((ROW()-2)/amortYears)+1"&amp;")
   )
)
"),7994.830924441409)</f>
        <v>7994.830924</v>
      </c>
      <c r="L232" s="15">
        <f>IFERROR(__xludf.DUMMYFUNCTION("IF(A232="""","""",
  INDEX(FILTER('RE Portfolio'!C$2:C2000,'RE Portfolio'!D$2:D2000=""BUY""), INT((ROW()-2)/amortYears)+1)
  * (1 + VALUE(Assumptions!$B$11))^(D232-1)
)
"),493734.6933867377)</f>
        <v>493734.6934</v>
      </c>
    </row>
    <row r="233">
      <c r="A233" s="15">
        <f>IFERROR(__xludf.DUMMYFUNCTION("IFERROR(INDEX(FILTER('RE Portfolio'!A$2:A2000,'RE Portfolio'!D$2:D2000=""BUY""), INT((ROW()-2)/amortYears)+1), )
"),7.0)</f>
        <v>7</v>
      </c>
      <c r="B233" s="15">
        <f>IFERROR(__xludf.DUMMYFUNCTION("IFERROR(INDEX(FILTER('RE Portfolio'!B$2:B2000,'RE Portfolio'!D$2:D2000=""BUY""), INT((ROW()-2)/amortYears)+1), )
"),41.0)</f>
        <v>41</v>
      </c>
      <c r="C233" s="15">
        <f>IFERROR(__xludf.DUMMYFUNCTION("IFERROR(INDEX(FILTER('RE Portfolio'!G$2:G2000,'RE Portfolio'!D$2:D2000=""BUY""), INT((ROW()-2)/amortYears)+1), )
"),342364.10876484215)</f>
        <v>342364.1088</v>
      </c>
      <c r="D233" s="15">
        <f>MOD(ROW()-2, amortYears)+1</f>
        <v>4</v>
      </c>
      <c r="E233" s="15">
        <f t="shared" si="1"/>
        <v>44</v>
      </c>
      <c r="F233" s="16">
        <f t="shared" si="2"/>
        <v>330098.0309</v>
      </c>
      <c r="G233" s="16">
        <f>IF(D233&lt;=mortTerm, -PMT(mortRate/12, mortTerm*12, C233)*12, 0)
</f>
        <v>25967.68867</v>
      </c>
      <c r="H233" s="16">
        <f>IF(D233&lt;=mortTerm, G233 - I233, 0)
</f>
        <v>21319.51588</v>
      </c>
      <c r="I233" s="16">
        <f>IF(D233&lt;=mortTerm, F233 - J233, 0)
</f>
        <v>4648.172789</v>
      </c>
      <c r="J233" s="16">
        <f>IF(D233&lt;=mortTerm,
   F233*(1+mortRate/12)^12 - (-PMT(mortRate/12, mortTerm*12, C233))*(((1+mortRate/12)^12 - 1)/(mortRate/12)),
   0
)
</f>
        <v>325449.8582</v>
      </c>
      <c r="K233" s="13">
        <f>IFERROR(__xludf.DUMMYFUNCTION("IF(A233="""","""",
   IF(F233&gt;0,
      INDEX(FILTER('RE Portfolio'!L$2:L2000,'RE Portfolio'!D$2:D2000=""BUY""), INT((ROW()-2)/amortYears)+1) - G233,
      INDEX(FILTER('RE Portfolio'!L$2:L2000,'RE Portfolio'!D$2:D2000=""BUY""), INT((ROW()-2)/amortYears)+1"&amp;")
   )
)
"),7994.830924441409)</f>
        <v>7994.830924</v>
      </c>
      <c r="L233" s="15">
        <f>IFERROR(__xludf.DUMMYFUNCTION("IF(A233="""","""",
  INDEX(FILTER('RE Portfolio'!C$2:C2000,'RE Portfolio'!D$2:D2000=""BUY""), INT((ROW()-2)/amortYears)+1)
  * (1 + VALUE(Assumptions!$B$11))^(D233-1)
)
"),513484.0811222072)</f>
        <v>513484.0811</v>
      </c>
    </row>
    <row r="234">
      <c r="A234" s="15">
        <f>IFERROR(__xludf.DUMMYFUNCTION("IFERROR(INDEX(FILTER('RE Portfolio'!A$2:A2000,'RE Portfolio'!D$2:D2000=""BUY""), INT((ROW()-2)/amortYears)+1), )
"),7.0)</f>
        <v>7</v>
      </c>
      <c r="B234" s="15">
        <f>IFERROR(__xludf.DUMMYFUNCTION("IFERROR(INDEX(FILTER('RE Portfolio'!B$2:B2000,'RE Portfolio'!D$2:D2000=""BUY""), INT((ROW()-2)/amortYears)+1), )
"),41.0)</f>
        <v>41</v>
      </c>
      <c r="C234" s="15">
        <f>IFERROR(__xludf.DUMMYFUNCTION("IFERROR(INDEX(FILTER('RE Portfolio'!G$2:G2000,'RE Portfolio'!D$2:D2000=""BUY""), INT((ROW()-2)/amortYears)+1), )
"),342364.10876484215)</f>
        <v>342364.1088</v>
      </c>
      <c r="D234" s="15">
        <f>MOD(ROW()-2, amortYears)+1</f>
        <v>5</v>
      </c>
      <c r="E234" s="15">
        <f t="shared" si="1"/>
        <v>45</v>
      </c>
      <c r="F234" s="16">
        <f t="shared" si="2"/>
        <v>325449.8582</v>
      </c>
      <c r="G234" s="16">
        <f>IF(D234&lt;=mortTerm, -PMT(mortRate/12, mortTerm*12, C234)*12, 0)
</f>
        <v>25967.68867</v>
      </c>
      <c r="H234" s="16">
        <f>IF(D234&lt;=mortTerm, G234 - I234, 0)
</f>
        <v>21008.21914</v>
      </c>
      <c r="I234" s="16">
        <f>IF(D234&lt;=mortTerm, F234 - J234, 0)
</f>
        <v>4959.469529</v>
      </c>
      <c r="J234" s="16">
        <f>IF(D234&lt;=mortTerm,
   F234*(1+mortRate/12)^12 - (-PMT(mortRate/12, mortTerm*12, C234))*(((1+mortRate/12)^12 - 1)/(mortRate/12)),
   0
)
</f>
        <v>320490.3886</v>
      </c>
      <c r="K234" s="13">
        <f>IFERROR(__xludf.DUMMYFUNCTION("IF(A234="""","""",
   IF(F234&gt;0,
      INDEX(FILTER('RE Portfolio'!L$2:L2000,'RE Portfolio'!D$2:D2000=""BUY""), INT((ROW()-2)/amortYears)+1) - G234,
      INDEX(FILTER('RE Portfolio'!L$2:L2000,'RE Portfolio'!D$2:D2000=""BUY""), INT((ROW()-2)/amortYears)+1"&amp;")
   )
)
"),7994.830924441409)</f>
        <v>7994.830924</v>
      </c>
      <c r="L234" s="15">
        <f>IFERROR(__xludf.DUMMYFUNCTION("IF(A234="""","""",
  INDEX(FILTER('RE Portfolio'!C$2:C2000,'RE Portfolio'!D$2:D2000=""BUY""), INT((ROW()-2)/amortYears)+1)
  * (1 + VALUE(Assumptions!$B$11))^(D234-1)
)
"),534023.4443670956)</f>
        <v>534023.4444</v>
      </c>
    </row>
    <row r="235">
      <c r="A235" s="15">
        <f>IFERROR(__xludf.DUMMYFUNCTION("IFERROR(INDEX(FILTER('RE Portfolio'!A$2:A2000,'RE Portfolio'!D$2:D2000=""BUY""), INT((ROW()-2)/amortYears)+1), )
"),7.0)</f>
        <v>7</v>
      </c>
      <c r="B235" s="15">
        <f>IFERROR(__xludf.DUMMYFUNCTION("IFERROR(INDEX(FILTER('RE Portfolio'!B$2:B2000,'RE Portfolio'!D$2:D2000=""BUY""), INT((ROW()-2)/amortYears)+1), )
"),41.0)</f>
        <v>41</v>
      </c>
      <c r="C235" s="15">
        <f>IFERROR(__xludf.DUMMYFUNCTION("IFERROR(INDEX(FILTER('RE Portfolio'!G$2:G2000,'RE Portfolio'!D$2:D2000=""BUY""), INT((ROW()-2)/amortYears)+1), )
"),342364.10876484215)</f>
        <v>342364.1088</v>
      </c>
      <c r="D235" s="15">
        <f>MOD(ROW()-2, amortYears)+1</f>
        <v>6</v>
      </c>
      <c r="E235" s="15">
        <f t="shared" si="1"/>
        <v>46</v>
      </c>
      <c r="F235" s="16">
        <f t="shared" si="2"/>
        <v>320490.3886</v>
      </c>
      <c r="G235" s="16">
        <f>IF(D235&lt;=mortTerm, -PMT(mortRate/12, mortTerm*12, C235)*12, 0)
</f>
        <v>25967.68867</v>
      </c>
      <c r="H235" s="16">
        <f>IF(D235&lt;=mortTerm, G235 - I235, 0)
</f>
        <v>20676.07428</v>
      </c>
      <c r="I235" s="16">
        <f>IF(D235&lt;=mortTerm, F235 - J235, 0)
</f>
        <v>5291.614388</v>
      </c>
      <c r="J235" s="16">
        <f>IF(D235&lt;=mortTerm,
   F235*(1+mortRate/12)^12 - (-PMT(mortRate/12, mortTerm*12, C235))*(((1+mortRate/12)^12 - 1)/(mortRate/12)),
   0
)
</f>
        <v>315198.7742</v>
      </c>
      <c r="K235" s="13">
        <f>IFERROR(__xludf.DUMMYFUNCTION("IF(A235="""","""",
   IF(F235&gt;0,
      INDEX(FILTER('RE Portfolio'!L$2:L2000,'RE Portfolio'!D$2:D2000=""BUY""), INT((ROW()-2)/amortYears)+1) - G235,
      INDEX(FILTER('RE Portfolio'!L$2:L2000,'RE Portfolio'!D$2:D2000=""BUY""), INT((ROW()-2)/amortYears)+1"&amp;")
   )
)
"),7994.830924441409)</f>
        <v>7994.830924</v>
      </c>
      <c r="L235" s="15">
        <f>IFERROR(__xludf.DUMMYFUNCTION("IF(A235="""","""",
  INDEX(FILTER('RE Portfolio'!C$2:C2000,'RE Portfolio'!D$2:D2000=""BUY""), INT((ROW()-2)/amortYears)+1)
  * (1 + VALUE(Assumptions!$B$11))^(D235-1)
)
"),555384.3821417793)</f>
        <v>555384.3821</v>
      </c>
    </row>
    <row r="236">
      <c r="A236" s="15">
        <f>IFERROR(__xludf.DUMMYFUNCTION("IFERROR(INDEX(FILTER('RE Portfolio'!A$2:A2000,'RE Portfolio'!D$2:D2000=""BUY""), INT((ROW()-2)/amortYears)+1), )
"),7.0)</f>
        <v>7</v>
      </c>
      <c r="B236" s="15">
        <f>IFERROR(__xludf.DUMMYFUNCTION("IFERROR(INDEX(FILTER('RE Portfolio'!B$2:B2000,'RE Portfolio'!D$2:D2000=""BUY""), INT((ROW()-2)/amortYears)+1), )
"),41.0)</f>
        <v>41</v>
      </c>
      <c r="C236" s="15">
        <f>IFERROR(__xludf.DUMMYFUNCTION("IFERROR(INDEX(FILTER('RE Portfolio'!G$2:G2000,'RE Portfolio'!D$2:D2000=""BUY""), INT((ROW()-2)/amortYears)+1), )
"),342364.10876484215)</f>
        <v>342364.1088</v>
      </c>
      <c r="D236" s="15">
        <f>MOD(ROW()-2, amortYears)+1</f>
        <v>7</v>
      </c>
      <c r="E236" s="15">
        <f t="shared" si="1"/>
        <v>47</v>
      </c>
      <c r="F236" s="16">
        <f t="shared" si="2"/>
        <v>315198.7742</v>
      </c>
      <c r="G236" s="16">
        <f>IF(D236&lt;=mortTerm, -PMT(mortRate/12, mortTerm*12, C236)*12, 0)
</f>
        <v>25967.68867</v>
      </c>
      <c r="H236" s="16">
        <f>IF(D236&lt;=mortTerm, G236 - I236, 0)
</f>
        <v>20321.68506</v>
      </c>
      <c r="I236" s="16">
        <f>IF(D236&lt;=mortTerm, F236 - J236, 0)
</f>
        <v>5646.003604</v>
      </c>
      <c r="J236" s="16">
        <f>IF(D236&lt;=mortTerm,
   F236*(1+mortRate/12)^12 - (-PMT(mortRate/12, mortTerm*12, C236))*(((1+mortRate/12)^12 - 1)/(mortRate/12)),
   0
)
</f>
        <v>309552.7706</v>
      </c>
      <c r="K236" s="13">
        <f>IFERROR(__xludf.DUMMYFUNCTION("IF(A236="""","""",
   IF(F236&gt;0,
      INDEX(FILTER('RE Portfolio'!L$2:L2000,'RE Portfolio'!D$2:D2000=""BUY""), INT((ROW()-2)/amortYears)+1) - G236,
      INDEX(FILTER('RE Portfolio'!L$2:L2000,'RE Portfolio'!D$2:D2000=""BUY""), INT((ROW()-2)/amortYears)+1"&amp;")
   )
)
"),7994.830924441409)</f>
        <v>7994.830924</v>
      </c>
      <c r="L236" s="15">
        <f>IFERROR(__xludf.DUMMYFUNCTION("IF(A236="""","""",
  INDEX(FILTER('RE Portfolio'!C$2:C2000,'RE Portfolio'!D$2:D2000=""BUY""), INT((ROW()-2)/amortYears)+1)
  * (1 + VALUE(Assumptions!$B$11))^(D236-1)
)
"),577599.7574274506)</f>
        <v>577599.7574</v>
      </c>
    </row>
    <row r="237">
      <c r="A237" s="15">
        <f>IFERROR(__xludf.DUMMYFUNCTION("IFERROR(INDEX(FILTER('RE Portfolio'!A$2:A2000,'RE Portfolio'!D$2:D2000=""BUY""), INT((ROW()-2)/amortYears)+1), )
"),7.0)</f>
        <v>7</v>
      </c>
      <c r="B237" s="15">
        <f>IFERROR(__xludf.DUMMYFUNCTION("IFERROR(INDEX(FILTER('RE Portfolio'!B$2:B2000,'RE Portfolio'!D$2:D2000=""BUY""), INT((ROW()-2)/amortYears)+1), )
"),41.0)</f>
        <v>41</v>
      </c>
      <c r="C237" s="15">
        <f>IFERROR(__xludf.DUMMYFUNCTION("IFERROR(INDEX(FILTER('RE Portfolio'!G$2:G2000,'RE Portfolio'!D$2:D2000=""BUY""), INT((ROW()-2)/amortYears)+1), )
"),342364.10876484215)</f>
        <v>342364.1088</v>
      </c>
      <c r="D237" s="15">
        <f>MOD(ROW()-2, amortYears)+1</f>
        <v>8</v>
      </c>
      <c r="E237" s="15">
        <f t="shared" si="1"/>
        <v>48</v>
      </c>
      <c r="F237" s="16">
        <f t="shared" si="2"/>
        <v>309552.7706</v>
      </c>
      <c r="G237" s="16">
        <f>IF(D237&lt;=mortTerm, -PMT(mortRate/12, mortTerm*12, C237)*12, 0)
</f>
        <v>25967.68867</v>
      </c>
      <c r="H237" s="16">
        <f>IF(D237&lt;=mortTerm, G237 - I237, 0)
</f>
        <v>19943.56174</v>
      </c>
      <c r="I237" s="16">
        <f>IF(D237&lt;=mortTerm, F237 - J237, 0)
</f>
        <v>6024.126922</v>
      </c>
      <c r="J237" s="16">
        <f>IF(D237&lt;=mortTerm,
   F237*(1+mortRate/12)^12 - (-PMT(mortRate/12, mortTerm*12, C237))*(((1+mortRate/12)^12 - 1)/(mortRate/12)),
   0
)
</f>
        <v>303528.6437</v>
      </c>
      <c r="K237" s="13">
        <f>IFERROR(__xludf.DUMMYFUNCTION("IF(A237="""","""",
   IF(F237&gt;0,
      INDEX(FILTER('RE Portfolio'!L$2:L2000,'RE Portfolio'!D$2:D2000=""BUY""), INT((ROW()-2)/amortYears)+1) - G237,
      INDEX(FILTER('RE Portfolio'!L$2:L2000,'RE Portfolio'!D$2:D2000=""BUY""), INT((ROW()-2)/amortYears)+1"&amp;")
   )
)
"),7994.830924441409)</f>
        <v>7994.830924</v>
      </c>
      <c r="L237" s="15">
        <f>IFERROR(__xludf.DUMMYFUNCTION("IF(A237="""","""",
  INDEX(FILTER('RE Portfolio'!C$2:C2000,'RE Portfolio'!D$2:D2000=""BUY""), INT((ROW()-2)/amortYears)+1)
  * (1 + VALUE(Assumptions!$B$11))^(D237-1)
)
"),600703.7477245486)</f>
        <v>600703.7477</v>
      </c>
    </row>
    <row r="238">
      <c r="A238" s="15">
        <f>IFERROR(__xludf.DUMMYFUNCTION("IFERROR(INDEX(FILTER('RE Portfolio'!A$2:A2000,'RE Portfolio'!D$2:D2000=""BUY""), INT((ROW()-2)/amortYears)+1), )
"),7.0)</f>
        <v>7</v>
      </c>
      <c r="B238" s="15">
        <f>IFERROR(__xludf.DUMMYFUNCTION("IFERROR(INDEX(FILTER('RE Portfolio'!B$2:B2000,'RE Portfolio'!D$2:D2000=""BUY""), INT((ROW()-2)/amortYears)+1), )
"),41.0)</f>
        <v>41</v>
      </c>
      <c r="C238" s="15">
        <f>IFERROR(__xludf.DUMMYFUNCTION("IFERROR(INDEX(FILTER('RE Portfolio'!G$2:G2000,'RE Portfolio'!D$2:D2000=""BUY""), INT((ROW()-2)/amortYears)+1), )
"),342364.10876484215)</f>
        <v>342364.1088</v>
      </c>
      <c r="D238" s="15">
        <f>MOD(ROW()-2, amortYears)+1</f>
        <v>9</v>
      </c>
      <c r="E238" s="15">
        <f t="shared" si="1"/>
        <v>49</v>
      </c>
      <c r="F238" s="16">
        <f t="shared" si="2"/>
        <v>303528.6437</v>
      </c>
      <c r="G238" s="16">
        <f>IF(D238&lt;=mortTerm, -PMT(mortRate/12, mortTerm*12, C238)*12, 0)
</f>
        <v>25967.68867</v>
      </c>
      <c r="H238" s="16">
        <f>IF(D238&lt;=mortTerm, G238 - I238, 0)
</f>
        <v>19540.11481</v>
      </c>
      <c r="I238" s="16">
        <f>IF(D238&lt;=mortTerm, F238 - J238, 0)
</f>
        <v>6427.573858</v>
      </c>
      <c r="J238" s="16">
        <f>IF(D238&lt;=mortTerm,
   F238*(1+mortRate/12)^12 - (-PMT(mortRate/12, mortTerm*12, C238))*(((1+mortRate/12)^12 - 1)/(mortRate/12)),
   0
)
</f>
        <v>297101.0699</v>
      </c>
      <c r="K238" s="13">
        <f>IFERROR(__xludf.DUMMYFUNCTION("IF(A238="""","""",
   IF(F238&gt;0,
      INDEX(FILTER('RE Portfolio'!L$2:L2000,'RE Portfolio'!D$2:D2000=""BUY""), INT((ROW()-2)/amortYears)+1) - G238,
      INDEX(FILTER('RE Portfolio'!L$2:L2000,'RE Portfolio'!D$2:D2000=""BUY""), INT((ROW()-2)/amortYears)+1"&amp;")
   )
)
"),7994.830924441409)</f>
        <v>7994.830924</v>
      </c>
      <c r="L238" s="15">
        <f>IFERROR(__xludf.DUMMYFUNCTION("IF(A238="""","""",
  INDEX(FILTER('RE Portfolio'!C$2:C2000,'RE Portfolio'!D$2:D2000=""BUY""), INT((ROW()-2)/amortYears)+1)
  * (1 + VALUE(Assumptions!$B$11))^(D238-1)
)
"),624731.8976335305)</f>
        <v>624731.8976</v>
      </c>
    </row>
    <row r="239">
      <c r="A239" s="15">
        <f>IFERROR(__xludf.DUMMYFUNCTION("IFERROR(INDEX(FILTER('RE Portfolio'!A$2:A2000,'RE Portfolio'!D$2:D2000=""BUY""), INT((ROW()-2)/amortYears)+1), )
"),7.0)</f>
        <v>7</v>
      </c>
      <c r="B239" s="15">
        <f>IFERROR(__xludf.DUMMYFUNCTION("IFERROR(INDEX(FILTER('RE Portfolio'!B$2:B2000,'RE Portfolio'!D$2:D2000=""BUY""), INT((ROW()-2)/amortYears)+1), )
"),41.0)</f>
        <v>41</v>
      </c>
      <c r="C239" s="15">
        <f>IFERROR(__xludf.DUMMYFUNCTION("IFERROR(INDEX(FILTER('RE Portfolio'!G$2:G2000,'RE Portfolio'!D$2:D2000=""BUY""), INT((ROW()-2)/amortYears)+1), )
"),342364.10876484215)</f>
        <v>342364.1088</v>
      </c>
      <c r="D239" s="15">
        <f>MOD(ROW()-2, amortYears)+1</f>
        <v>10</v>
      </c>
      <c r="E239" s="15">
        <f t="shared" si="1"/>
        <v>50</v>
      </c>
      <c r="F239" s="16">
        <f t="shared" si="2"/>
        <v>297101.0699</v>
      </c>
      <c r="G239" s="16">
        <f>IF(D239&lt;=mortTerm, -PMT(mortRate/12, mortTerm*12, C239)*12, 0)
</f>
        <v>25967.68867</v>
      </c>
      <c r="H239" s="16">
        <f>IF(D239&lt;=mortTerm, G239 - I239, 0)
</f>
        <v>19109.64828</v>
      </c>
      <c r="I239" s="16">
        <f>IF(D239&lt;=mortTerm, F239 - J239, 0)
</f>
        <v>6858.040384</v>
      </c>
      <c r="J239" s="16">
        <f>IF(D239&lt;=mortTerm,
   F239*(1+mortRate/12)^12 - (-PMT(mortRate/12, mortTerm*12, C239))*(((1+mortRate/12)^12 - 1)/(mortRate/12)),
   0
)
</f>
        <v>290243.0295</v>
      </c>
      <c r="K239" s="13">
        <f>IFERROR(__xludf.DUMMYFUNCTION("IF(A239="""","""",
   IF(F239&gt;0,
      INDEX(FILTER('RE Portfolio'!L$2:L2000,'RE Portfolio'!D$2:D2000=""BUY""), INT((ROW()-2)/amortYears)+1) - G239,
      INDEX(FILTER('RE Portfolio'!L$2:L2000,'RE Portfolio'!D$2:D2000=""BUY""), INT((ROW()-2)/amortYears)+1"&amp;")
   )
)
"),7994.830924441409)</f>
        <v>7994.830924</v>
      </c>
      <c r="L239" s="15">
        <f>IFERROR(__xludf.DUMMYFUNCTION("IF(A239="""","""",
  INDEX(FILTER('RE Portfolio'!C$2:C2000,'RE Portfolio'!D$2:D2000=""BUY""), INT((ROW()-2)/amortYears)+1)
  * (1 + VALUE(Assumptions!$B$11))^(D239-1)
)
"),649721.1735388718)</f>
        <v>649721.1735</v>
      </c>
    </row>
    <row r="240">
      <c r="A240" s="15">
        <f>IFERROR(__xludf.DUMMYFUNCTION("IFERROR(INDEX(FILTER('RE Portfolio'!A$2:A2000,'RE Portfolio'!D$2:D2000=""BUY""), INT((ROW()-2)/amortYears)+1), )
"),7.0)</f>
        <v>7</v>
      </c>
      <c r="B240" s="15">
        <f>IFERROR(__xludf.DUMMYFUNCTION("IFERROR(INDEX(FILTER('RE Portfolio'!B$2:B2000,'RE Portfolio'!D$2:D2000=""BUY""), INT((ROW()-2)/amortYears)+1), )
"),41.0)</f>
        <v>41</v>
      </c>
      <c r="C240" s="15">
        <f>IFERROR(__xludf.DUMMYFUNCTION("IFERROR(INDEX(FILTER('RE Portfolio'!G$2:G2000,'RE Portfolio'!D$2:D2000=""BUY""), INT((ROW()-2)/amortYears)+1), )
"),342364.10876484215)</f>
        <v>342364.1088</v>
      </c>
      <c r="D240" s="15">
        <f>MOD(ROW()-2, amortYears)+1</f>
        <v>11</v>
      </c>
      <c r="E240" s="15">
        <f t="shared" si="1"/>
        <v>51</v>
      </c>
      <c r="F240" s="16">
        <f t="shared" si="2"/>
        <v>290243.0295</v>
      </c>
      <c r="G240" s="16">
        <f>IF(D240&lt;=mortTerm, -PMT(mortRate/12, mortTerm*12, C240)*12, 0)
</f>
        <v>25967.68867</v>
      </c>
      <c r="H240" s="16">
        <f>IF(D240&lt;=mortTerm, G240 - I240, 0)
</f>
        <v>18650.35262</v>
      </c>
      <c r="I240" s="16">
        <f>IF(D240&lt;=mortTerm, F240 - J240, 0)
</f>
        <v>7317.336049</v>
      </c>
      <c r="J240" s="16">
        <f>IF(D240&lt;=mortTerm,
   F240*(1+mortRate/12)^12 - (-PMT(mortRate/12, mortTerm*12, C240))*(((1+mortRate/12)^12 - 1)/(mortRate/12)),
   0
)
</f>
        <v>282925.6934</v>
      </c>
      <c r="K240" s="13">
        <f>IFERROR(__xludf.DUMMYFUNCTION("IF(A240="""","""",
   IF(F240&gt;0,
      INDEX(FILTER('RE Portfolio'!L$2:L2000,'RE Portfolio'!D$2:D2000=""BUY""), INT((ROW()-2)/amortYears)+1) - G240,
      INDEX(FILTER('RE Portfolio'!L$2:L2000,'RE Portfolio'!D$2:D2000=""BUY""), INT((ROW()-2)/amortYears)+1"&amp;")
   )
)
"),7994.830924441409)</f>
        <v>7994.830924</v>
      </c>
      <c r="L240" s="15">
        <f>IFERROR(__xludf.DUMMYFUNCTION("IF(A240="""","""",
  INDEX(FILTER('RE Portfolio'!C$2:C2000,'RE Portfolio'!D$2:D2000=""BUY""), INT((ROW()-2)/amortYears)+1)
  * (1 + VALUE(Assumptions!$B$11))^(D240-1)
)
"),675710.0204804267)</f>
        <v>675710.0205</v>
      </c>
    </row>
    <row r="241">
      <c r="A241" s="15">
        <f>IFERROR(__xludf.DUMMYFUNCTION("IFERROR(INDEX(FILTER('RE Portfolio'!A$2:A2000,'RE Portfolio'!D$2:D2000=""BUY""), INT((ROW()-2)/amortYears)+1), )
"),7.0)</f>
        <v>7</v>
      </c>
      <c r="B241" s="15">
        <f>IFERROR(__xludf.DUMMYFUNCTION("IFERROR(INDEX(FILTER('RE Portfolio'!B$2:B2000,'RE Portfolio'!D$2:D2000=""BUY""), INT((ROW()-2)/amortYears)+1), )
"),41.0)</f>
        <v>41</v>
      </c>
      <c r="C241" s="15">
        <f>IFERROR(__xludf.DUMMYFUNCTION("IFERROR(INDEX(FILTER('RE Portfolio'!G$2:G2000,'RE Portfolio'!D$2:D2000=""BUY""), INT((ROW()-2)/amortYears)+1), )
"),342364.10876484215)</f>
        <v>342364.1088</v>
      </c>
      <c r="D241" s="15">
        <f>MOD(ROW()-2, amortYears)+1</f>
        <v>12</v>
      </c>
      <c r="E241" s="15">
        <f t="shared" si="1"/>
        <v>52</v>
      </c>
      <c r="F241" s="16">
        <f t="shared" si="2"/>
        <v>282925.6934</v>
      </c>
      <c r="G241" s="16">
        <f>IF(D241&lt;=mortTerm, -PMT(mortRate/12, mortTerm*12, C241)*12, 0)
</f>
        <v>25967.68867</v>
      </c>
      <c r="H241" s="16">
        <f>IF(D241&lt;=mortTerm, G241 - I241, 0)
</f>
        <v>18160.29707</v>
      </c>
      <c r="I241" s="16">
        <f>IF(D241&lt;=mortTerm, F241 - J241, 0)
</f>
        <v>7807.391596</v>
      </c>
      <c r="J241" s="16">
        <f>IF(D241&lt;=mortTerm,
   F241*(1+mortRate/12)^12 - (-PMT(mortRate/12, mortTerm*12, C241))*(((1+mortRate/12)^12 - 1)/(mortRate/12)),
   0
)
</f>
        <v>275118.3018</v>
      </c>
      <c r="K241" s="13">
        <f>IFERROR(__xludf.DUMMYFUNCTION("IF(A241="""","""",
   IF(F241&gt;0,
      INDEX(FILTER('RE Portfolio'!L$2:L2000,'RE Portfolio'!D$2:D2000=""BUY""), INT((ROW()-2)/amortYears)+1) - G241,
      INDEX(FILTER('RE Portfolio'!L$2:L2000,'RE Portfolio'!D$2:D2000=""BUY""), INT((ROW()-2)/amortYears)+1"&amp;")
   )
)
"),7994.830924441409)</f>
        <v>7994.830924</v>
      </c>
      <c r="L241" s="15">
        <f>IFERROR(__xludf.DUMMYFUNCTION("IF(A241="""","""",
  INDEX(FILTER('RE Portfolio'!C$2:C2000,'RE Portfolio'!D$2:D2000=""BUY""), INT((ROW()-2)/amortYears)+1)
  * (1 + VALUE(Assumptions!$B$11))^(D241-1)
)
"),702738.4212996438)</f>
        <v>702738.4213</v>
      </c>
    </row>
    <row r="242">
      <c r="A242" s="15">
        <f>IFERROR(__xludf.DUMMYFUNCTION("IFERROR(INDEX(FILTER('RE Portfolio'!A$2:A2000,'RE Portfolio'!D$2:D2000=""BUY""), INT((ROW()-2)/amortYears)+1), )
"),7.0)</f>
        <v>7</v>
      </c>
      <c r="B242" s="15">
        <f>IFERROR(__xludf.DUMMYFUNCTION("IFERROR(INDEX(FILTER('RE Portfolio'!B$2:B2000,'RE Portfolio'!D$2:D2000=""BUY""), INT((ROW()-2)/amortYears)+1), )
"),41.0)</f>
        <v>41</v>
      </c>
      <c r="C242" s="15">
        <f>IFERROR(__xludf.DUMMYFUNCTION("IFERROR(INDEX(FILTER('RE Portfolio'!G$2:G2000,'RE Portfolio'!D$2:D2000=""BUY""), INT((ROW()-2)/amortYears)+1), )
"),342364.10876484215)</f>
        <v>342364.1088</v>
      </c>
      <c r="D242" s="15">
        <f>MOD(ROW()-2, amortYears)+1</f>
        <v>13</v>
      </c>
      <c r="E242" s="15">
        <f t="shared" si="1"/>
        <v>53</v>
      </c>
      <c r="F242" s="16">
        <f t="shared" si="2"/>
        <v>275118.3018</v>
      </c>
      <c r="G242" s="16">
        <f>IF(D242&lt;=mortTerm, -PMT(mortRate/12, mortTerm*12, C242)*12, 0)
</f>
        <v>25967.68867</v>
      </c>
      <c r="H242" s="16">
        <f>IF(D242&lt;=mortTerm, G242 - I242, 0)
</f>
        <v>17637.42159</v>
      </c>
      <c r="I242" s="16">
        <f>IF(D242&lt;=mortTerm, F242 - J242, 0)
</f>
        <v>8330.267071</v>
      </c>
      <c r="J242" s="16">
        <f>IF(D242&lt;=mortTerm,
   F242*(1+mortRate/12)^12 - (-PMT(mortRate/12, mortTerm*12, C242))*(((1+mortRate/12)^12 - 1)/(mortRate/12)),
   0
)
</f>
        <v>266788.0348</v>
      </c>
      <c r="K242" s="13">
        <f>IFERROR(__xludf.DUMMYFUNCTION("IF(A242="""","""",
   IF(F242&gt;0,
      INDEX(FILTER('RE Portfolio'!L$2:L2000,'RE Portfolio'!D$2:D2000=""BUY""), INT((ROW()-2)/amortYears)+1) - G242,
      INDEX(FILTER('RE Portfolio'!L$2:L2000,'RE Portfolio'!D$2:D2000=""BUY""), INT((ROW()-2)/amortYears)+1"&amp;")
   )
)
"),7994.830924441409)</f>
        <v>7994.830924</v>
      </c>
      <c r="L242" s="15">
        <f>IFERROR(__xludf.DUMMYFUNCTION("IF(A242="""","""",
  INDEX(FILTER('RE Portfolio'!C$2:C2000,'RE Portfolio'!D$2:D2000=""BUY""), INT((ROW()-2)/amortYears)+1)
  * (1 + VALUE(Assumptions!$B$11))^(D242-1)
)
"),730847.9581516297)</f>
        <v>730847.9582</v>
      </c>
    </row>
    <row r="243">
      <c r="A243" s="15">
        <f>IFERROR(__xludf.DUMMYFUNCTION("IFERROR(INDEX(FILTER('RE Portfolio'!A$2:A2000,'RE Portfolio'!D$2:D2000=""BUY""), INT((ROW()-2)/amortYears)+1), )
"),7.0)</f>
        <v>7</v>
      </c>
      <c r="B243" s="15">
        <f>IFERROR(__xludf.DUMMYFUNCTION("IFERROR(INDEX(FILTER('RE Portfolio'!B$2:B2000,'RE Portfolio'!D$2:D2000=""BUY""), INT((ROW()-2)/amortYears)+1), )
"),41.0)</f>
        <v>41</v>
      </c>
      <c r="C243" s="15">
        <f>IFERROR(__xludf.DUMMYFUNCTION("IFERROR(INDEX(FILTER('RE Portfolio'!G$2:G2000,'RE Portfolio'!D$2:D2000=""BUY""), INT((ROW()-2)/amortYears)+1), )
"),342364.10876484215)</f>
        <v>342364.1088</v>
      </c>
      <c r="D243" s="15">
        <f>MOD(ROW()-2, amortYears)+1</f>
        <v>14</v>
      </c>
      <c r="E243" s="15">
        <f t="shared" si="1"/>
        <v>54</v>
      </c>
      <c r="F243" s="16">
        <f t="shared" si="2"/>
        <v>266788.0348</v>
      </c>
      <c r="G243" s="16">
        <f>IF(D243&lt;=mortTerm, -PMT(mortRate/12, mortTerm*12, C243)*12, 0)
</f>
        <v>25967.68867</v>
      </c>
      <c r="H243" s="16">
        <f>IF(D243&lt;=mortTerm, G243 - I243, 0)
</f>
        <v>17079.52818</v>
      </c>
      <c r="I243" s="16">
        <f>IF(D243&lt;=mortTerm, F243 - J243, 0)
</f>
        <v>8888.160484</v>
      </c>
      <c r="J243" s="16">
        <f>IF(D243&lt;=mortTerm,
   F243*(1+mortRate/12)^12 - (-PMT(mortRate/12, mortTerm*12, C243))*(((1+mortRate/12)^12 - 1)/(mortRate/12)),
   0
)
</f>
        <v>257899.8743</v>
      </c>
      <c r="K243" s="13">
        <f>IFERROR(__xludf.DUMMYFUNCTION("IF(A243="""","""",
   IF(F243&gt;0,
      INDEX(FILTER('RE Portfolio'!L$2:L2000,'RE Portfolio'!D$2:D2000=""BUY""), INT((ROW()-2)/amortYears)+1) - G243,
      INDEX(FILTER('RE Portfolio'!L$2:L2000,'RE Portfolio'!D$2:D2000=""BUY""), INT((ROW()-2)/amortYears)+1"&amp;")
   )
)
"),7994.830924441409)</f>
        <v>7994.830924</v>
      </c>
      <c r="L243" s="15">
        <f>IFERROR(__xludf.DUMMYFUNCTION("IF(A243="""","""",
  INDEX(FILTER('RE Portfolio'!C$2:C2000,'RE Portfolio'!D$2:D2000=""BUY""), INT((ROW()-2)/amortYears)+1)
  * (1 + VALUE(Assumptions!$B$11))^(D243-1)
)
"),760081.8764776948)</f>
        <v>760081.8765</v>
      </c>
    </row>
    <row r="244">
      <c r="A244" s="15">
        <f>IFERROR(__xludf.DUMMYFUNCTION("IFERROR(INDEX(FILTER('RE Portfolio'!A$2:A2000,'RE Portfolio'!D$2:D2000=""BUY""), INT((ROW()-2)/amortYears)+1), )
"),7.0)</f>
        <v>7</v>
      </c>
      <c r="B244" s="15">
        <f>IFERROR(__xludf.DUMMYFUNCTION("IFERROR(INDEX(FILTER('RE Portfolio'!B$2:B2000,'RE Portfolio'!D$2:D2000=""BUY""), INT((ROW()-2)/amortYears)+1), )
"),41.0)</f>
        <v>41</v>
      </c>
      <c r="C244" s="15">
        <f>IFERROR(__xludf.DUMMYFUNCTION("IFERROR(INDEX(FILTER('RE Portfolio'!G$2:G2000,'RE Portfolio'!D$2:D2000=""BUY""), INT((ROW()-2)/amortYears)+1), )
"),342364.10876484215)</f>
        <v>342364.1088</v>
      </c>
      <c r="D244" s="15">
        <f>MOD(ROW()-2, amortYears)+1</f>
        <v>15</v>
      </c>
      <c r="E244" s="15">
        <f t="shared" si="1"/>
        <v>55</v>
      </c>
      <c r="F244" s="16">
        <f t="shared" si="2"/>
        <v>257899.8743</v>
      </c>
      <c r="G244" s="16">
        <f>IF(D244&lt;=mortTerm, -PMT(mortRate/12, mortTerm*12, C244)*12, 0)
</f>
        <v>25967.68867</v>
      </c>
      <c r="H244" s="16">
        <f>IF(D244&lt;=mortTerm, G244 - I244, 0)
</f>
        <v>16484.27161</v>
      </c>
      <c r="I244" s="16">
        <f>IF(D244&lt;=mortTerm, F244 - J244, 0)
</f>
        <v>9483.417052</v>
      </c>
      <c r="J244" s="16">
        <f>IF(D244&lt;=mortTerm,
   F244*(1+mortRate/12)^12 - (-PMT(mortRate/12, mortTerm*12, C244))*(((1+mortRate/12)^12 - 1)/(mortRate/12)),
   0
)
</f>
        <v>248416.4572</v>
      </c>
      <c r="K244" s="13">
        <f>IFERROR(__xludf.DUMMYFUNCTION("IF(A244="""","""",
   IF(F244&gt;0,
      INDEX(FILTER('RE Portfolio'!L$2:L2000,'RE Portfolio'!D$2:D2000=""BUY""), INT((ROW()-2)/amortYears)+1) - G244,
      INDEX(FILTER('RE Portfolio'!L$2:L2000,'RE Portfolio'!D$2:D2000=""BUY""), INT((ROW()-2)/amortYears)+1"&amp;")
   )
)
"),7994.830924441409)</f>
        <v>7994.830924</v>
      </c>
      <c r="L244" s="15">
        <f>IFERROR(__xludf.DUMMYFUNCTION("IF(A244="""","""",
  INDEX(FILTER('RE Portfolio'!C$2:C2000,'RE Portfolio'!D$2:D2000=""BUY""), INT((ROW()-2)/amortYears)+1)
  * (1 + VALUE(Assumptions!$B$11))^(D244-1)
)
"),790485.1515368026)</f>
        <v>790485.1515</v>
      </c>
    </row>
    <row r="245">
      <c r="A245" s="15">
        <f>IFERROR(__xludf.DUMMYFUNCTION("IFERROR(INDEX(FILTER('RE Portfolio'!A$2:A2000,'RE Portfolio'!D$2:D2000=""BUY""), INT((ROW()-2)/amortYears)+1), )
"),7.0)</f>
        <v>7</v>
      </c>
      <c r="B245" s="15">
        <f>IFERROR(__xludf.DUMMYFUNCTION("IFERROR(INDEX(FILTER('RE Portfolio'!B$2:B2000,'RE Portfolio'!D$2:D2000=""BUY""), INT((ROW()-2)/amortYears)+1), )
"),41.0)</f>
        <v>41</v>
      </c>
      <c r="C245" s="15">
        <f>IFERROR(__xludf.DUMMYFUNCTION("IFERROR(INDEX(FILTER('RE Portfolio'!G$2:G2000,'RE Portfolio'!D$2:D2000=""BUY""), INT((ROW()-2)/amortYears)+1), )
"),342364.10876484215)</f>
        <v>342364.1088</v>
      </c>
      <c r="D245" s="15">
        <f>MOD(ROW()-2, amortYears)+1</f>
        <v>16</v>
      </c>
      <c r="E245" s="15">
        <f t="shared" si="1"/>
        <v>56</v>
      </c>
      <c r="F245" s="16">
        <f t="shared" si="2"/>
        <v>248416.4572</v>
      </c>
      <c r="G245" s="16">
        <f>IF(D245&lt;=mortTerm, -PMT(mortRate/12, mortTerm*12, C245)*12, 0)
</f>
        <v>25967.68867</v>
      </c>
      <c r="H245" s="16">
        <f>IF(D245&lt;=mortTerm, G245 - I245, 0)
</f>
        <v>15849.14961</v>
      </c>
      <c r="I245" s="16">
        <f>IF(D245&lt;=mortTerm, F245 - J245, 0)
</f>
        <v>10118.53906</v>
      </c>
      <c r="J245" s="16">
        <f>IF(D245&lt;=mortTerm,
   F245*(1+mortRate/12)^12 - (-PMT(mortRate/12, mortTerm*12, C245))*(((1+mortRate/12)^12 - 1)/(mortRate/12)),
   0
)
</f>
        <v>238297.9182</v>
      </c>
      <c r="K245" s="13">
        <f>IFERROR(__xludf.DUMMYFUNCTION("IF(A245="""","""",
   IF(F245&gt;0,
      INDEX(FILTER('RE Portfolio'!L$2:L2000,'RE Portfolio'!D$2:D2000=""BUY""), INT((ROW()-2)/amortYears)+1) - G245,
      INDEX(FILTER('RE Portfolio'!L$2:L2000,'RE Portfolio'!D$2:D2000=""BUY""), INT((ROW()-2)/amortYears)+1"&amp;")
   )
)
"),7994.830924441409)</f>
        <v>7994.830924</v>
      </c>
      <c r="L245" s="15">
        <f>IFERROR(__xludf.DUMMYFUNCTION("IF(A245="""","""",
  INDEX(FILTER('RE Portfolio'!C$2:C2000,'RE Portfolio'!D$2:D2000=""BUY""), INT((ROW()-2)/amortYears)+1)
  * (1 + VALUE(Assumptions!$B$11))^(D245-1)
)
"),822104.5575982747)</f>
        <v>822104.5576</v>
      </c>
    </row>
    <row r="246">
      <c r="A246" s="15">
        <f>IFERROR(__xludf.DUMMYFUNCTION("IFERROR(INDEX(FILTER('RE Portfolio'!A$2:A2000,'RE Portfolio'!D$2:D2000=""BUY""), INT((ROW()-2)/amortYears)+1), )
"),7.0)</f>
        <v>7</v>
      </c>
      <c r="B246" s="15">
        <f>IFERROR(__xludf.DUMMYFUNCTION("IFERROR(INDEX(FILTER('RE Portfolio'!B$2:B2000,'RE Portfolio'!D$2:D2000=""BUY""), INT((ROW()-2)/amortYears)+1), )
"),41.0)</f>
        <v>41</v>
      </c>
      <c r="C246" s="15">
        <f>IFERROR(__xludf.DUMMYFUNCTION("IFERROR(INDEX(FILTER('RE Portfolio'!G$2:G2000,'RE Portfolio'!D$2:D2000=""BUY""), INT((ROW()-2)/amortYears)+1), )
"),342364.10876484215)</f>
        <v>342364.1088</v>
      </c>
      <c r="D246" s="15">
        <f>MOD(ROW()-2, amortYears)+1</f>
        <v>17</v>
      </c>
      <c r="E246" s="15">
        <f t="shared" si="1"/>
        <v>57</v>
      </c>
      <c r="F246" s="16">
        <f t="shared" si="2"/>
        <v>238297.9182</v>
      </c>
      <c r="G246" s="16">
        <f>IF(D246&lt;=mortTerm, -PMT(mortRate/12, mortTerm*12, C246)*12, 0)
</f>
        <v>25967.68867</v>
      </c>
      <c r="H246" s="16">
        <f>IF(D246&lt;=mortTerm, G246 - I246, 0)
</f>
        <v>15171.49231</v>
      </c>
      <c r="I246" s="16">
        <f>IF(D246&lt;=mortTerm, F246 - J246, 0)
</f>
        <v>10796.19636</v>
      </c>
      <c r="J246" s="16">
        <f>IF(D246&lt;=mortTerm,
   F246*(1+mortRate/12)^12 - (-PMT(mortRate/12, mortTerm*12, C246))*(((1+mortRate/12)^12 - 1)/(mortRate/12)),
   0
)
</f>
        <v>227501.7218</v>
      </c>
      <c r="K246" s="13">
        <f>IFERROR(__xludf.DUMMYFUNCTION("IF(A246="""","""",
   IF(F246&gt;0,
      INDEX(FILTER('RE Portfolio'!L$2:L2000,'RE Portfolio'!D$2:D2000=""BUY""), INT((ROW()-2)/amortYears)+1) - G246,
      INDEX(FILTER('RE Portfolio'!L$2:L2000,'RE Portfolio'!D$2:D2000=""BUY""), INT((ROW()-2)/amortYears)+1"&amp;")
   )
)
"),7994.830924441409)</f>
        <v>7994.830924</v>
      </c>
      <c r="L246" s="15">
        <f>IFERROR(__xludf.DUMMYFUNCTION("IF(A246="""","""",
  INDEX(FILTER('RE Portfolio'!C$2:C2000,'RE Portfolio'!D$2:D2000=""BUY""), INT((ROW()-2)/amortYears)+1)
  * (1 + VALUE(Assumptions!$B$11))^(D246-1)
)
"),854988.7399022058)</f>
        <v>854988.7399</v>
      </c>
    </row>
    <row r="247">
      <c r="A247" s="15">
        <f>IFERROR(__xludf.DUMMYFUNCTION("IFERROR(INDEX(FILTER('RE Portfolio'!A$2:A2000,'RE Portfolio'!D$2:D2000=""BUY""), INT((ROW()-2)/amortYears)+1), )
"),7.0)</f>
        <v>7</v>
      </c>
      <c r="B247" s="15">
        <f>IFERROR(__xludf.DUMMYFUNCTION("IFERROR(INDEX(FILTER('RE Portfolio'!B$2:B2000,'RE Portfolio'!D$2:D2000=""BUY""), INT((ROW()-2)/amortYears)+1), )
"),41.0)</f>
        <v>41</v>
      </c>
      <c r="C247" s="15">
        <f>IFERROR(__xludf.DUMMYFUNCTION("IFERROR(INDEX(FILTER('RE Portfolio'!G$2:G2000,'RE Portfolio'!D$2:D2000=""BUY""), INT((ROW()-2)/amortYears)+1), )
"),342364.10876484215)</f>
        <v>342364.1088</v>
      </c>
      <c r="D247" s="15">
        <f>MOD(ROW()-2, amortYears)+1</f>
        <v>18</v>
      </c>
      <c r="E247" s="15">
        <f t="shared" si="1"/>
        <v>58</v>
      </c>
      <c r="F247" s="16">
        <f t="shared" si="2"/>
        <v>227501.7218</v>
      </c>
      <c r="G247" s="16">
        <f>IF(D247&lt;=mortTerm, -PMT(mortRate/12, mortTerm*12, C247)*12, 0)
</f>
        <v>25967.68867</v>
      </c>
      <c r="H247" s="16">
        <f>IF(D247&lt;=mortTerm, G247 - I247, 0)
</f>
        <v>14448.45104</v>
      </c>
      <c r="I247" s="16">
        <f>IF(D247&lt;=mortTerm, F247 - J247, 0)
</f>
        <v>11519.23762</v>
      </c>
      <c r="J247" s="16">
        <f>IF(D247&lt;=mortTerm,
   F247*(1+mortRate/12)^12 - (-PMT(mortRate/12, mortTerm*12, C247))*(((1+mortRate/12)^12 - 1)/(mortRate/12)),
   0
)
</f>
        <v>215982.4842</v>
      </c>
      <c r="K247" s="13">
        <f>IFERROR(__xludf.DUMMYFUNCTION("IF(A247="""","""",
   IF(F247&gt;0,
      INDEX(FILTER('RE Portfolio'!L$2:L2000,'RE Portfolio'!D$2:D2000=""BUY""), INT((ROW()-2)/amortYears)+1) - G247,
      INDEX(FILTER('RE Portfolio'!L$2:L2000,'RE Portfolio'!D$2:D2000=""BUY""), INT((ROW()-2)/amortYears)+1"&amp;")
   )
)
"),7994.830924441409)</f>
        <v>7994.830924</v>
      </c>
      <c r="L247" s="15">
        <f>IFERROR(__xludf.DUMMYFUNCTION("IF(A247="""","""",
  INDEX(FILTER('RE Portfolio'!C$2:C2000,'RE Portfolio'!D$2:D2000=""BUY""), INT((ROW()-2)/amortYears)+1)
  * (1 + VALUE(Assumptions!$B$11))^(D247-1)
)
"),889188.289498294)</f>
        <v>889188.2895</v>
      </c>
    </row>
    <row r="248">
      <c r="A248" s="15">
        <f>IFERROR(__xludf.DUMMYFUNCTION("IFERROR(INDEX(FILTER('RE Portfolio'!A$2:A2000,'RE Portfolio'!D$2:D2000=""BUY""), INT((ROW()-2)/amortYears)+1), )
"),7.0)</f>
        <v>7</v>
      </c>
      <c r="B248" s="15">
        <f>IFERROR(__xludf.DUMMYFUNCTION("IFERROR(INDEX(FILTER('RE Portfolio'!B$2:B2000,'RE Portfolio'!D$2:D2000=""BUY""), INT((ROW()-2)/amortYears)+1), )
"),41.0)</f>
        <v>41</v>
      </c>
      <c r="C248" s="15">
        <f>IFERROR(__xludf.DUMMYFUNCTION("IFERROR(INDEX(FILTER('RE Portfolio'!G$2:G2000,'RE Portfolio'!D$2:D2000=""BUY""), INT((ROW()-2)/amortYears)+1), )
"),342364.10876484215)</f>
        <v>342364.1088</v>
      </c>
      <c r="D248" s="15">
        <f>MOD(ROW()-2, amortYears)+1</f>
        <v>19</v>
      </c>
      <c r="E248" s="15">
        <f t="shared" si="1"/>
        <v>59</v>
      </c>
      <c r="F248" s="16">
        <f t="shared" si="2"/>
        <v>215982.4842</v>
      </c>
      <c r="G248" s="16">
        <f>IF(D248&lt;=mortTerm, -PMT(mortRate/12, mortTerm*12, C248)*12, 0)
</f>
        <v>25967.68867</v>
      </c>
      <c r="H248" s="16">
        <f>IF(D248&lt;=mortTerm, G248 - I248, 0)
</f>
        <v>13676.98637</v>
      </c>
      <c r="I248" s="16">
        <f>IF(D248&lt;=mortTerm, F248 - J248, 0)
</f>
        <v>12290.7023</v>
      </c>
      <c r="J248" s="16">
        <f>IF(D248&lt;=mortTerm,
   F248*(1+mortRate/12)^12 - (-PMT(mortRate/12, mortTerm*12, C248))*(((1+mortRate/12)^12 - 1)/(mortRate/12)),
   0
)
</f>
        <v>203691.7819</v>
      </c>
      <c r="K248" s="13">
        <f>IFERROR(__xludf.DUMMYFUNCTION("IF(A248="""","""",
   IF(F248&gt;0,
      INDEX(FILTER('RE Portfolio'!L$2:L2000,'RE Portfolio'!D$2:D2000=""BUY""), INT((ROW()-2)/amortYears)+1) - G248,
      INDEX(FILTER('RE Portfolio'!L$2:L2000,'RE Portfolio'!D$2:D2000=""BUY""), INT((ROW()-2)/amortYears)+1"&amp;")
   )
)
"),7994.830924441409)</f>
        <v>7994.830924</v>
      </c>
      <c r="L248" s="15">
        <f>IFERROR(__xludf.DUMMYFUNCTION("IF(A248="""","""",
  INDEX(FILTER('RE Portfolio'!C$2:C2000,'RE Portfolio'!D$2:D2000=""BUY""), INT((ROW()-2)/amortYears)+1)
  * (1 + VALUE(Assumptions!$B$11))^(D248-1)
)
"),924755.8210782259)</f>
        <v>924755.8211</v>
      </c>
    </row>
    <row r="249">
      <c r="A249" s="15">
        <f>IFERROR(__xludf.DUMMYFUNCTION("IFERROR(INDEX(FILTER('RE Portfolio'!A$2:A2000,'RE Portfolio'!D$2:D2000=""BUY""), INT((ROW()-2)/amortYears)+1), )
"),7.0)</f>
        <v>7</v>
      </c>
      <c r="B249" s="15">
        <f>IFERROR(__xludf.DUMMYFUNCTION("IFERROR(INDEX(FILTER('RE Portfolio'!B$2:B2000,'RE Portfolio'!D$2:D2000=""BUY""), INT((ROW()-2)/amortYears)+1), )
"),41.0)</f>
        <v>41</v>
      </c>
      <c r="C249" s="15">
        <f>IFERROR(__xludf.DUMMYFUNCTION("IFERROR(INDEX(FILTER('RE Portfolio'!G$2:G2000,'RE Portfolio'!D$2:D2000=""BUY""), INT((ROW()-2)/amortYears)+1), )
"),342364.10876484215)</f>
        <v>342364.1088</v>
      </c>
      <c r="D249" s="15">
        <f>MOD(ROW()-2, amortYears)+1</f>
        <v>20</v>
      </c>
      <c r="E249" s="15">
        <f t="shared" si="1"/>
        <v>60</v>
      </c>
      <c r="F249" s="16">
        <f t="shared" si="2"/>
        <v>203691.7819</v>
      </c>
      <c r="G249" s="16">
        <f>IF(D249&lt;=mortTerm, -PMT(mortRate/12, mortTerm*12, C249)*12, 0)
</f>
        <v>25967.68867</v>
      </c>
      <c r="H249" s="16">
        <f>IF(D249&lt;=mortTerm, G249 - I249, 0)
</f>
        <v>12853.85527</v>
      </c>
      <c r="I249" s="16">
        <f>IF(D249&lt;=mortTerm, F249 - J249, 0)
</f>
        <v>13113.83339</v>
      </c>
      <c r="J249" s="16">
        <f>IF(D249&lt;=mortTerm,
   F249*(1+mortRate/12)^12 - (-PMT(mortRate/12, mortTerm*12, C249))*(((1+mortRate/12)^12 - 1)/(mortRate/12)),
   0
)
</f>
        <v>190577.9485</v>
      </c>
      <c r="K249" s="13">
        <f>IFERROR(__xludf.DUMMYFUNCTION("IF(A249="""","""",
   IF(F249&gt;0,
      INDEX(FILTER('RE Portfolio'!L$2:L2000,'RE Portfolio'!D$2:D2000=""BUY""), INT((ROW()-2)/amortYears)+1) - G249,
      INDEX(FILTER('RE Portfolio'!L$2:L2000,'RE Portfolio'!D$2:D2000=""BUY""), INT((ROW()-2)/amortYears)+1"&amp;")
   )
)
"),7994.830924441409)</f>
        <v>7994.830924</v>
      </c>
      <c r="L249" s="15">
        <f>IFERROR(__xludf.DUMMYFUNCTION("IF(A249="""","""",
  INDEX(FILTER('RE Portfolio'!C$2:C2000,'RE Portfolio'!D$2:D2000=""BUY""), INT((ROW()-2)/amortYears)+1)
  * (1 + VALUE(Assumptions!$B$11))^(D249-1)
)
"),961746.0539213548)</f>
        <v>961746.0539</v>
      </c>
    </row>
    <row r="250">
      <c r="A250" s="15">
        <f>IFERROR(__xludf.DUMMYFUNCTION("IFERROR(INDEX(FILTER('RE Portfolio'!A$2:A2000,'RE Portfolio'!D$2:D2000=""BUY""), INT((ROW()-2)/amortYears)+1), )
"),7.0)</f>
        <v>7</v>
      </c>
      <c r="B250" s="15">
        <f>IFERROR(__xludf.DUMMYFUNCTION("IFERROR(INDEX(FILTER('RE Portfolio'!B$2:B2000,'RE Portfolio'!D$2:D2000=""BUY""), INT((ROW()-2)/amortYears)+1), )
"),41.0)</f>
        <v>41</v>
      </c>
      <c r="C250" s="15">
        <f>IFERROR(__xludf.DUMMYFUNCTION("IFERROR(INDEX(FILTER('RE Portfolio'!G$2:G2000,'RE Portfolio'!D$2:D2000=""BUY""), INT((ROW()-2)/amortYears)+1), )
"),342364.10876484215)</f>
        <v>342364.1088</v>
      </c>
      <c r="D250" s="15">
        <f>MOD(ROW()-2, amortYears)+1</f>
        <v>21</v>
      </c>
      <c r="E250" s="15">
        <f t="shared" si="1"/>
        <v>61</v>
      </c>
      <c r="F250" s="16">
        <f t="shared" si="2"/>
        <v>190577.9485</v>
      </c>
      <c r="G250" s="16">
        <f>IF(D250&lt;=mortTerm, -PMT(mortRate/12, mortTerm*12, C250)*12, 0)
</f>
        <v>25967.68867</v>
      </c>
      <c r="H250" s="16">
        <f>IF(D250&lt;=mortTerm, G250 - I250, 0)
</f>
        <v>11975.59756</v>
      </c>
      <c r="I250" s="16">
        <f>IF(D250&lt;=mortTerm, F250 - J250, 0)
</f>
        <v>13992.0911</v>
      </c>
      <c r="J250" s="16">
        <f>IF(D250&lt;=mortTerm,
   F250*(1+mortRate/12)^12 - (-PMT(mortRate/12, mortTerm*12, C250))*(((1+mortRate/12)^12 - 1)/(mortRate/12)),
   0
)
</f>
        <v>176585.8574</v>
      </c>
      <c r="K250" s="13">
        <f>IFERROR(__xludf.DUMMYFUNCTION("IF(A250="""","""",
   IF(F250&gt;0,
      INDEX(FILTER('RE Portfolio'!L$2:L2000,'RE Portfolio'!D$2:D2000=""BUY""), INT((ROW()-2)/amortYears)+1) - G250,
      INDEX(FILTER('RE Portfolio'!L$2:L2000,'RE Portfolio'!D$2:D2000=""BUY""), INT((ROW()-2)/amortYears)+1"&amp;")
   )
)
"),7994.830924441409)</f>
        <v>7994.830924</v>
      </c>
      <c r="L250" s="15">
        <f>IFERROR(__xludf.DUMMYFUNCTION("IF(A250="""","""",
  INDEX(FILTER('RE Portfolio'!C$2:C2000,'RE Portfolio'!D$2:D2000=""BUY""), INT((ROW()-2)/amortYears)+1)
  * (1 + VALUE(Assumptions!$B$11))^(D250-1)
)
"),1000215.896078209)</f>
        <v>1000215.896</v>
      </c>
    </row>
    <row r="251">
      <c r="A251" s="15">
        <f>IFERROR(__xludf.DUMMYFUNCTION("IFERROR(INDEX(FILTER('RE Portfolio'!A$2:A2000,'RE Portfolio'!D$2:D2000=""BUY""), INT((ROW()-2)/amortYears)+1), )
"),7.0)</f>
        <v>7</v>
      </c>
      <c r="B251" s="15">
        <f>IFERROR(__xludf.DUMMYFUNCTION("IFERROR(INDEX(FILTER('RE Portfolio'!B$2:B2000,'RE Portfolio'!D$2:D2000=""BUY""), INT((ROW()-2)/amortYears)+1), )
"),41.0)</f>
        <v>41</v>
      </c>
      <c r="C251" s="15">
        <f>IFERROR(__xludf.DUMMYFUNCTION("IFERROR(INDEX(FILTER('RE Portfolio'!G$2:G2000,'RE Portfolio'!D$2:D2000=""BUY""), INT((ROW()-2)/amortYears)+1), )
"),342364.10876484215)</f>
        <v>342364.1088</v>
      </c>
      <c r="D251" s="15">
        <f>MOD(ROW()-2, amortYears)+1</f>
        <v>22</v>
      </c>
      <c r="E251" s="15">
        <f t="shared" si="1"/>
        <v>62</v>
      </c>
      <c r="F251" s="16">
        <f t="shared" si="2"/>
        <v>176585.8574</v>
      </c>
      <c r="G251" s="16">
        <f>IF(D251&lt;=mortTerm, -PMT(mortRate/12, mortTerm*12, C251)*12, 0)
</f>
        <v>25967.68867</v>
      </c>
      <c r="H251" s="16">
        <f>IF(D251&lt;=mortTerm, G251 - I251, 0)
</f>
        <v>11038.52131</v>
      </c>
      <c r="I251" s="16">
        <f>IF(D251&lt;=mortTerm, F251 - J251, 0)
</f>
        <v>14929.16736</v>
      </c>
      <c r="J251" s="16">
        <f>IF(D251&lt;=mortTerm,
   F251*(1+mortRate/12)^12 - (-PMT(mortRate/12, mortTerm*12, C251))*(((1+mortRate/12)^12 - 1)/(mortRate/12)),
   0
)
</f>
        <v>161656.69</v>
      </c>
      <c r="K251" s="13">
        <f>IFERROR(__xludf.DUMMYFUNCTION("IF(A251="""","""",
   IF(F251&gt;0,
      INDEX(FILTER('RE Portfolio'!L$2:L2000,'RE Portfolio'!D$2:D2000=""BUY""), INT((ROW()-2)/amortYears)+1) - G251,
      INDEX(FILTER('RE Portfolio'!L$2:L2000,'RE Portfolio'!D$2:D2000=""BUY""), INT((ROW()-2)/amortYears)+1"&amp;")
   )
)
"),7994.830924441409)</f>
        <v>7994.830924</v>
      </c>
      <c r="L251" s="15">
        <f>IFERROR(__xludf.DUMMYFUNCTION("IF(A251="""","""",
  INDEX(FILTER('RE Portfolio'!C$2:C2000,'RE Portfolio'!D$2:D2000=""BUY""), INT((ROW()-2)/amortYears)+1)
  * (1 + VALUE(Assumptions!$B$11))^(D251-1)
)
"),1040224.5319213375)</f>
        <v>1040224.532</v>
      </c>
    </row>
    <row r="252">
      <c r="A252" s="15">
        <f>IFERROR(__xludf.DUMMYFUNCTION("IFERROR(INDEX(FILTER('RE Portfolio'!A$2:A2000,'RE Portfolio'!D$2:D2000=""BUY""), INT((ROW()-2)/amortYears)+1), )
"),7.0)</f>
        <v>7</v>
      </c>
      <c r="B252" s="15">
        <f>IFERROR(__xludf.DUMMYFUNCTION("IFERROR(INDEX(FILTER('RE Portfolio'!B$2:B2000,'RE Portfolio'!D$2:D2000=""BUY""), INT((ROW()-2)/amortYears)+1), )
"),41.0)</f>
        <v>41</v>
      </c>
      <c r="C252" s="15">
        <f>IFERROR(__xludf.DUMMYFUNCTION("IFERROR(INDEX(FILTER('RE Portfolio'!G$2:G2000,'RE Portfolio'!D$2:D2000=""BUY""), INT((ROW()-2)/amortYears)+1), )
"),342364.10876484215)</f>
        <v>342364.1088</v>
      </c>
      <c r="D252" s="15">
        <f>MOD(ROW()-2, amortYears)+1</f>
        <v>23</v>
      </c>
      <c r="E252" s="15">
        <f t="shared" si="1"/>
        <v>63</v>
      </c>
      <c r="F252" s="16">
        <f t="shared" si="2"/>
        <v>161656.69</v>
      </c>
      <c r="G252" s="16">
        <f>IF(D252&lt;=mortTerm, -PMT(mortRate/12, mortTerm*12, C252)*12, 0)
</f>
        <v>25967.68867</v>
      </c>
      <c r="H252" s="16">
        <f>IF(D252&lt;=mortTerm, G252 - I252, 0)
</f>
        <v>10038.68732</v>
      </c>
      <c r="I252" s="16">
        <f>IF(D252&lt;=mortTerm, F252 - J252, 0)
</f>
        <v>15929.00134</v>
      </c>
      <c r="J252" s="16">
        <f>IF(D252&lt;=mortTerm,
   F252*(1+mortRate/12)^12 - (-PMT(mortRate/12, mortTerm*12, C252))*(((1+mortRate/12)^12 - 1)/(mortRate/12)),
   0
)
</f>
        <v>145727.6887</v>
      </c>
      <c r="K252" s="13">
        <f>IFERROR(__xludf.DUMMYFUNCTION("IF(A252="""","""",
   IF(F252&gt;0,
      INDEX(FILTER('RE Portfolio'!L$2:L2000,'RE Portfolio'!D$2:D2000=""BUY""), INT((ROW()-2)/amortYears)+1) - G252,
      INDEX(FILTER('RE Portfolio'!L$2:L2000,'RE Portfolio'!D$2:D2000=""BUY""), INT((ROW()-2)/amortYears)+1"&amp;")
   )
)
"),7994.830924441409)</f>
        <v>7994.830924</v>
      </c>
      <c r="L252" s="15">
        <f>IFERROR(__xludf.DUMMYFUNCTION("IF(A252="""","""",
  INDEX(FILTER('RE Portfolio'!C$2:C2000,'RE Portfolio'!D$2:D2000=""BUY""), INT((ROW()-2)/amortYears)+1)
  * (1 + VALUE(Assumptions!$B$11))^(D252-1)
)
"),1081833.513198191)</f>
        <v>1081833.513</v>
      </c>
    </row>
    <row r="253">
      <c r="A253" s="15">
        <f>IFERROR(__xludf.DUMMYFUNCTION("IFERROR(INDEX(FILTER('RE Portfolio'!A$2:A2000,'RE Portfolio'!D$2:D2000=""BUY""), INT((ROW()-2)/amortYears)+1), )
"),7.0)</f>
        <v>7</v>
      </c>
      <c r="B253" s="15">
        <f>IFERROR(__xludf.DUMMYFUNCTION("IFERROR(INDEX(FILTER('RE Portfolio'!B$2:B2000,'RE Portfolio'!D$2:D2000=""BUY""), INT((ROW()-2)/amortYears)+1), )
"),41.0)</f>
        <v>41</v>
      </c>
      <c r="C253" s="15">
        <f>IFERROR(__xludf.DUMMYFUNCTION("IFERROR(INDEX(FILTER('RE Portfolio'!G$2:G2000,'RE Portfolio'!D$2:D2000=""BUY""), INT((ROW()-2)/amortYears)+1), )
"),342364.10876484215)</f>
        <v>342364.1088</v>
      </c>
      <c r="D253" s="15">
        <f>MOD(ROW()-2, amortYears)+1</f>
        <v>24</v>
      </c>
      <c r="E253" s="15">
        <f t="shared" si="1"/>
        <v>64</v>
      </c>
      <c r="F253" s="16">
        <f t="shared" si="2"/>
        <v>145727.6887</v>
      </c>
      <c r="G253" s="16">
        <f>IF(D253&lt;=mortTerm, -PMT(mortRate/12, mortTerm*12, C253)*12, 0)
</f>
        <v>25967.68867</v>
      </c>
      <c r="H253" s="16">
        <f>IF(D253&lt;=mortTerm, G253 - I253, 0)
</f>
        <v>8971.892601</v>
      </c>
      <c r="I253" s="16">
        <f>IF(D253&lt;=mortTerm, F253 - J253, 0)
</f>
        <v>16995.79606</v>
      </c>
      <c r="J253" s="16">
        <f>IF(D253&lt;=mortTerm,
   F253*(1+mortRate/12)^12 - (-PMT(mortRate/12, mortTerm*12, C253))*(((1+mortRate/12)^12 - 1)/(mortRate/12)),
   0
)
</f>
        <v>128731.8926</v>
      </c>
      <c r="K253" s="13">
        <f>IFERROR(__xludf.DUMMYFUNCTION("IF(A253="""","""",
   IF(F253&gt;0,
      INDEX(FILTER('RE Portfolio'!L$2:L2000,'RE Portfolio'!D$2:D2000=""BUY""), INT((ROW()-2)/amortYears)+1) - G253,
      INDEX(FILTER('RE Portfolio'!L$2:L2000,'RE Portfolio'!D$2:D2000=""BUY""), INT((ROW()-2)/amortYears)+1"&amp;")
   )
)
"),7994.830924441409)</f>
        <v>7994.830924</v>
      </c>
      <c r="L253" s="15">
        <f>IFERROR(__xludf.DUMMYFUNCTION("IF(A253="""","""",
  INDEX(FILTER('RE Portfolio'!C$2:C2000,'RE Portfolio'!D$2:D2000=""BUY""), INT((ROW()-2)/amortYears)+1)
  * (1 + VALUE(Assumptions!$B$11))^(D253-1)
)
"),1125106.8537261188)</f>
        <v>1125106.854</v>
      </c>
    </row>
    <row r="254">
      <c r="A254" s="15">
        <f>IFERROR(__xludf.DUMMYFUNCTION("IFERROR(INDEX(FILTER('RE Portfolio'!A$2:A2000,'RE Portfolio'!D$2:D2000=""BUY""), INT((ROW()-2)/amortYears)+1), )
"),7.0)</f>
        <v>7</v>
      </c>
      <c r="B254" s="15">
        <f>IFERROR(__xludf.DUMMYFUNCTION("IFERROR(INDEX(FILTER('RE Portfolio'!B$2:B2000,'RE Portfolio'!D$2:D2000=""BUY""), INT((ROW()-2)/amortYears)+1), )
"),41.0)</f>
        <v>41</v>
      </c>
      <c r="C254" s="15">
        <f>IFERROR(__xludf.DUMMYFUNCTION("IFERROR(INDEX(FILTER('RE Portfolio'!G$2:G2000,'RE Portfolio'!D$2:D2000=""BUY""), INT((ROW()-2)/amortYears)+1), )
"),342364.10876484215)</f>
        <v>342364.1088</v>
      </c>
      <c r="D254" s="15">
        <f>MOD(ROW()-2, amortYears)+1</f>
        <v>25</v>
      </c>
      <c r="E254" s="15">
        <f t="shared" si="1"/>
        <v>65</v>
      </c>
      <c r="F254" s="16">
        <f t="shared" si="2"/>
        <v>128731.8926</v>
      </c>
      <c r="G254" s="16">
        <f>IF(D254&lt;=mortTerm, -PMT(mortRate/12, mortTerm*12, C254)*12, 0)
</f>
        <v>25967.68867</v>
      </c>
      <c r="H254" s="16">
        <f>IF(D254&lt;=mortTerm, G254 - I254, 0)
</f>
        <v>7833.652663</v>
      </c>
      <c r="I254" s="16">
        <f>IF(D254&lt;=mortTerm, F254 - J254, 0)
</f>
        <v>18134.036</v>
      </c>
      <c r="J254" s="16">
        <f>IF(D254&lt;=mortTerm,
   F254*(1+mortRate/12)^12 - (-PMT(mortRate/12, mortTerm*12, C254))*(((1+mortRate/12)^12 - 1)/(mortRate/12)),
   0
)
</f>
        <v>110597.8566</v>
      </c>
      <c r="K254" s="13">
        <f>IFERROR(__xludf.DUMMYFUNCTION("IF(A254="""","""",
   IF(F254&gt;0,
      INDEX(FILTER('RE Portfolio'!L$2:L2000,'RE Portfolio'!D$2:D2000=""BUY""), INT((ROW()-2)/amortYears)+1) - G254,
      INDEX(FILTER('RE Portfolio'!L$2:L2000,'RE Portfolio'!D$2:D2000=""BUY""), INT((ROW()-2)/amortYears)+1"&amp;")
   )
)
"),7994.830924441409)</f>
        <v>7994.830924</v>
      </c>
      <c r="L254" s="15">
        <f>IFERROR(__xludf.DUMMYFUNCTION("IF(A254="""","""",
  INDEX(FILTER('RE Portfolio'!C$2:C2000,'RE Portfolio'!D$2:D2000=""BUY""), INT((ROW()-2)/amortYears)+1)
  * (1 + VALUE(Assumptions!$B$11))^(D254-1)
)
"),1170111.1278751637)</f>
        <v>1170111.128</v>
      </c>
    </row>
    <row r="255">
      <c r="A255" s="15">
        <f>IFERROR(__xludf.DUMMYFUNCTION("IFERROR(INDEX(FILTER('RE Portfolio'!A$2:A2000,'RE Portfolio'!D$2:D2000=""BUY""), INT((ROW()-2)/amortYears)+1), )
"),7.0)</f>
        <v>7</v>
      </c>
      <c r="B255" s="15">
        <f>IFERROR(__xludf.DUMMYFUNCTION("IFERROR(INDEX(FILTER('RE Portfolio'!B$2:B2000,'RE Portfolio'!D$2:D2000=""BUY""), INT((ROW()-2)/amortYears)+1), )
"),41.0)</f>
        <v>41</v>
      </c>
      <c r="C255" s="15">
        <f>IFERROR(__xludf.DUMMYFUNCTION("IFERROR(INDEX(FILTER('RE Portfolio'!G$2:G2000,'RE Portfolio'!D$2:D2000=""BUY""), INT((ROW()-2)/amortYears)+1), )
"),342364.10876484215)</f>
        <v>342364.1088</v>
      </c>
      <c r="D255" s="15">
        <f>MOD(ROW()-2, amortYears)+1</f>
        <v>26</v>
      </c>
      <c r="E255" s="15">
        <f t="shared" si="1"/>
        <v>66</v>
      </c>
      <c r="F255" s="16">
        <f t="shared" si="2"/>
        <v>110597.8566</v>
      </c>
      <c r="G255" s="16">
        <f>IF(D255&lt;=mortTerm, -PMT(mortRate/12, mortTerm*12, C255)*12, 0)
</f>
        <v>25967.68867</v>
      </c>
      <c r="H255" s="16">
        <f>IF(D255&lt;=mortTerm, G255 - I255, 0)
</f>
        <v>6619.182687</v>
      </c>
      <c r="I255" s="16">
        <f>IF(D255&lt;=mortTerm, F255 - J255, 0)
</f>
        <v>19348.50598</v>
      </c>
      <c r="J255" s="16">
        <f>IF(D255&lt;=mortTerm,
   F255*(1+mortRate/12)^12 - (-PMT(mortRate/12, mortTerm*12, C255))*(((1+mortRate/12)^12 - 1)/(mortRate/12)),
   0
)
</f>
        <v>91249.35065</v>
      </c>
      <c r="K255" s="13">
        <f>IFERROR(__xludf.DUMMYFUNCTION("IF(A255="""","""",
   IF(F255&gt;0,
      INDEX(FILTER('RE Portfolio'!L$2:L2000,'RE Portfolio'!D$2:D2000=""BUY""), INT((ROW()-2)/amortYears)+1) - G255,
      INDEX(FILTER('RE Portfolio'!L$2:L2000,'RE Portfolio'!D$2:D2000=""BUY""), INT((ROW()-2)/amortYears)+1"&amp;")
   )
)
"),7994.830924441409)</f>
        <v>7994.830924</v>
      </c>
      <c r="L255" s="15">
        <f>IFERROR(__xludf.DUMMYFUNCTION("IF(A255="""","""",
  INDEX(FILTER('RE Portfolio'!C$2:C2000,'RE Portfolio'!D$2:D2000=""BUY""), INT((ROW()-2)/amortYears)+1)
  * (1 + VALUE(Assumptions!$B$11))^(D255-1)
)
"),1216915.57299017)</f>
        <v>1216915.573</v>
      </c>
    </row>
    <row r="256">
      <c r="A256" s="15">
        <f>IFERROR(__xludf.DUMMYFUNCTION("IFERROR(INDEX(FILTER('RE Portfolio'!A$2:A2000,'RE Portfolio'!D$2:D2000=""BUY""), INT((ROW()-2)/amortYears)+1), )
"),7.0)</f>
        <v>7</v>
      </c>
      <c r="B256" s="15">
        <f>IFERROR(__xludf.DUMMYFUNCTION("IFERROR(INDEX(FILTER('RE Portfolio'!B$2:B2000,'RE Portfolio'!D$2:D2000=""BUY""), INT((ROW()-2)/amortYears)+1), )
"),41.0)</f>
        <v>41</v>
      </c>
      <c r="C256" s="15">
        <f>IFERROR(__xludf.DUMMYFUNCTION("IFERROR(INDEX(FILTER('RE Portfolio'!G$2:G2000,'RE Portfolio'!D$2:D2000=""BUY""), INT((ROW()-2)/amortYears)+1), )
"),342364.10876484215)</f>
        <v>342364.1088</v>
      </c>
      <c r="D256" s="15">
        <f>MOD(ROW()-2, amortYears)+1</f>
        <v>27</v>
      </c>
      <c r="E256" s="15">
        <f t="shared" si="1"/>
        <v>67</v>
      </c>
      <c r="F256" s="16">
        <f t="shared" si="2"/>
        <v>91249.35065</v>
      </c>
      <c r="G256" s="16">
        <f>IF(D256&lt;=mortTerm, -PMT(mortRate/12, mortTerm*12, C256)*12, 0)
</f>
        <v>25967.68867</v>
      </c>
      <c r="H256" s="16">
        <f>IF(D256&lt;=mortTerm, G256 - I256, 0)
</f>
        <v>5323.377409</v>
      </c>
      <c r="I256" s="16">
        <f>IF(D256&lt;=mortTerm, F256 - J256, 0)
</f>
        <v>20644.31126</v>
      </c>
      <c r="J256" s="16">
        <f>IF(D256&lt;=mortTerm,
   F256*(1+mortRate/12)^12 - (-PMT(mortRate/12, mortTerm*12, C256))*(((1+mortRate/12)^12 - 1)/(mortRate/12)),
   0
)
</f>
        <v>70605.03939</v>
      </c>
      <c r="K256" s="13">
        <f>IFERROR(__xludf.DUMMYFUNCTION("IF(A256="""","""",
   IF(F256&gt;0,
      INDEX(FILTER('RE Portfolio'!L$2:L2000,'RE Portfolio'!D$2:D2000=""BUY""), INT((ROW()-2)/amortYears)+1) - G256,
      INDEX(FILTER('RE Portfolio'!L$2:L2000,'RE Portfolio'!D$2:D2000=""BUY""), INT((ROW()-2)/amortYears)+1"&amp;")
   )
)
"),7994.830924441409)</f>
        <v>7994.830924</v>
      </c>
      <c r="L256" s="15">
        <f>IFERROR(__xludf.DUMMYFUNCTION("IF(A256="""","""",
  INDEX(FILTER('RE Portfolio'!C$2:C2000,'RE Portfolio'!D$2:D2000=""BUY""), INT((ROW()-2)/amortYears)+1)
  * (1 + VALUE(Assumptions!$B$11))^(D256-1)
)
"),1265592.195909777)</f>
        <v>1265592.196</v>
      </c>
    </row>
    <row r="257">
      <c r="A257" s="15">
        <f>IFERROR(__xludf.DUMMYFUNCTION("IFERROR(INDEX(FILTER('RE Portfolio'!A$2:A2000,'RE Portfolio'!D$2:D2000=""BUY""), INT((ROW()-2)/amortYears)+1), )
"),7.0)</f>
        <v>7</v>
      </c>
      <c r="B257" s="15">
        <f>IFERROR(__xludf.DUMMYFUNCTION("IFERROR(INDEX(FILTER('RE Portfolio'!B$2:B2000,'RE Portfolio'!D$2:D2000=""BUY""), INT((ROW()-2)/amortYears)+1), )
"),41.0)</f>
        <v>41</v>
      </c>
      <c r="C257" s="15">
        <f>IFERROR(__xludf.DUMMYFUNCTION("IFERROR(INDEX(FILTER('RE Portfolio'!G$2:G2000,'RE Portfolio'!D$2:D2000=""BUY""), INT((ROW()-2)/amortYears)+1), )
"),342364.10876484215)</f>
        <v>342364.1088</v>
      </c>
      <c r="D257" s="15">
        <f>MOD(ROW()-2, amortYears)+1</f>
        <v>28</v>
      </c>
      <c r="E257" s="15">
        <f t="shared" si="1"/>
        <v>68</v>
      </c>
      <c r="F257" s="16">
        <f t="shared" si="2"/>
        <v>70605.03939</v>
      </c>
      <c r="G257" s="16">
        <f>IF(D257&lt;=mortTerm, -PMT(mortRate/12, mortTerm*12, C257)*12, 0)
</f>
        <v>25967.68867</v>
      </c>
      <c r="H257" s="16">
        <f>IF(D257&lt;=mortTerm, G257 - I257, 0)
</f>
        <v>3940.78965</v>
      </c>
      <c r="I257" s="16">
        <f>IF(D257&lt;=mortTerm, F257 - J257, 0)
</f>
        <v>22026.89901</v>
      </c>
      <c r="J257" s="16">
        <f>IF(D257&lt;=mortTerm,
   F257*(1+mortRate/12)^12 - (-PMT(mortRate/12, mortTerm*12, C257))*(((1+mortRate/12)^12 - 1)/(mortRate/12)),
   0
)
</f>
        <v>48578.14038</v>
      </c>
      <c r="K257" s="13">
        <f>IFERROR(__xludf.DUMMYFUNCTION("IF(A257="""","""",
   IF(F257&gt;0,
      INDEX(FILTER('RE Portfolio'!L$2:L2000,'RE Portfolio'!D$2:D2000=""BUY""), INT((ROW()-2)/amortYears)+1) - G257,
      INDEX(FILTER('RE Portfolio'!L$2:L2000,'RE Portfolio'!D$2:D2000=""BUY""), INT((ROW()-2)/amortYears)+1"&amp;")
   )
)
"),7994.830924441409)</f>
        <v>7994.830924</v>
      </c>
      <c r="L257" s="15">
        <f>IFERROR(__xludf.DUMMYFUNCTION("IF(A257="""","""",
  INDEX(FILTER('RE Portfolio'!C$2:C2000,'RE Portfolio'!D$2:D2000=""BUY""), INT((ROW()-2)/amortYears)+1)
  * (1 + VALUE(Assumptions!$B$11))^(D257-1)
)
"),1316215.8837461679)</f>
        <v>1316215.884</v>
      </c>
    </row>
    <row r="258">
      <c r="A258" s="15">
        <f>IFERROR(__xludf.DUMMYFUNCTION("IFERROR(INDEX(FILTER('RE Portfolio'!A$2:A2000,'RE Portfolio'!D$2:D2000=""BUY""), INT((ROW()-2)/amortYears)+1), )
"),7.0)</f>
        <v>7</v>
      </c>
      <c r="B258" s="15">
        <f>IFERROR(__xludf.DUMMYFUNCTION("IFERROR(INDEX(FILTER('RE Portfolio'!B$2:B2000,'RE Portfolio'!D$2:D2000=""BUY""), INT((ROW()-2)/amortYears)+1), )
"),41.0)</f>
        <v>41</v>
      </c>
      <c r="C258" s="15">
        <f>IFERROR(__xludf.DUMMYFUNCTION("IFERROR(INDEX(FILTER('RE Portfolio'!G$2:G2000,'RE Portfolio'!D$2:D2000=""BUY""), INT((ROW()-2)/amortYears)+1), )
"),342364.10876484215)</f>
        <v>342364.1088</v>
      </c>
      <c r="D258" s="15">
        <f>MOD(ROW()-2, amortYears)+1</f>
        <v>29</v>
      </c>
      <c r="E258" s="15">
        <f t="shared" si="1"/>
        <v>69</v>
      </c>
      <c r="F258" s="16">
        <f t="shared" si="2"/>
        <v>48578.14038</v>
      </c>
      <c r="G258" s="16">
        <f>IF(D258&lt;=mortTerm, -PMT(mortRate/12, mortTerm*12, C258)*12, 0)
</f>
        <v>25967.68867</v>
      </c>
      <c r="H258" s="16">
        <f>IF(D258&lt;=mortTerm, G258 - I258, 0)
</f>
        <v>2465.60743</v>
      </c>
      <c r="I258" s="16">
        <f>IF(D258&lt;=mortTerm, F258 - J258, 0)
</f>
        <v>23502.08124</v>
      </c>
      <c r="J258" s="16">
        <f>IF(D258&lt;=mortTerm,
   F258*(1+mortRate/12)^12 - (-PMT(mortRate/12, mortTerm*12, C258))*(((1+mortRate/12)^12 - 1)/(mortRate/12)),
   0
)
</f>
        <v>25076.05914</v>
      </c>
      <c r="K258" s="13">
        <f>IFERROR(__xludf.DUMMYFUNCTION("IF(A258="""","""",
   IF(F258&gt;0,
      INDEX(FILTER('RE Portfolio'!L$2:L2000,'RE Portfolio'!D$2:D2000=""BUY""), INT((ROW()-2)/amortYears)+1) - G258,
      INDEX(FILTER('RE Portfolio'!L$2:L2000,'RE Portfolio'!D$2:D2000=""BUY""), INT((ROW()-2)/amortYears)+1"&amp;")
   )
)
"),7994.830924441409)</f>
        <v>7994.830924</v>
      </c>
      <c r="L258" s="15">
        <f>IFERROR(__xludf.DUMMYFUNCTION("IF(A258="""","""",
  INDEX(FILTER('RE Portfolio'!C$2:C2000,'RE Portfolio'!D$2:D2000=""BUY""), INT((ROW()-2)/amortYears)+1)
  * (1 + VALUE(Assumptions!$B$11))^(D258-1)
)
"),1368864.5190960148)</f>
        <v>1368864.519</v>
      </c>
    </row>
    <row r="259">
      <c r="A259" s="15">
        <f>IFERROR(__xludf.DUMMYFUNCTION("IFERROR(INDEX(FILTER('RE Portfolio'!A$2:A2000,'RE Portfolio'!D$2:D2000=""BUY""), INT((ROW()-2)/amortYears)+1), )
"),7.0)</f>
        <v>7</v>
      </c>
      <c r="B259" s="15">
        <f>IFERROR(__xludf.DUMMYFUNCTION("IFERROR(INDEX(FILTER('RE Portfolio'!B$2:B2000,'RE Portfolio'!D$2:D2000=""BUY""), INT((ROW()-2)/amortYears)+1), )
"),41.0)</f>
        <v>41</v>
      </c>
      <c r="C259" s="15">
        <f>IFERROR(__xludf.DUMMYFUNCTION("IFERROR(INDEX(FILTER('RE Portfolio'!G$2:G2000,'RE Portfolio'!D$2:D2000=""BUY""), INT((ROW()-2)/amortYears)+1), )
"),342364.10876484215)</f>
        <v>342364.1088</v>
      </c>
      <c r="D259" s="15">
        <f>MOD(ROW()-2, amortYears)+1</f>
        <v>30</v>
      </c>
      <c r="E259" s="15">
        <f t="shared" si="1"/>
        <v>70</v>
      </c>
      <c r="F259" s="16">
        <f t="shared" si="2"/>
        <v>25076.05914</v>
      </c>
      <c r="G259" s="16">
        <f>IF(D259&lt;=mortTerm, -PMT(mortRate/12, mortTerm*12, C259)*12, 0)
</f>
        <v>25967.68867</v>
      </c>
      <c r="H259" s="16">
        <f>IF(D259&lt;=mortTerm, G259 - I259, 0)
</f>
        <v>891.6295233</v>
      </c>
      <c r="I259" s="16">
        <f>IF(D259&lt;=mortTerm, F259 - J259, 0)
</f>
        <v>25076.05914</v>
      </c>
      <c r="J259" s="16">
        <f>IF(D259&lt;=mortTerm,
   F259*(1+mortRate/12)^12 - (-PMT(mortRate/12, mortTerm*12, C259))*(((1+mortRate/12)^12 - 1)/(mortRate/12)),
   0
)
</f>
        <v>-0.000000001313310349</v>
      </c>
      <c r="K259" s="13">
        <f>IFERROR(__xludf.DUMMYFUNCTION("IF(A259="""","""",
   IF(F259&gt;0,
      INDEX(FILTER('RE Portfolio'!L$2:L2000,'RE Portfolio'!D$2:D2000=""BUY""), INT((ROW()-2)/amortYears)+1) - G259,
      INDEX(FILTER('RE Portfolio'!L$2:L2000,'RE Portfolio'!D$2:D2000=""BUY""), INT((ROW()-2)/amortYears)+1"&amp;")
   )
)
"),7994.830924441409)</f>
        <v>7994.830924</v>
      </c>
      <c r="L259" s="15">
        <f>IFERROR(__xludf.DUMMYFUNCTION("IF(A259="""","""",
  INDEX(FILTER('RE Portfolio'!C$2:C2000,'RE Portfolio'!D$2:D2000=""BUY""), INT((ROW()-2)/amortYears)+1)
  * (1 + VALUE(Assumptions!$B$11))^(D259-1)
)
"),1423619.0998598554)</f>
        <v>1423619.1</v>
      </c>
    </row>
    <row r="260">
      <c r="A260" s="15">
        <f>IFERROR(__xludf.DUMMYFUNCTION("IFERROR(INDEX(FILTER('RE Portfolio'!A$2:A2000,'RE Portfolio'!D$2:D2000=""BUY""), INT((ROW()-2)/amortYears)+1), )
"),7.0)</f>
        <v>7</v>
      </c>
      <c r="B260" s="15">
        <f>IFERROR(__xludf.DUMMYFUNCTION("IFERROR(INDEX(FILTER('RE Portfolio'!B$2:B2000,'RE Portfolio'!D$2:D2000=""BUY""), INT((ROW()-2)/amortYears)+1), )
"),41.0)</f>
        <v>41</v>
      </c>
      <c r="C260" s="15">
        <f>IFERROR(__xludf.DUMMYFUNCTION("IFERROR(INDEX(FILTER('RE Portfolio'!G$2:G2000,'RE Portfolio'!D$2:D2000=""BUY""), INT((ROW()-2)/amortYears)+1), )
"),342364.10876484215)</f>
        <v>342364.1088</v>
      </c>
      <c r="D260" s="15">
        <f>MOD(ROW()-2, amortYears)+1</f>
        <v>31</v>
      </c>
      <c r="E260" s="15">
        <f t="shared" si="1"/>
        <v>71</v>
      </c>
      <c r="F260" s="16">
        <f t="shared" si="2"/>
        <v>-0.000000001313310349</v>
      </c>
      <c r="G260" s="15">
        <f>IF(D260&lt;=mortTerm, -PMT(mortRate/12, mortTerm*12, C260)*12, 0)
</f>
        <v>0</v>
      </c>
      <c r="H260" s="15">
        <f>IF(D260&lt;=mortTerm, G260 - I260, 0)
</f>
        <v>0</v>
      </c>
      <c r="I260" s="15">
        <f>IF(D260&lt;=mortTerm, F260 - J260, 0)
</f>
        <v>0</v>
      </c>
      <c r="J260" s="15">
        <f>IF(D260&lt;=mortTerm,
   F260*(1+mortRate/12)^12 - (-PMT(mortRate/12, mortTerm*12, C260))*(((1+mortRate/12)^12 - 1)/(mortRate/12)),
   0
)
</f>
        <v>0</v>
      </c>
      <c r="K260" s="13">
        <f>IFERROR(__xludf.DUMMYFUNCTION("IF(A260="""","""",
   IF(F260&gt;0,
      INDEX(FILTER('RE Portfolio'!L$2:L2000,'RE Portfolio'!D$2:D2000=""BUY""), INT((ROW()-2)/amortYears)+1) - G260,
      INDEX(FILTER('RE Portfolio'!L$2:L2000,'RE Portfolio'!D$2:D2000=""BUY""), INT((ROW()-2)/amortYears)+1"&amp;")
   )
)
"),33962.51958947234)</f>
        <v>33962.51959</v>
      </c>
      <c r="L260" s="15">
        <f>IFERROR(__xludf.DUMMYFUNCTION("IF(A260="""","""",
  INDEX(FILTER('RE Portfolio'!C$2:C2000,'RE Portfolio'!D$2:D2000=""BUY""), INT((ROW()-2)/amortYears)+1)
  * (1 + VALUE(Assumptions!$B$11))^(D260-1)
)
"),1480563.8638542497)</f>
        <v>1480563.864</v>
      </c>
    </row>
    <row r="261">
      <c r="A261" s="15">
        <f>IFERROR(__xludf.DUMMYFUNCTION("IFERROR(INDEX(FILTER('RE Portfolio'!A$2:A2000,'RE Portfolio'!D$2:D2000=""BUY""), INT((ROW()-2)/amortYears)+1), )
"),7.0)</f>
        <v>7</v>
      </c>
      <c r="B261" s="15">
        <f>IFERROR(__xludf.DUMMYFUNCTION("IFERROR(INDEX(FILTER('RE Portfolio'!B$2:B2000,'RE Portfolio'!D$2:D2000=""BUY""), INT((ROW()-2)/amortYears)+1), )
"),41.0)</f>
        <v>41</v>
      </c>
      <c r="C261" s="15">
        <f>IFERROR(__xludf.DUMMYFUNCTION("IFERROR(INDEX(FILTER('RE Portfolio'!G$2:G2000,'RE Portfolio'!D$2:D2000=""BUY""), INT((ROW()-2)/amortYears)+1), )
"),342364.10876484215)</f>
        <v>342364.1088</v>
      </c>
      <c r="D261" s="15">
        <f>MOD(ROW()-2, amortYears)+1</f>
        <v>32</v>
      </c>
      <c r="E261" s="15">
        <f t="shared" si="1"/>
        <v>72</v>
      </c>
      <c r="F261" s="15">
        <f t="shared" si="2"/>
        <v>0</v>
      </c>
      <c r="G261" s="15">
        <f>IF(D261&lt;=mortTerm, -PMT(mortRate/12, mortTerm*12, C261)*12, 0)
</f>
        <v>0</v>
      </c>
      <c r="H261" s="15">
        <f>IF(D261&lt;=mortTerm, G261 - I261, 0)
</f>
        <v>0</v>
      </c>
      <c r="I261" s="15">
        <f>IF(D261&lt;=mortTerm, F261 - J261, 0)
</f>
        <v>0</v>
      </c>
      <c r="J261" s="15">
        <f>IF(D261&lt;=mortTerm,
   F261*(1+mortRate/12)^12 - (-PMT(mortRate/12, mortTerm*12, C261))*(((1+mortRate/12)^12 - 1)/(mortRate/12)),
   0
)
</f>
        <v>0</v>
      </c>
      <c r="K261" s="13">
        <f>IFERROR(__xludf.DUMMYFUNCTION("IF(A261="""","""",
   IF(F261&gt;0,
      INDEX(FILTER('RE Portfolio'!L$2:L2000,'RE Portfolio'!D$2:D2000=""BUY""), INT((ROW()-2)/amortYears)+1) - G261,
      INDEX(FILTER('RE Portfolio'!L$2:L2000,'RE Portfolio'!D$2:D2000=""BUY""), INT((ROW()-2)/amortYears)+1"&amp;")
   )
)
"),33962.51958947234)</f>
        <v>33962.51959</v>
      </c>
      <c r="L261" s="15">
        <f>IFERROR(__xludf.DUMMYFUNCTION("IF(A261="""","""",
  INDEX(FILTER('RE Portfolio'!C$2:C2000,'RE Portfolio'!D$2:D2000=""BUY""), INT((ROW()-2)/amortYears)+1)
  * (1 + VALUE(Assumptions!$B$11))^(D261-1)
)
"),1539786.4184084197)</f>
        <v>1539786.418</v>
      </c>
    </row>
    <row r="262">
      <c r="A262" s="15">
        <f>IFERROR(__xludf.DUMMYFUNCTION("IFERROR(INDEX(FILTER('RE Portfolio'!A$2:A2000,'RE Portfolio'!D$2:D2000=""BUY""), INT((ROW()-2)/amortYears)+1), )
"),7.0)</f>
        <v>7</v>
      </c>
      <c r="B262" s="15">
        <f>IFERROR(__xludf.DUMMYFUNCTION("IFERROR(INDEX(FILTER('RE Portfolio'!B$2:B2000,'RE Portfolio'!D$2:D2000=""BUY""), INT((ROW()-2)/amortYears)+1), )
"),41.0)</f>
        <v>41</v>
      </c>
      <c r="C262" s="15">
        <f>IFERROR(__xludf.DUMMYFUNCTION("IFERROR(INDEX(FILTER('RE Portfolio'!G$2:G2000,'RE Portfolio'!D$2:D2000=""BUY""), INT((ROW()-2)/amortYears)+1), )
"),342364.10876484215)</f>
        <v>342364.1088</v>
      </c>
      <c r="D262" s="15">
        <f>MOD(ROW()-2, amortYears)+1</f>
        <v>33</v>
      </c>
      <c r="E262" s="15">
        <f t="shared" si="1"/>
        <v>73</v>
      </c>
      <c r="F262" s="15">
        <f t="shared" si="2"/>
        <v>0</v>
      </c>
      <c r="G262" s="15">
        <f>IF(D262&lt;=mortTerm, -PMT(mortRate/12, mortTerm*12, C262)*12, 0)
</f>
        <v>0</v>
      </c>
      <c r="H262" s="15">
        <f>IF(D262&lt;=mortTerm, G262 - I262, 0)
</f>
        <v>0</v>
      </c>
      <c r="I262" s="15">
        <f>IF(D262&lt;=mortTerm, F262 - J262, 0)
</f>
        <v>0</v>
      </c>
      <c r="J262" s="15">
        <f>IF(D262&lt;=mortTerm,
   F262*(1+mortRate/12)^12 - (-PMT(mortRate/12, mortTerm*12, C262))*(((1+mortRate/12)^12 - 1)/(mortRate/12)),
   0
)
</f>
        <v>0</v>
      </c>
      <c r="K262" s="13">
        <f>IFERROR(__xludf.DUMMYFUNCTION("IF(A262="""","""",
   IF(F262&gt;0,
      INDEX(FILTER('RE Portfolio'!L$2:L2000,'RE Portfolio'!D$2:D2000=""BUY""), INT((ROW()-2)/amortYears)+1) - G262,
      INDEX(FILTER('RE Portfolio'!L$2:L2000,'RE Portfolio'!D$2:D2000=""BUY""), INT((ROW()-2)/amortYears)+1"&amp;")
   )
)
"),33962.51958947234)</f>
        <v>33962.51959</v>
      </c>
      <c r="L262" s="15">
        <f>IFERROR(__xludf.DUMMYFUNCTION("IF(A262="""","""",
  INDEX(FILTER('RE Portfolio'!C$2:C2000,'RE Portfolio'!D$2:D2000=""BUY""), INT((ROW()-2)/amortYears)+1)
  * (1 + VALUE(Assumptions!$B$11))^(D262-1)
)
"),1601377.8751447566)</f>
        <v>1601377.875</v>
      </c>
    </row>
    <row r="263">
      <c r="A263" s="15">
        <f>IFERROR(__xludf.DUMMYFUNCTION("IFERROR(INDEX(FILTER('RE Portfolio'!A$2:A2000,'RE Portfolio'!D$2:D2000=""BUY""), INT((ROW()-2)/amortYears)+1), )
"),7.0)</f>
        <v>7</v>
      </c>
      <c r="B263" s="15">
        <f>IFERROR(__xludf.DUMMYFUNCTION("IFERROR(INDEX(FILTER('RE Portfolio'!B$2:B2000,'RE Portfolio'!D$2:D2000=""BUY""), INT((ROW()-2)/amortYears)+1), )
"),41.0)</f>
        <v>41</v>
      </c>
      <c r="C263" s="15">
        <f>IFERROR(__xludf.DUMMYFUNCTION("IFERROR(INDEX(FILTER('RE Portfolio'!G$2:G2000,'RE Portfolio'!D$2:D2000=""BUY""), INT((ROW()-2)/amortYears)+1), )
"),342364.10876484215)</f>
        <v>342364.1088</v>
      </c>
      <c r="D263" s="15">
        <f>MOD(ROW()-2, amortYears)+1</f>
        <v>34</v>
      </c>
      <c r="E263" s="15">
        <f t="shared" si="1"/>
        <v>74</v>
      </c>
      <c r="F263" s="15">
        <f t="shared" si="2"/>
        <v>0</v>
      </c>
      <c r="G263" s="15">
        <f>IF(D263&lt;=mortTerm, -PMT(mortRate/12, mortTerm*12, C263)*12, 0)
</f>
        <v>0</v>
      </c>
      <c r="H263" s="15">
        <f>IF(D263&lt;=mortTerm, G263 - I263, 0)
</f>
        <v>0</v>
      </c>
      <c r="I263" s="15">
        <f>IF(D263&lt;=mortTerm, F263 - J263, 0)
</f>
        <v>0</v>
      </c>
      <c r="J263" s="15">
        <f>IF(D263&lt;=mortTerm,
   F263*(1+mortRate/12)^12 - (-PMT(mortRate/12, mortTerm*12, C263))*(((1+mortRate/12)^12 - 1)/(mortRate/12)),
   0
)
</f>
        <v>0</v>
      </c>
      <c r="K263" s="13">
        <f>IFERROR(__xludf.DUMMYFUNCTION("IF(A263="""","""",
   IF(F263&gt;0,
      INDEX(FILTER('RE Portfolio'!L$2:L2000,'RE Portfolio'!D$2:D2000=""BUY""), INT((ROW()-2)/amortYears)+1) - G263,
      INDEX(FILTER('RE Portfolio'!L$2:L2000,'RE Portfolio'!D$2:D2000=""BUY""), INT((ROW()-2)/amortYears)+1"&amp;")
   )
)
"),33962.51958947234)</f>
        <v>33962.51959</v>
      </c>
      <c r="L263" s="15">
        <f>IFERROR(__xludf.DUMMYFUNCTION("IF(A263="""","""",
  INDEX(FILTER('RE Portfolio'!C$2:C2000,'RE Portfolio'!D$2:D2000=""BUY""), INT((ROW()-2)/amortYears)+1)
  * (1 + VALUE(Assumptions!$B$11))^(D263-1)
)
"),1665432.9901505471)</f>
        <v>1665432.99</v>
      </c>
    </row>
    <row r="264">
      <c r="A264" s="15">
        <f>IFERROR(__xludf.DUMMYFUNCTION("IFERROR(INDEX(FILTER('RE Portfolio'!A$2:A2000,'RE Portfolio'!D$2:D2000=""BUY""), INT((ROW()-2)/amortYears)+1), )
"),7.0)</f>
        <v>7</v>
      </c>
      <c r="B264" s="15">
        <f>IFERROR(__xludf.DUMMYFUNCTION("IFERROR(INDEX(FILTER('RE Portfolio'!B$2:B2000,'RE Portfolio'!D$2:D2000=""BUY""), INT((ROW()-2)/amortYears)+1), )
"),41.0)</f>
        <v>41</v>
      </c>
      <c r="C264" s="15">
        <f>IFERROR(__xludf.DUMMYFUNCTION("IFERROR(INDEX(FILTER('RE Portfolio'!G$2:G2000,'RE Portfolio'!D$2:D2000=""BUY""), INT((ROW()-2)/amortYears)+1), )
"),342364.10876484215)</f>
        <v>342364.1088</v>
      </c>
      <c r="D264" s="15">
        <f>MOD(ROW()-2, amortYears)+1</f>
        <v>35</v>
      </c>
      <c r="E264" s="15">
        <f t="shared" si="1"/>
        <v>75</v>
      </c>
      <c r="F264" s="15">
        <f t="shared" si="2"/>
        <v>0</v>
      </c>
      <c r="G264" s="15">
        <f>IF(D264&lt;=mortTerm, -PMT(mortRate/12, mortTerm*12, C264)*12, 0)
</f>
        <v>0</v>
      </c>
      <c r="H264" s="15">
        <f>IF(D264&lt;=mortTerm, G264 - I264, 0)
</f>
        <v>0</v>
      </c>
      <c r="I264" s="15">
        <f>IF(D264&lt;=mortTerm, F264 - J264, 0)
</f>
        <v>0</v>
      </c>
      <c r="J264" s="15">
        <f>IF(D264&lt;=mortTerm,
   F264*(1+mortRate/12)^12 - (-PMT(mortRate/12, mortTerm*12, C264))*(((1+mortRate/12)^12 - 1)/(mortRate/12)),
   0
)
</f>
        <v>0</v>
      </c>
      <c r="K264" s="13">
        <f>IFERROR(__xludf.DUMMYFUNCTION("IF(A264="""","""",
   IF(F264&gt;0,
      INDEX(FILTER('RE Portfolio'!L$2:L2000,'RE Portfolio'!D$2:D2000=""BUY""), INT((ROW()-2)/amortYears)+1) - G264,
      INDEX(FILTER('RE Portfolio'!L$2:L2000,'RE Portfolio'!D$2:D2000=""BUY""), INT((ROW()-2)/amortYears)+1"&amp;")
   )
)
"),33962.51958947234)</f>
        <v>33962.51959</v>
      </c>
      <c r="L264" s="15">
        <f>IFERROR(__xludf.DUMMYFUNCTION("IF(A264="""","""",
  INDEX(FILTER('RE Portfolio'!C$2:C2000,'RE Portfolio'!D$2:D2000=""BUY""), INT((ROW()-2)/amortYears)+1)
  * (1 + VALUE(Assumptions!$B$11))^(D264-1)
)
"),1732050.3097565689)</f>
        <v>1732050.31</v>
      </c>
    </row>
    <row r="265">
      <c r="A265" s="15">
        <f>IFERROR(__xludf.DUMMYFUNCTION("IFERROR(INDEX(FILTER('RE Portfolio'!A$2:A2000,'RE Portfolio'!D$2:D2000=""BUY""), INT((ROW()-2)/amortYears)+1), )
"),7.0)</f>
        <v>7</v>
      </c>
      <c r="B265" s="15">
        <f>IFERROR(__xludf.DUMMYFUNCTION("IFERROR(INDEX(FILTER('RE Portfolio'!B$2:B2000,'RE Portfolio'!D$2:D2000=""BUY""), INT((ROW()-2)/amortYears)+1), )
"),41.0)</f>
        <v>41</v>
      </c>
      <c r="C265" s="15">
        <f>IFERROR(__xludf.DUMMYFUNCTION("IFERROR(INDEX(FILTER('RE Portfolio'!G$2:G2000,'RE Portfolio'!D$2:D2000=""BUY""), INT((ROW()-2)/amortYears)+1), )
"),342364.10876484215)</f>
        <v>342364.1088</v>
      </c>
      <c r="D265" s="15">
        <f>MOD(ROW()-2, amortYears)+1</f>
        <v>36</v>
      </c>
      <c r="E265" s="15">
        <f t="shared" si="1"/>
        <v>76</v>
      </c>
      <c r="F265" s="15">
        <f t="shared" si="2"/>
        <v>0</v>
      </c>
      <c r="G265" s="15">
        <f>IF(D265&lt;=mortTerm, -PMT(mortRate/12, mortTerm*12, C265)*12, 0)
</f>
        <v>0</v>
      </c>
      <c r="H265" s="15">
        <f>IF(D265&lt;=mortTerm, G265 - I265, 0)
</f>
        <v>0</v>
      </c>
      <c r="I265" s="15">
        <f>IF(D265&lt;=mortTerm, F265 - J265, 0)
</f>
        <v>0</v>
      </c>
      <c r="J265" s="15">
        <f>IF(D265&lt;=mortTerm,
   F265*(1+mortRate/12)^12 - (-PMT(mortRate/12, mortTerm*12, C265))*(((1+mortRate/12)^12 - 1)/(mortRate/12)),
   0
)
</f>
        <v>0</v>
      </c>
      <c r="K265" s="13">
        <f>IFERROR(__xludf.DUMMYFUNCTION("IF(A265="""","""",
   IF(F265&gt;0,
      INDEX(FILTER('RE Portfolio'!L$2:L2000,'RE Portfolio'!D$2:D2000=""BUY""), INT((ROW()-2)/amortYears)+1) - G265,
      INDEX(FILTER('RE Portfolio'!L$2:L2000,'RE Portfolio'!D$2:D2000=""BUY""), INT((ROW()-2)/amortYears)+1"&amp;")
   )
)
"),33962.51958947234)</f>
        <v>33962.51959</v>
      </c>
      <c r="L265" s="15">
        <f>IFERROR(__xludf.DUMMYFUNCTION("IF(A265="""","""",
  INDEX(FILTER('RE Portfolio'!C$2:C2000,'RE Portfolio'!D$2:D2000=""BUY""), INT((ROW()-2)/amortYears)+1)
  * (1 + VALUE(Assumptions!$B$11))^(D265-1)
)
"),1801332.3221468318)</f>
        <v>1801332.322</v>
      </c>
    </row>
    <row r="266">
      <c r="A266" s="15">
        <f>IFERROR(__xludf.DUMMYFUNCTION("IFERROR(INDEX(FILTER('RE Portfolio'!A$2:A2000,'RE Portfolio'!D$2:D2000=""BUY""), INT((ROW()-2)/amortYears)+1), )
"),7.0)</f>
        <v>7</v>
      </c>
      <c r="B266" s="15">
        <f>IFERROR(__xludf.DUMMYFUNCTION("IFERROR(INDEX(FILTER('RE Portfolio'!B$2:B2000,'RE Portfolio'!D$2:D2000=""BUY""), INT((ROW()-2)/amortYears)+1), )
"),41.0)</f>
        <v>41</v>
      </c>
      <c r="C266" s="15">
        <f>IFERROR(__xludf.DUMMYFUNCTION("IFERROR(INDEX(FILTER('RE Portfolio'!G$2:G2000,'RE Portfolio'!D$2:D2000=""BUY""), INT((ROW()-2)/amortYears)+1), )
"),342364.10876484215)</f>
        <v>342364.1088</v>
      </c>
      <c r="D266" s="15">
        <f>MOD(ROW()-2, amortYears)+1</f>
        <v>37</v>
      </c>
      <c r="E266" s="15">
        <f t="shared" si="1"/>
        <v>77</v>
      </c>
      <c r="F266" s="15">
        <f t="shared" si="2"/>
        <v>0</v>
      </c>
      <c r="G266" s="15">
        <f>IF(D266&lt;=mortTerm, -PMT(mortRate/12, mortTerm*12, C266)*12, 0)
</f>
        <v>0</v>
      </c>
      <c r="H266" s="15">
        <f>IF(D266&lt;=mortTerm, G266 - I266, 0)
</f>
        <v>0</v>
      </c>
      <c r="I266" s="15">
        <f>IF(D266&lt;=mortTerm, F266 - J266, 0)
</f>
        <v>0</v>
      </c>
      <c r="J266" s="15">
        <f>IF(D266&lt;=mortTerm,
   F266*(1+mortRate/12)^12 - (-PMT(mortRate/12, mortTerm*12, C266))*(((1+mortRate/12)^12 - 1)/(mortRate/12)),
   0
)
</f>
        <v>0</v>
      </c>
      <c r="K266" s="13">
        <f>IFERROR(__xludf.DUMMYFUNCTION("IF(A266="""","""",
   IF(F266&gt;0,
      INDEX(FILTER('RE Portfolio'!L$2:L2000,'RE Portfolio'!D$2:D2000=""BUY""), INT((ROW()-2)/amortYears)+1) - G266,
      INDEX(FILTER('RE Portfolio'!L$2:L2000,'RE Portfolio'!D$2:D2000=""BUY""), INT((ROW()-2)/amortYears)+1"&amp;")
   )
)
"),33962.51958947234)</f>
        <v>33962.51959</v>
      </c>
      <c r="L266" s="15">
        <f>IFERROR(__xludf.DUMMYFUNCTION("IF(A266="""","""",
  INDEX(FILTER('RE Portfolio'!C$2:C2000,'RE Portfolio'!D$2:D2000=""BUY""), INT((ROW()-2)/amortYears)+1)
  * (1 + VALUE(Assumptions!$B$11))^(D266-1)
)
"),1873385.6150327052)</f>
        <v>1873385.615</v>
      </c>
    </row>
    <row r="267">
      <c r="A267" s="15">
        <f>IFERROR(__xludf.DUMMYFUNCTION("IFERROR(INDEX(FILTER('RE Portfolio'!A$2:A2000,'RE Portfolio'!D$2:D2000=""BUY""), INT((ROW()-2)/amortYears)+1), )
"),7.0)</f>
        <v>7</v>
      </c>
      <c r="B267" s="15">
        <f>IFERROR(__xludf.DUMMYFUNCTION("IFERROR(INDEX(FILTER('RE Portfolio'!B$2:B2000,'RE Portfolio'!D$2:D2000=""BUY""), INT((ROW()-2)/amortYears)+1), )
"),41.0)</f>
        <v>41</v>
      </c>
      <c r="C267" s="15">
        <f>IFERROR(__xludf.DUMMYFUNCTION("IFERROR(INDEX(FILTER('RE Portfolio'!G$2:G2000,'RE Portfolio'!D$2:D2000=""BUY""), INT((ROW()-2)/amortYears)+1), )
"),342364.10876484215)</f>
        <v>342364.1088</v>
      </c>
      <c r="D267" s="15">
        <f>MOD(ROW()-2, amortYears)+1</f>
        <v>38</v>
      </c>
      <c r="E267" s="15">
        <f t="shared" si="1"/>
        <v>78</v>
      </c>
      <c r="F267" s="15">
        <f t="shared" si="2"/>
        <v>0</v>
      </c>
      <c r="G267" s="15">
        <f>IF(D267&lt;=mortTerm, -PMT(mortRate/12, mortTerm*12, C267)*12, 0)
</f>
        <v>0</v>
      </c>
      <c r="H267" s="15">
        <f>IF(D267&lt;=mortTerm, G267 - I267, 0)
</f>
        <v>0</v>
      </c>
      <c r="I267" s="15">
        <f>IF(D267&lt;=mortTerm, F267 - J267, 0)
</f>
        <v>0</v>
      </c>
      <c r="J267" s="15">
        <f>IF(D267&lt;=mortTerm,
   F267*(1+mortRate/12)^12 - (-PMT(mortRate/12, mortTerm*12, C267))*(((1+mortRate/12)^12 - 1)/(mortRate/12)),
   0
)
</f>
        <v>0</v>
      </c>
      <c r="K267" s="13">
        <f>IFERROR(__xludf.DUMMYFUNCTION("IF(A267="""","""",
   IF(F267&gt;0,
      INDEX(FILTER('RE Portfolio'!L$2:L2000,'RE Portfolio'!D$2:D2000=""BUY""), INT((ROW()-2)/amortYears)+1) - G267,
      INDEX(FILTER('RE Portfolio'!L$2:L2000,'RE Portfolio'!D$2:D2000=""BUY""), INT((ROW()-2)/amortYears)+1"&amp;")
   )
)
"),33962.51958947234)</f>
        <v>33962.51959</v>
      </c>
      <c r="L267" s="15">
        <f>IFERROR(__xludf.DUMMYFUNCTION("IF(A267="""","""",
  INDEX(FILTER('RE Portfolio'!C$2:C2000,'RE Portfolio'!D$2:D2000=""BUY""), INT((ROW()-2)/amortYears)+1)
  * (1 + VALUE(Assumptions!$B$11))^(D267-1)
)
"),1948321.039634013)</f>
        <v>1948321.04</v>
      </c>
    </row>
    <row r="268">
      <c r="A268" s="15">
        <f>IFERROR(__xludf.DUMMYFUNCTION("IFERROR(INDEX(FILTER('RE Portfolio'!A$2:A2000,'RE Portfolio'!D$2:D2000=""BUY""), INT((ROW()-2)/amortYears)+1), )
"),8.0)</f>
        <v>8</v>
      </c>
      <c r="B268" s="15">
        <f>IFERROR(__xludf.DUMMYFUNCTION("IFERROR(INDEX(FILTER('RE Portfolio'!B$2:B2000,'RE Portfolio'!D$2:D2000=""BUY""), INT((ROW()-2)/amortYears)+1), )
"),43.0)</f>
        <v>43</v>
      </c>
      <c r="C268" s="15">
        <f>IFERROR(__xludf.DUMMYFUNCTION("IFERROR(INDEX(FILTER('RE Portfolio'!G$2:G2000,'RE Portfolio'!D$2:D2000=""BUY""), INT((ROW()-2)/amortYears)+1), )
"),359696.2917710622)</f>
        <v>359696.2918</v>
      </c>
      <c r="D268" s="15">
        <f>MOD(ROW()-2, amortYears)+1</f>
        <v>1</v>
      </c>
      <c r="E268" s="15">
        <f t="shared" si="1"/>
        <v>43</v>
      </c>
      <c r="F268" s="15">
        <f t="shared" si="2"/>
        <v>359696.2918</v>
      </c>
      <c r="G268" s="16">
        <f>IF(D268&lt;=mortTerm, -PMT(mortRate/12, mortTerm*12, C268)*12, 0)
</f>
        <v>27282.3029</v>
      </c>
      <c r="H268" s="16">
        <f>IF(D268&lt;=mortTerm, G268 - I268, 0)
</f>
        <v>23261.88584</v>
      </c>
      <c r="I268" s="16">
        <f>IF(D268&lt;=mortTerm, F268 - J268, 0)
</f>
        <v>4020.417064</v>
      </c>
      <c r="J268" s="16">
        <f>IF(D268&lt;=mortTerm,
   F268*(1+mortRate/12)^12 - (-PMT(mortRate/12, mortTerm*12, C268))*(((1+mortRate/12)^12 - 1)/(mortRate/12)),
   0
)
</f>
        <v>355675.8747</v>
      </c>
      <c r="K268" s="13">
        <f>IFERROR(__xludf.DUMMYFUNCTION("IF(A268="""","""",
   IF(F268&gt;0,
      INDEX(FILTER('RE Portfolio'!L$2:L2000,'RE Portfolio'!D$2:D2000=""BUY""), INT((ROW()-2)/amortYears)+1) - G268,
      INDEX(FILTER('RE Portfolio'!L$2:L2000,'RE Portfolio'!D$2:D2000=""BUY""), INT((ROW()-2)/amortYears)+1"&amp;")
   )
)
"),8399.569239991251)</f>
        <v>8399.56924</v>
      </c>
      <c r="L268" s="15">
        <f>IFERROR(__xludf.DUMMYFUNCTION("IF(A268="""","""",
  INDEX(FILTER('RE Portfolio'!C$2:C2000,'RE Portfolio'!D$2:D2000=""BUY""), INT((ROW()-2)/amortYears)+1)
  * (1 + VALUE(Assumptions!$B$11))^(D268-1)
)
"),479595.0556947496)</f>
        <v>479595.0557</v>
      </c>
    </row>
    <row r="269">
      <c r="A269" s="15">
        <f>IFERROR(__xludf.DUMMYFUNCTION("IFERROR(INDEX(FILTER('RE Portfolio'!A$2:A2000,'RE Portfolio'!D$2:D2000=""BUY""), INT((ROW()-2)/amortYears)+1), )
"),8.0)</f>
        <v>8</v>
      </c>
      <c r="B269" s="15">
        <f>IFERROR(__xludf.DUMMYFUNCTION("IFERROR(INDEX(FILTER('RE Portfolio'!B$2:B2000,'RE Portfolio'!D$2:D2000=""BUY""), INT((ROW()-2)/amortYears)+1), )
"),43.0)</f>
        <v>43</v>
      </c>
      <c r="C269" s="15">
        <f>IFERROR(__xludf.DUMMYFUNCTION("IFERROR(INDEX(FILTER('RE Portfolio'!G$2:G2000,'RE Portfolio'!D$2:D2000=""BUY""), INT((ROW()-2)/amortYears)+1), )
"),359696.2917710622)</f>
        <v>359696.2918</v>
      </c>
      <c r="D269" s="15">
        <f>MOD(ROW()-2, amortYears)+1</f>
        <v>2</v>
      </c>
      <c r="E269" s="15">
        <f t="shared" si="1"/>
        <v>44</v>
      </c>
      <c r="F269" s="16">
        <f t="shared" si="2"/>
        <v>355675.8747</v>
      </c>
      <c r="G269" s="16">
        <f>IF(D269&lt;=mortTerm, -PMT(mortRate/12, mortTerm*12, C269)*12, 0)
</f>
        <v>27282.3029</v>
      </c>
      <c r="H269" s="16">
        <f>IF(D269&lt;=mortTerm, G269 - I269, 0)
</f>
        <v>22992.63106</v>
      </c>
      <c r="I269" s="16">
        <f>IF(D269&lt;=mortTerm, F269 - J269, 0)
</f>
        <v>4289.671841</v>
      </c>
      <c r="J269" s="16">
        <f>IF(D269&lt;=mortTerm,
   F269*(1+mortRate/12)^12 - (-PMT(mortRate/12, mortTerm*12, C269))*(((1+mortRate/12)^12 - 1)/(mortRate/12)),
   0
)
</f>
        <v>351386.2029</v>
      </c>
      <c r="K269" s="13">
        <f>IFERROR(__xludf.DUMMYFUNCTION("IF(A269="""","""",
   IF(F269&gt;0,
      INDEX(FILTER('RE Portfolio'!L$2:L2000,'RE Portfolio'!D$2:D2000=""BUY""), INT((ROW()-2)/amortYears)+1) - G269,
      INDEX(FILTER('RE Portfolio'!L$2:L2000,'RE Portfolio'!D$2:D2000=""BUY""), INT((ROW()-2)/amortYears)+1"&amp;")
   )
)
"),8399.569239991251)</f>
        <v>8399.56924</v>
      </c>
      <c r="L269" s="15">
        <f>IFERROR(__xludf.DUMMYFUNCTION("IF(A269="""","""",
  INDEX(FILTER('RE Portfolio'!C$2:C2000,'RE Portfolio'!D$2:D2000=""BUY""), INT((ROW()-2)/amortYears)+1)
  * (1 + VALUE(Assumptions!$B$11))^(D269-1)
)
"),498778.8579225396)</f>
        <v>498778.8579</v>
      </c>
    </row>
    <row r="270">
      <c r="A270" s="15">
        <f>IFERROR(__xludf.DUMMYFUNCTION("IFERROR(INDEX(FILTER('RE Portfolio'!A$2:A2000,'RE Portfolio'!D$2:D2000=""BUY""), INT((ROW()-2)/amortYears)+1), )
"),8.0)</f>
        <v>8</v>
      </c>
      <c r="B270" s="15">
        <f>IFERROR(__xludf.DUMMYFUNCTION("IFERROR(INDEX(FILTER('RE Portfolio'!B$2:B2000,'RE Portfolio'!D$2:D2000=""BUY""), INT((ROW()-2)/amortYears)+1), )
"),43.0)</f>
        <v>43</v>
      </c>
      <c r="C270" s="15">
        <f>IFERROR(__xludf.DUMMYFUNCTION("IFERROR(INDEX(FILTER('RE Portfolio'!G$2:G2000,'RE Portfolio'!D$2:D2000=""BUY""), INT((ROW()-2)/amortYears)+1), )
"),359696.2917710622)</f>
        <v>359696.2918</v>
      </c>
      <c r="D270" s="15">
        <f>MOD(ROW()-2, amortYears)+1</f>
        <v>3</v>
      </c>
      <c r="E270" s="15">
        <f t="shared" si="1"/>
        <v>45</v>
      </c>
      <c r="F270" s="16">
        <f t="shared" si="2"/>
        <v>351386.2029</v>
      </c>
      <c r="G270" s="16">
        <f>IF(D270&lt;=mortTerm, -PMT(mortRate/12, mortTerm*12, C270)*12, 0)
</f>
        <v>27282.3029</v>
      </c>
      <c r="H270" s="16">
        <f>IF(D270&lt;=mortTerm, G270 - I270, 0)
</f>
        <v>22705.3438</v>
      </c>
      <c r="I270" s="16">
        <f>IF(D270&lt;=mortTerm, F270 - J270, 0)
</f>
        <v>4576.959108</v>
      </c>
      <c r="J270" s="16">
        <f>IF(D270&lt;=mortTerm,
   F270*(1+mortRate/12)^12 - (-PMT(mortRate/12, mortTerm*12, C270))*(((1+mortRate/12)^12 - 1)/(mortRate/12)),
   0
)
</f>
        <v>346809.2438</v>
      </c>
      <c r="K270" s="13">
        <f>IFERROR(__xludf.DUMMYFUNCTION("IF(A270="""","""",
   IF(F270&gt;0,
      INDEX(FILTER('RE Portfolio'!L$2:L2000,'RE Portfolio'!D$2:D2000=""BUY""), INT((ROW()-2)/amortYears)+1) - G270,
      INDEX(FILTER('RE Portfolio'!L$2:L2000,'RE Portfolio'!D$2:D2000=""BUY""), INT((ROW()-2)/amortYears)+1"&amp;")
   )
)
"),8399.569239991251)</f>
        <v>8399.56924</v>
      </c>
      <c r="L270" s="15">
        <f>IFERROR(__xludf.DUMMYFUNCTION("IF(A270="""","""",
  INDEX(FILTER('RE Portfolio'!C$2:C2000,'RE Portfolio'!D$2:D2000=""BUY""), INT((ROW()-2)/amortYears)+1)
  * (1 + VALUE(Assumptions!$B$11))^(D270-1)
)
"),518730.0122394412)</f>
        <v>518730.0122</v>
      </c>
    </row>
    <row r="271">
      <c r="A271" s="15">
        <f>IFERROR(__xludf.DUMMYFUNCTION("IFERROR(INDEX(FILTER('RE Portfolio'!A$2:A2000,'RE Portfolio'!D$2:D2000=""BUY""), INT((ROW()-2)/amortYears)+1), )
"),8.0)</f>
        <v>8</v>
      </c>
      <c r="B271" s="15">
        <f>IFERROR(__xludf.DUMMYFUNCTION("IFERROR(INDEX(FILTER('RE Portfolio'!B$2:B2000,'RE Portfolio'!D$2:D2000=""BUY""), INT((ROW()-2)/amortYears)+1), )
"),43.0)</f>
        <v>43</v>
      </c>
      <c r="C271" s="15">
        <f>IFERROR(__xludf.DUMMYFUNCTION("IFERROR(INDEX(FILTER('RE Portfolio'!G$2:G2000,'RE Portfolio'!D$2:D2000=""BUY""), INT((ROW()-2)/amortYears)+1), )
"),359696.2917710622)</f>
        <v>359696.2918</v>
      </c>
      <c r="D271" s="15">
        <f>MOD(ROW()-2, amortYears)+1</f>
        <v>4</v>
      </c>
      <c r="E271" s="15">
        <f t="shared" si="1"/>
        <v>46</v>
      </c>
      <c r="F271" s="16">
        <f t="shared" si="2"/>
        <v>346809.2438</v>
      </c>
      <c r="G271" s="16">
        <f>IF(D271&lt;=mortTerm, -PMT(mortRate/12, mortTerm*12, C271)*12, 0)
</f>
        <v>27282.3029</v>
      </c>
      <c r="H271" s="16">
        <f>IF(D271&lt;=mortTerm, G271 - I271, 0)
</f>
        <v>22398.81637</v>
      </c>
      <c r="I271" s="16">
        <f>IF(D271&lt;=mortTerm, F271 - J271, 0)
</f>
        <v>4883.486536</v>
      </c>
      <c r="J271" s="16">
        <f>IF(D271&lt;=mortTerm,
   F271*(1+mortRate/12)^12 - (-PMT(mortRate/12, mortTerm*12, C271))*(((1+mortRate/12)^12 - 1)/(mortRate/12)),
   0
)
</f>
        <v>341925.7572</v>
      </c>
      <c r="K271" s="13">
        <f>IFERROR(__xludf.DUMMYFUNCTION("IF(A271="""","""",
   IF(F271&gt;0,
      INDEX(FILTER('RE Portfolio'!L$2:L2000,'RE Portfolio'!D$2:D2000=""BUY""), INT((ROW()-2)/amortYears)+1) - G271,
      INDEX(FILTER('RE Portfolio'!L$2:L2000,'RE Portfolio'!D$2:D2000=""BUY""), INT((ROW()-2)/amortYears)+1"&amp;")
   )
)
"),8399.569239991251)</f>
        <v>8399.56924</v>
      </c>
      <c r="L271" s="15">
        <f>IFERROR(__xludf.DUMMYFUNCTION("IF(A271="""","""",
  INDEX(FILTER('RE Portfolio'!C$2:C2000,'RE Portfolio'!D$2:D2000=""BUY""), INT((ROW()-2)/amortYears)+1)
  * (1 + VALUE(Assumptions!$B$11))^(D271-1)
)
"),539479.2127290189)</f>
        <v>539479.2127</v>
      </c>
    </row>
    <row r="272">
      <c r="A272" s="15">
        <f>IFERROR(__xludf.DUMMYFUNCTION("IFERROR(INDEX(FILTER('RE Portfolio'!A$2:A2000,'RE Portfolio'!D$2:D2000=""BUY""), INT((ROW()-2)/amortYears)+1), )
"),8.0)</f>
        <v>8</v>
      </c>
      <c r="B272" s="15">
        <f>IFERROR(__xludf.DUMMYFUNCTION("IFERROR(INDEX(FILTER('RE Portfolio'!B$2:B2000,'RE Portfolio'!D$2:D2000=""BUY""), INT((ROW()-2)/amortYears)+1), )
"),43.0)</f>
        <v>43</v>
      </c>
      <c r="C272" s="15">
        <f>IFERROR(__xludf.DUMMYFUNCTION("IFERROR(INDEX(FILTER('RE Portfolio'!G$2:G2000,'RE Portfolio'!D$2:D2000=""BUY""), INT((ROW()-2)/amortYears)+1), )
"),359696.2917710622)</f>
        <v>359696.2918</v>
      </c>
      <c r="D272" s="15">
        <f>MOD(ROW()-2, amortYears)+1</f>
        <v>5</v>
      </c>
      <c r="E272" s="15">
        <f t="shared" si="1"/>
        <v>47</v>
      </c>
      <c r="F272" s="16">
        <f t="shared" si="2"/>
        <v>341925.7572</v>
      </c>
      <c r="G272" s="16">
        <f>IF(D272&lt;=mortTerm, -PMT(mortRate/12, mortTerm*12, C272)*12, 0)
</f>
        <v>27282.3029</v>
      </c>
      <c r="H272" s="16">
        <f>IF(D272&lt;=mortTerm, G272 - I272, 0)
</f>
        <v>22071.76023</v>
      </c>
      <c r="I272" s="16">
        <f>IF(D272&lt;=mortTerm, F272 - J272, 0)
</f>
        <v>5210.542674</v>
      </c>
      <c r="J272" s="16">
        <f>IF(D272&lt;=mortTerm,
   F272*(1+mortRate/12)^12 - (-PMT(mortRate/12, mortTerm*12, C272))*(((1+mortRate/12)^12 - 1)/(mortRate/12)),
   0
)
</f>
        <v>336715.2145</v>
      </c>
      <c r="K272" s="13">
        <f>IFERROR(__xludf.DUMMYFUNCTION("IF(A272="""","""",
   IF(F272&gt;0,
      INDEX(FILTER('RE Portfolio'!L$2:L2000,'RE Portfolio'!D$2:D2000=""BUY""), INT((ROW()-2)/amortYears)+1) - G272,
      INDEX(FILTER('RE Portfolio'!L$2:L2000,'RE Portfolio'!D$2:D2000=""BUY""), INT((ROW()-2)/amortYears)+1"&amp;")
   )
)
"),8399.569239991251)</f>
        <v>8399.56924</v>
      </c>
      <c r="L272" s="15">
        <f>IFERROR(__xludf.DUMMYFUNCTION("IF(A272="""","""",
  INDEX(FILTER('RE Portfolio'!C$2:C2000,'RE Portfolio'!D$2:D2000=""BUY""), INT((ROW()-2)/amortYears)+1)
  * (1 + VALUE(Assumptions!$B$11))^(D272-1)
)
"),561058.3812381796)</f>
        <v>561058.3812</v>
      </c>
    </row>
    <row r="273">
      <c r="A273" s="15">
        <f>IFERROR(__xludf.DUMMYFUNCTION("IFERROR(INDEX(FILTER('RE Portfolio'!A$2:A2000,'RE Portfolio'!D$2:D2000=""BUY""), INT((ROW()-2)/amortYears)+1), )
"),8.0)</f>
        <v>8</v>
      </c>
      <c r="B273" s="15">
        <f>IFERROR(__xludf.DUMMYFUNCTION("IFERROR(INDEX(FILTER('RE Portfolio'!B$2:B2000,'RE Portfolio'!D$2:D2000=""BUY""), INT((ROW()-2)/amortYears)+1), )
"),43.0)</f>
        <v>43</v>
      </c>
      <c r="C273" s="15">
        <f>IFERROR(__xludf.DUMMYFUNCTION("IFERROR(INDEX(FILTER('RE Portfolio'!G$2:G2000,'RE Portfolio'!D$2:D2000=""BUY""), INT((ROW()-2)/amortYears)+1), )
"),359696.2917710622)</f>
        <v>359696.2918</v>
      </c>
      <c r="D273" s="15">
        <f>MOD(ROW()-2, amortYears)+1</f>
        <v>6</v>
      </c>
      <c r="E273" s="15">
        <f t="shared" si="1"/>
        <v>48</v>
      </c>
      <c r="F273" s="16">
        <f t="shared" si="2"/>
        <v>336715.2145</v>
      </c>
      <c r="G273" s="16">
        <f>IF(D273&lt;=mortTerm, -PMT(mortRate/12, mortTerm*12, C273)*12, 0)
</f>
        <v>27282.3029</v>
      </c>
      <c r="H273" s="16">
        <f>IF(D273&lt;=mortTerm, G273 - I273, 0)
</f>
        <v>21722.80054</v>
      </c>
      <c r="I273" s="16">
        <f>IF(D273&lt;=mortTerm, F273 - J273, 0)
</f>
        <v>5559.502367</v>
      </c>
      <c r="J273" s="16">
        <f>IF(D273&lt;=mortTerm,
   F273*(1+mortRate/12)^12 - (-PMT(mortRate/12, mortTerm*12, C273))*(((1+mortRate/12)^12 - 1)/(mortRate/12)),
   0
)
</f>
        <v>331155.7122</v>
      </c>
      <c r="K273" s="13">
        <f>IFERROR(__xludf.DUMMYFUNCTION("IF(A273="""","""",
   IF(F273&gt;0,
      INDEX(FILTER('RE Portfolio'!L$2:L2000,'RE Portfolio'!D$2:D2000=""BUY""), INT((ROW()-2)/amortYears)+1) - G273,
      INDEX(FILTER('RE Portfolio'!L$2:L2000,'RE Portfolio'!D$2:D2000=""BUY""), INT((ROW()-2)/amortYears)+1"&amp;")
   )
)
"),8399.569239991251)</f>
        <v>8399.56924</v>
      </c>
      <c r="L273" s="15">
        <f>IFERROR(__xludf.DUMMYFUNCTION("IF(A273="""","""",
  INDEX(FILTER('RE Portfolio'!C$2:C2000,'RE Portfolio'!D$2:D2000=""BUY""), INT((ROW()-2)/amortYears)+1)
  * (1 + VALUE(Assumptions!$B$11))^(D273-1)
)
"),583500.7164877068)</f>
        <v>583500.7165</v>
      </c>
    </row>
    <row r="274">
      <c r="A274" s="15">
        <f>IFERROR(__xludf.DUMMYFUNCTION("IFERROR(INDEX(FILTER('RE Portfolio'!A$2:A2000,'RE Portfolio'!D$2:D2000=""BUY""), INT((ROW()-2)/amortYears)+1), )
"),8.0)</f>
        <v>8</v>
      </c>
      <c r="B274" s="15">
        <f>IFERROR(__xludf.DUMMYFUNCTION("IFERROR(INDEX(FILTER('RE Portfolio'!B$2:B2000,'RE Portfolio'!D$2:D2000=""BUY""), INT((ROW()-2)/amortYears)+1), )
"),43.0)</f>
        <v>43</v>
      </c>
      <c r="C274" s="15">
        <f>IFERROR(__xludf.DUMMYFUNCTION("IFERROR(INDEX(FILTER('RE Portfolio'!G$2:G2000,'RE Portfolio'!D$2:D2000=""BUY""), INT((ROW()-2)/amortYears)+1), )
"),359696.2917710622)</f>
        <v>359696.2918</v>
      </c>
      <c r="D274" s="15">
        <f>MOD(ROW()-2, amortYears)+1</f>
        <v>7</v>
      </c>
      <c r="E274" s="15">
        <f t="shared" si="1"/>
        <v>49</v>
      </c>
      <c r="F274" s="16">
        <f t="shared" si="2"/>
        <v>331155.7122</v>
      </c>
      <c r="G274" s="16">
        <f>IF(D274&lt;=mortTerm, -PMT(mortRate/12, mortTerm*12, C274)*12, 0)
</f>
        <v>27282.3029</v>
      </c>
      <c r="H274" s="16">
        <f>IF(D274&lt;=mortTerm, G274 - I274, 0)
</f>
        <v>21350.47037</v>
      </c>
      <c r="I274" s="16">
        <f>IF(D274&lt;=mortTerm, F274 - J274, 0)
</f>
        <v>5931.832536</v>
      </c>
      <c r="J274" s="16">
        <f>IF(D274&lt;=mortTerm,
   F274*(1+mortRate/12)^12 - (-PMT(mortRate/12, mortTerm*12, C274))*(((1+mortRate/12)^12 - 1)/(mortRate/12)),
   0
)
</f>
        <v>325223.8796</v>
      </c>
      <c r="K274" s="13">
        <f>IFERROR(__xludf.DUMMYFUNCTION("IF(A274="""","""",
   IF(F274&gt;0,
      INDEX(FILTER('RE Portfolio'!L$2:L2000,'RE Portfolio'!D$2:D2000=""BUY""), INT((ROW()-2)/amortYears)+1) - G274,
      INDEX(FILTER('RE Portfolio'!L$2:L2000,'RE Portfolio'!D$2:D2000=""BUY""), INT((ROW()-2)/amortYears)+1"&amp;")
   )
)
"),8399.569239991251)</f>
        <v>8399.56924</v>
      </c>
      <c r="L274" s="15">
        <f>IFERROR(__xludf.DUMMYFUNCTION("IF(A274="""","""",
  INDEX(FILTER('RE Portfolio'!C$2:C2000,'RE Portfolio'!D$2:D2000=""BUY""), INT((ROW()-2)/amortYears)+1)
  * (1 + VALUE(Assumptions!$B$11))^(D274-1)
)
"),606840.7451472152)</f>
        <v>606840.7451</v>
      </c>
    </row>
    <row r="275">
      <c r="A275" s="15">
        <f>IFERROR(__xludf.DUMMYFUNCTION("IFERROR(INDEX(FILTER('RE Portfolio'!A$2:A2000,'RE Portfolio'!D$2:D2000=""BUY""), INT((ROW()-2)/amortYears)+1), )
"),8.0)</f>
        <v>8</v>
      </c>
      <c r="B275" s="15">
        <f>IFERROR(__xludf.DUMMYFUNCTION("IFERROR(INDEX(FILTER('RE Portfolio'!B$2:B2000,'RE Portfolio'!D$2:D2000=""BUY""), INT((ROW()-2)/amortYears)+1), )
"),43.0)</f>
        <v>43</v>
      </c>
      <c r="C275" s="15">
        <f>IFERROR(__xludf.DUMMYFUNCTION("IFERROR(INDEX(FILTER('RE Portfolio'!G$2:G2000,'RE Portfolio'!D$2:D2000=""BUY""), INT((ROW()-2)/amortYears)+1), )
"),359696.2917710622)</f>
        <v>359696.2918</v>
      </c>
      <c r="D275" s="15">
        <f>MOD(ROW()-2, amortYears)+1</f>
        <v>8</v>
      </c>
      <c r="E275" s="15">
        <f t="shared" si="1"/>
        <v>50</v>
      </c>
      <c r="F275" s="16">
        <f t="shared" si="2"/>
        <v>325223.8796</v>
      </c>
      <c r="G275" s="16">
        <f>IF(D275&lt;=mortTerm, -PMT(mortRate/12, mortTerm*12, C275)*12, 0)
</f>
        <v>27282.3029</v>
      </c>
      <c r="H275" s="16">
        <f>IF(D275&lt;=mortTerm, G275 - I275, 0)
</f>
        <v>20953.20456</v>
      </c>
      <c r="I275" s="16">
        <f>IF(D275&lt;=mortTerm, F275 - J275, 0)
</f>
        <v>6329.098347</v>
      </c>
      <c r="J275" s="16">
        <f>IF(D275&lt;=mortTerm,
   F275*(1+mortRate/12)^12 - (-PMT(mortRate/12, mortTerm*12, C275))*(((1+mortRate/12)^12 - 1)/(mortRate/12)),
   0
)
</f>
        <v>318894.7813</v>
      </c>
      <c r="K275" s="13">
        <f>IFERROR(__xludf.DUMMYFUNCTION("IF(A275="""","""",
   IF(F275&gt;0,
      INDEX(FILTER('RE Portfolio'!L$2:L2000,'RE Portfolio'!D$2:D2000=""BUY""), INT((ROW()-2)/amortYears)+1) - G275,
      INDEX(FILTER('RE Portfolio'!L$2:L2000,'RE Portfolio'!D$2:D2000=""BUY""), INT((ROW()-2)/amortYears)+1"&amp;")
   )
)
"),8399.569239991251)</f>
        <v>8399.56924</v>
      </c>
      <c r="L275" s="15">
        <f>IFERROR(__xludf.DUMMYFUNCTION("IF(A275="""","""",
  INDEX(FILTER('RE Portfolio'!C$2:C2000,'RE Portfolio'!D$2:D2000=""BUY""), INT((ROW()-2)/amortYears)+1)
  * (1 + VALUE(Assumptions!$B$11))^(D275-1)
)
"),631114.3749531037)</f>
        <v>631114.375</v>
      </c>
    </row>
    <row r="276">
      <c r="A276" s="15">
        <f>IFERROR(__xludf.DUMMYFUNCTION("IFERROR(INDEX(FILTER('RE Portfolio'!A$2:A2000,'RE Portfolio'!D$2:D2000=""BUY""), INT((ROW()-2)/amortYears)+1), )
"),8.0)</f>
        <v>8</v>
      </c>
      <c r="B276" s="15">
        <f>IFERROR(__xludf.DUMMYFUNCTION("IFERROR(INDEX(FILTER('RE Portfolio'!B$2:B2000,'RE Portfolio'!D$2:D2000=""BUY""), INT((ROW()-2)/amortYears)+1), )
"),43.0)</f>
        <v>43</v>
      </c>
      <c r="C276" s="15">
        <f>IFERROR(__xludf.DUMMYFUNCTION("IFERROR(INDEX(FILTER('RE Portfolio'!G$2:G2000,'RE Portfolio'!D$2:D2000=""BUY""), INT((ROW()-2)/amortYears)+1), )
"),359696.2917710622)</f>
        <v>359696.2918</v>
      </c>
      <c r="D276" s="15">
        <f>MOD(ROW()-2, amortYears)+1</f>
        <v>9</v>
      </c>
      <c r="E276" s="15">
        <f t="shared" si="1"/>
        <v>51</v>
      </c>
      <c r="F276" s="16">
        <f t="shared" si="2"/>
        <v>318894.7813</v>
      </c>
      <c r="G276" s="16">
        <f>IF(D276&lt;=mortTerm, -PMT(mortRate/12, mortTerm*12, C276)*12, 0)
</f>
        <v>27282.3029</v>
      </c>
      <c r="H276" s="16">
        <f>IF(D276&lt;=mortTerm, G276 - I276, 0)
</f>
        <v>20529.33312</v>
      </c>
      <c r="I276" s="16">
        <f>IF(D276&lt;=mortTerm, F276 - J276, 0)
</f>
        <v>6752.969785</v>
      </c>
      <c r="J276" s="16">
        <f>IF(D276&lt;=mortTerm,
   F276*(1+mortRate/12)^12 - (-PMT(mortRate/12, mortTerm*12, C276))*(((1+mortRate/12)^12 - 1)/(mortRate/12)),
   0
)
</f>
        <v>312141.8115</v>
      </c>
      <c r="K276" s="13">
        <f>IFERROR(__xludf.DUMMYFUNCTION("IF(A276="""","""",
   IF(F276&gt;0,
      INDEX(FILTER('RE Portfolio'!L$2:L2000,'RE Portfolio'!D$2:D2000=""BUY""), INT((ROW()-2)/amortYears)+1) - G276,
      INDEX(FILTER('RE Portfolio'!L$2:L2000,'RE Portfolio'!D$2:D2000=""BUY""), INT((ROW()-2)/amortYears)+1"&amp;")
   )
)
"),8399.569239991251)</f>
        <v>8399.56924</v>
      </c>
      <c r="L276" s="15">
        <f>IFERROR(__xludf.DUMMYFUNCTION("IF(A276="""","""",
  INDEX(FILTER('RE Portfolio'!C$2:C2000,'RE Portfolio'!D$2:D2000=""BUY""), INT((ROW()-2)/amortYears)+1)
  * (1 + VALUE(Assumptions!$B$11))^(D276-1)
)
"),656358.9499512279)</f>
        <v>656358.95</v>
      </c>
    </row>
    <row r="277">
      <c r="A277" s="15">
        <f>IFERROR(__xludf.DUMMYFUNCTION("IFERROR(INDEX(FILTER('RE Portfolio'!A$2:A2000,'RE Portfolio'!D$2:D2000=""BUY""), INT((ROW()-2)/amortYears)+1), )
"),8.0)</f>
        <v>8</v>
      </c>
      <c r="B277" s="15">
        <f>IFERROR(__xludf.DUMMYFUNCTION("IFERROR(INDEX(FILTER('RE Portfolio'!B$2:B2000,'RE Portfolio'!D$2:D2000=""BUY""), INT((ROW()-2)/amortYears)+1), )
"),43.0)</f>
        <v>43</v>
      </c>
      <c r="C277" s="15">
        <f>IFERROR(__xludf.DUMMYFUNCTION("IFERROR(INDEX(FILTER('RE Portfolio'!G$2:G2000,'RE Portfolio'!D$2:D2000=""BUY""), INT((ROW()-2)/amortYears)+1), )
"),359696.2917710622)</f>
        <v>359696.2918</v>
      </c>
      <c r="D277" s="15">
        <f>MOD(ROW()-2, amortYears)+1</f>
        <v>10</v>
      </c>
      <c r="E277" s="15">
        <f t="shared" si="1"/>
        <v>52</v>
      </c>
      <c r="F277" s="16">
        <f t="shared" si="2"/>
        <v>312141.8115</v>
      </c>
      <c r="G277" s="16">
        <f>IF(D277&lt;=mortTerm, -PMT(mortRate/12, mortTerm*12, C277)*12, 0)
</f>
        <v>27282.3029</v>
      </c>
      <c r="H277" s="16">
        <f>IF(D277&lt;=mortTerm, G277 - I277, 0)
</f>
        <v>20077.07423</v>
      </c>
      <c r="I277" s="16">
        <f>IF(D277&lt;=mortTerm, F277 - J277, 0)
</f>
        <v>7205.228678</v>
      </c>
      <c r="J277" s="16">
        <f>IF(D277&lt;=mortTerm,
   F277*(1+mortRate/12)^12 - (-PMT(mortRate/12, mortTerm*12, C277))*(((1+mortRate/12)^12 - 1)/(mortRate/12)),
   0
)
</f>
        <v>304936.5828</v>
      </c>
      <c r="K277" s="13">
        <f>IFERROR(__xludf.DUMMYFUNCTION("IF(A277="""","""",
   IF(F277&gt;0,
      INDEX(FILTER('RE Portfolio'!L$2:L2000,'RE Portfolio'!D$2:D2000=""BUY""), INT((ROW()-2)/amortYears)+1) - G277,
      INDEX(FILTER('RE Portfolio'!L$2:L2000,'RE Portfolio'!D$2:D2000=""BUY""), INT((ROW()-2)/amortYears)+1"&amp;")
   )
)
"),8399.569239991251)</f>
        <v>8399.56924</v>
      </c>
      <c r="L277" s="15">
        <f>IFERROR(__xludf.DUMMYFUNCTION("IF(A277="""","""",
  INDEX(FILTER('RE Portfolio'!C$2:C2000,'RE Portfolio'!D$2:D2000=""BUY""), INT((ROW()-2)/amortYears)+1)
  * (1 + VALUE(Assumptions!$B$11))^(D277-1)
)
"),682613.307949277)</f>
        <v>682613.3079</v>
      </c>
    </row>
    <row r="278">
      <c r="A278" s="15">
        <f>IFERROR(__xludf.DUMMYFUNCTION("IFERROR(INDEX(FILTER('RE Portfolio'!A$2:A2000,'RE Portfolio'!D$2:D2000=""BUY""), INT((ROW()-2)/amortYears)+1), )
"),8.0)</f>
        <v>8</v>
      </c>
      <c r="B278" s="15">
        <f>IFERROR(__xludf.DUMMYFUNCTION("IFERROR(INDEX(FILTER('RE Portfolio'!B$2:B2000,'RE Portfolio'!D$2:D2000=""BUY""), INT((ROW()-2)/amortYears)+1), )
"),43.0)</f>
        <v>43</v>
      </c>
      <c r="C278" s="15">
        <f>IFERROR(__xludf.DUMMYFUNCTION("IFERROR(INDEX(FILTER('RE Portfolio'!G$2:G2000,'RE Portfolio'!D$2:D2000=""BUY""), INT((ROW()-2)/amortYears)+1), )
"),359696.2917710622)</f>
        <v>359696.2918</v>
      </c>
      <c r="D278" s="15">
        <f>MOD(ROW()-2, amortYears)+1</f>
        <v>11</v>
      </c>
      <c r="E278" s="15">
        <f t="shared" si="1"/>
        <v>53</v>
      </c>
      <c r="F278" s="16">
        <f t="shared" si="2"/>
        <v>304936.5828</v>
      </c>
      <c r="G278" s="16">
        <f>IF(D278&lt;=mortTerm, -PMT(mortRate/12, mortTerm*12, C278)*12, 0)
</f>
        <v>27282.3029</v>
      </c>
      <c r="H278" s="16">
        <f>IF(D278&lt;=mortTerm, G278 - I278, 0)
</f>
        <v>19594.52672</v>
      </c>
      <c r="I278" s="16">
        <f>IF(D278&lt;=mortTerm, F278 - J278, 0)
</f>
        <v>7687.776187</v>
      </c>
      <c r="J278" s="16">
        <f>IF(D278&lt;=mortTerm,
   F278*(1+mortRate/12)^12 - (-PMT(mortRate/12, mortTerm*12, C278))*(((1+mortRate/12)^12 - 1)/(mortRate/12)),
   0
)
</f>
        <v>297248.8066</v>
      </c>
      <c r="K278" s="13">
        <f>IFERROR(__xludf.DUMMYFUNCTION("IF(A278="""","""",
   IF(F278&gt;0,
      INDEX(FILTER('RE Portfolio'!L$2:L2000,'RE Portfolio'!D$2:D2000=""BUY""), INT((ROW()-2)/amortYears)+1) - G278,
      INDEX(FILTER('RE Portfolio'!L$2:L2000,'RE Portfolio'!D$2:D2000=""BUY""), INT((ROW()-2)/amortYears)+1"&amp;")
   )
)
"),8399.569239991251)</f>
        <v>8399.56924</v>
      </c>
      <c r="L278" s="15">
        <f>IFERROR(__xludf.DUMMYFUNCTION("IF(A278="""","""",
  INDEX(FILTER('RE Portfolio'!C$2:C2000,'RE Portfolio'!D$2:D2000=""BUY""), INT((ROW()-2)/amortYears)+1)
  * (1 + VALUE(Assumptions!$B$11))^(D278-1)
)
"),709917.8402672481)</f>
        <v>709917.8403</v>
      </c>
    </row>
    <row r="279">
      <c r="A279" s="15">
        <f>IFERROR(__xludf.DUMMYFUNCTION("IFERROR(INDEX(FILTER('RE Portfolio'!A$2:A2000,'RE Portfolio'!D$2:D2000=""BUY""), INT((ROW()-2)/amortYears)+1), )
"),8.0)</f>
        <v>8</v>
      </c>
      <c r="B279" s="15">
        <f>IFERROR(__xludf.DUMMYFUNCTION("IFERROR(INDEX(FILTER('RE Portfolio'!B$2:B2000,'RE Portfolio'!D$2:D2000=""BUY""), INT((ROW()-2)/amortYears)+1), )
"),43.0)</f>
        <v>43</v>
      </c>
      <c r="C279" s="15">
        <f>IFERROR(__xludf.DUMMYFUNCTION("IFERROR(INDEX(FILTER('RE Portfolio'!G$2:G2000,'RE Portfolio'!D$2:D2000=""BUY""), INT((ROW()-2)/amortYears)+1), )
"),359696.2917710622)</f>
        <v>359696.2918</v>
      </c>
      <c r="D279" s="15">
        <f>MOD(ROW()-2, amortYears)+1</f>
        <v>12</v>
      </c>
      <c r="E279" s="15">
        <f t="shared" si="1"/>
        <v>54</v>
      </c>
      <c r="F279" s="16">
        <f t="shared" si="2"/>
        <v>297248.8066</v>
      </c>
      <c r="G279" s="16">
        <f>IF(D279&lt;=mortTerm, -PMT(mortRate/12, mortTerm*12, C279)*12, 0)
</f>
        <v>27282.3029</v>
      </c>
      <c r="H279" s="16">
        <f>IF(D279&lt;=mortTerm, G279 - I279, 0)
</f>
        <v>19079.66211</v>
      </c>
      <c r="I279" s="16">
        <f>IF(D279&lt;=mortTerm, F279 - J279, 0)
</f>
        <v>8202.640796</v>
      </c>
      <c r="J279" s="16">
        <f>IF(D279&lt;=mortTerm,
   F279*(1+mortRate/12)^12 - (-PMT(mortRate/12, mortTerm*12, C279))*(((1+mortRate/12)^12 - 1)/(mortRate/12)),
   0
)
</f>
        <v>289046.1659</v>
      </c>
      <c r="K279" s="13">
        <f>IFERROR(__xludf.DUMMYFUNCTION("IF(A279="""","""",
   IF(F279&gt;0,
      INDEX(FILTER('RE Portfolio'!L$2:L2000,'RE Portfolio'!D$2:D2000=""BUY""), INT((ROW()-2)/amortYears)+1) - G279,
      INDEX(FILTER('RE Portfolio'!L$2:L2000,'RE Portfolio'!D$2:D2000=""BUY""), INT((ROW()-2)/amortYears)+1"&amp;")
   )
)
"),8399.569239991251)</f>
        <v>8399.56924</v>
      </c>
      <c r="L279" s="15">
        <f>IFERROR(__xludf.DUMMYFUNCTION("IF(A279="""","""",
  INDEX(FILTER('RE Portfolio'!C$2:C2000,'RE Portfolio'!D$2:D2000=""BUY""), INT((ROW()-2)/amortYears)+1)
  * (1 + VALUE(Assumptions!$B$11))^(D279-1)
)
"),738314.5538779381)</f>
        <v>738314.5539</v>
      </c>
    </row>
    <row r="280">
      <c r="A280" s="15">
        <f>IFERROR(__xludf.DUMMYFUNCTION("IFERROR(INDEX(FILTER('RE Portfolio'!A$2:A2000,'RE Portfolio'!D$2:D2000=""BUY""), INT((ROW()-2)/amortYears)+1), )
"),8.0)</f>
        <v>8</v>
      </c>
      <c r="B280" s="15">
        <f>IFERROR(__xludf.DUMMYFUNCTION("IFERROR(INDEX(FILTER('RE Portfolio'!B$2:B2000,'RE Portfolio'!D$2:D2000=""BUY""), INT((ROW()-2)/amortYears)+1), )
"),43.0)</f>
        <v>43</v>
      </c>
      <c r="C280" s="15">
        <f>IFERROR(__xludf.DUMMYFUNCTION("IFERROR(INDEX(FILTER('RE Portfolio'!G$2:G2000,'RE Portfolio'!D$2:D2000=""BUY""), INT((ROW()-2)/amortYears)+1), )
"),359696.2917710622)</f>
        <v>359696.2918</v>
      </c>
      <c r="D280" s="15">
        <f>MOD(ROW()-2, amortYears)+1</f>
        <v>13</v>
      </c>
      <c r="E280" s="15">
        <f t="shared" si="1"/>
        <v>55</v>
      </c>
      <c r="F280" s="16">
        <f t="shared" si="2"/>
        <v>289046.1659</v>
      </c>
      <c r="G280" s="16">
        <f>IF(D280&lt;=mortTerm, -PMT(mortRate/12, mortTerm*12, C280)*12, 0)
</f>
        <v>27282.3029</v>
      </c>
      <c r="H280" s="16">
        <f>IF(D280&lt;=mortTerm, G280 - I280, 0)
</f>
        <v>18530.31606</v>
      </c>
      <c r="I280" s="16">
        <f>IF(D280&lt;=mortTerm, F280 - J280, 0)
</f>
        <v>8751.986841</v>
      </c>
      <c r="J280" s="16">
        <f>IF(D280&lt;=mortTerm,
   F280*(1+mortRate/12)^12 - (-PMT(mortRate/12, mortTerm*12, C280))*(((1+mortRate/12)^12 - 1)/(mortRate/12)),
   0
)
</f>
        <v>280294.179</v>
      </c>
      <c r="K280" s="13">
        <f>IFERROR(__xludf.DUMMYFUNCTION("IF(A280="""","""",
   IF(F280&gt;0,
      INDEX(FILTER('RE Portfolio'!L$2:L2000,'RE Portfolio'!D$2:D2000=""BUY""), INT((ROW()-2)/amortYears)+1) - G280,
      INDEX(FILTER('RE Portfolio'!L$2:L2000,'RE Portfolio'!D$2:D2000=""BUY""), INT((ROW()-2)/amortYears)+1"&amp;")
   )
)
"),8399.569239991251)</f>
        <v>8399.56924</v>
      </c>
      <c r="L280" s="15">
        <f>IFERROR(__xludf.DUMMYFUNCTION("IF(A280="""","""",
  INDEX(FILTER('RE Portfolio'!C$2:C2000,'RE Portfolio'!D$2:D2000=""BUY""), INT((ROW()-2)/amortYears)+1)
  * (1 + VALUE(Assumptions!$B$11))^(D280-1)
)
"),767847.1360330557)</f>
        <v>767847.136</v>
      </c>
    </row>
    <row r="281">
      <c r="A281" s="15">
        <f>IFERROR(__xludf.DUMMYFUNCTION("IFERROR(INDEX(FILTER('RE Portfolio'!A$2:A2000,'RE Portfolio'!D$2:D2000=""BUY""), INT((ROW()-2)/amortYears)+1), )
"),8.0)</f>
        <v>8</v>
      </c>
      <c r="B281" s="15">
        <f>IFERROR(__xludf.DUMMYFUNCTION("IFERROR(INDEX(FILTER('RE Portfolio'!B$2:B2000,'RE Portfolio'!D$2:D2000=""BUY""), INT((ROW()-2)/amortYears)+1), )
"),43.0)</f>
        <v>43</v>
      </c>
      <c r="C281" s="15">
        <f>IFERROR(__xludf.DUMMYFUNCTION("IFERROR(INDEX(FILTER('RE Portfolio'!G$2:G2000,'RE Portfolio'!D$2:D2000=""BUY""), INT((ROW()-2)/amortYears)+1), )
"),359696.2917710622)</f>
        <v>359696.2918</v>
      </c>
      <c r="D281" s="15">
        <f>MOD(ROW()-2, amortYears)+1</f>
        <v>14</v>
      </c>
      <c r="E281" s="15">
        <f t="shared" si="1"/>
        <v>56</v>
      </c>
      <c r="F281" s="16">
        <f t="shared" si="2"/>
        <v>280294.179</v>
      </c>
      <c r="G281" s="16">
        <f>IF(D281&lt;=mortTerm, -PMT(mortRate/12, mortTerm*12, C281)*12, 0)
</f>
        <v>27282.3029</v>
      </c>
      <c r="H281" s="16">
        <f>IF(D281&lt;=mortTerm, G281 - I281, 0)
</f>
        <v>17944.1793</v>
      </c>
      <c r="I281" s="16">
        <f>IF(D281&lt;=mortTerm, F281 - J281, 0)
</f>
        <v>9338.123608</v>
      </c>
      <c r="J281" s="16">
        <f>IF(D281&lt;=mortTerm,
   F281*(1+mortRate/12)^12 - (-PMT(mortRate/12, mortTerm*12, C281))*(((1+mortRate/12)^12 - 1)/(mortRate/12)),
   0
)
</f>
        <v>270956.0554</v>
      </c>
      <c r="K281" s="13">
        <f>IFERROR(__xludf.DUMMYFUNCTION("IF(A281="""","""",
   IF(F281&gt;0,
      INDEX(FILTER('RE Portfolio'!L$2:L2000,'RE Portfolio'!D$2:D2000=""BUY""), INT((ROW()-2)/amortYears)+1) - G281,
      INDEX(FILTER('RE Portfolio'!L$2:L2000,'RE Portfolio'!D$2:D2000=""BUY""), INT((ROW()-2)/amortYears)+1"&amp;")
   )
)
"),8399.569239991251)</f>
        <v>8399.56924</v>
      </c>
      <c r="L281" s="15">
        <f>IFERROR(__xludf.DUMMYFUNCTION("IF(A281="""","""",
  INDEX(FILTER('RE Portfolio'!C$2:C2000,'RE Portfolio'!D$2:D2000=""BUY""), INT((ROW()-2)/amortYears)+1)
  * (1 + VALUE(Assumptions!$B$11))^(D281-1)
)
"),798561.021474378)</f>
        <v>798561.0215</v>
      </c>
    </row>
    <row r="282">
      <c r="A282" s="15">
        <f>IFERROR(__xludf.DUMMYFUNCTION("IFERROR(INDEX(FILTER('RE Portfolio'!A$2:A2000,'RE Portfolio'!D$2:D2000=""BUY""), INT((ROW()-2)/amortYears)+1), )
"),8.0)</f>
        <v>8</v>
      </c>
      <c r="B282" s="15">
        <f>IFERROR(__xludf.DUMMYFUNCTION("IFERROR(INDEX(FILTER('RE Portfolio'!B$2:B2000,'RE Portfolio'!D$2:D2000=""BUY""), INT((ROW()-2)/amortYears)+1), )
"),43.0)</f>
        <v>43</v>
      </c>
      <c r="C282" s="15">
        <f>IFERROR(__xludf.DUMMYFUNCTION("IFERROR(INDEX(FILTER('RE Portfolio'!G$2:G2000,'RE Portfolio'!D$2:D2000=""BUY""), INT((ROW()-2)/amortYears)+1), )
"),359696.2917710622)</f>
        <v>359696.2918</v>
      </c>
      <c r="D282" s="15">
        <f>MOD(ROW()-2, amortYears)+1</f>
        <v>15</v>
      </c>
      <c r="E282" s="15">
        <f t="shared" si="1"/>
        <v>57</v>
      </c>
      <c r="F282" s="16">
        <f t="shared" si="2"/>
        <v>270956.0554</v>
      </c>
      <c r="G282" s="16">
        <f>IF(D282&lt;=mortTerm, -PMT(mortRate/12, mortTerm*12, C282)*12, 0)
</f>
        <v>27282.3029</v>
      </c>
      <c r="H282" s="16">
        <f>IF(D282&lt;=mortTerm, G282 - I282, 0)
</f>
        <v>17318.78786</v>
      </c>
      <c r="I282" s="16">
        <f>IF(D282&lt;=mortTerm, F282 - J282, 0)
</f>
        <v>9963.515041</v>
      </c>
      <c r="J282" s="16">
        <f>IF(D282&lt;=mortTerm,
   F282*(1+mortRate/12)^12 - (-PMT(mortRate/12, mortTerm*12, C282))*(((1+mortRate/12)^12 - 1)/(mortRate/12)),
   0
)
</f>
        <v>260992.5404</v>
      </c>
      <c r="K282" s="13">
        <f>IFERROR(__xludf.DUMMYFUNCTION("IF(A282="""","""",
   IF(F282&gt;0,
      INDEX(FILTER('RE Portfolio'!L$2:L2000,'RE Portfolio'!D$2:D2000=""BUY""), INT((ROW()-2)/amortYears)+1) - G282,
      INDEX(FILTER('RE Portfolio'!L$2:L2000,'RE Portfolio'!D$2:D2000=""BUY""), INT((ROW()-2)/amortYears)+1"&amp;")
   )
)
"),8399.569239991251)</f>
        <v>8399.56924</v>
      </c>
      <c r="L282" s="15">
        <f>IFERROR(__xludf.DUMMYFUNCTION("IF(A282="""","""",
  INDEX(FILTER('RE Portfolio'!C$2:C2000,'RE Portfolio'!D$2:D2000=""BUY""), INT((ROW()-2)/amortYears)+1)
  * (1 + VALUE(Assumptions!$B$11))^(D282-1)
)
"),830503.4623333531)</f>
        <v>830503.4623</v>
      </c>
    </row>
    <row r="283">
      <c r="A283" s="15">
        <f>IFERROR(__xludf.DUMMYFUNCTION("IFERROR(INDEX(FILTER('RE Portfolio'!A$2:A2000,'RE Portfolio'!D$2:D2000=""BUY""), INT((ROW()-2)/amortYears)+1), )
"),8.0)</f>
        <v>8</v>
      </c>
      <c r="B283" s="15">
        <f>IFERROR(__xludf.DUMMYFUNCTION("IFERROR(INDEX(FILTER('RE Portfolio'!B$2:B2000,'RE Portfolio'!D$2:D2000=""BUY""), INT((ROW()-2)/amortYears)+1), )
"),43.0)</f>
        <v>43</v>
      </c>
      <c r="C283" s="15">
        <f>IFERROR(__xludf.DUMMYFUNCTION("IFERROR(INDEX(FILTER('RE Portfolio'!G$2:G2000,'RE Portfolio'!D$2:D2000=""BUY""), INT((ROW()-2)/amortYears)+1), )
"),359696.2917710622)</f>
        <v>359696.2918</v>
      </c>
      <c r="D283" s="15">
        <f>MOD(ROW()-2, amortYears)+1</f>
        <v>16</v>
      </c>
      <c r="E283" s="15">
        <f t="shared" si="1"/>
        <v>58</v>
      </c>
      <c r="F283" s="16">
        <f t="shared" si="2"/>
        <v>260992.5404</v>
      </c>
      <c r="G283" s="16">
        <f>IF(D283&lt;=mortTerm, -PMT(mortRate/12, mortTerm*12, C283)*12, 0)
</f>
        <v>27282.3029</v>
      </c>
      <c r="H283" s="16">
        <f>IF(D283&lt;=mortTerm, G283 - I283, 0)
</f>
        <v>16651.51281</v>
      </c>
      <c r="I283" s="16">
        <f>IF(D283&lt;=mortTerm, F283 - J283, 0)
</f>
        <v>10630.7901</v>
      </c>
      <c r="J283" s="16">
        <f>IF(D283&lt;=mortTerm,
   F283*(1+mortRate/12)^12 - (-PMT(mortRate/12, mortTerm*12, C283))*(((1+mortRate/12)^12 - 1)/(mortRate/12)),
   0
)
</f>
        <v>250361.7503</v>
      </c>
      <c r="K283" s="13">
        <f>IFERROR(__xludf.DUMMYFUNCTION("IF(A283="""","""",
   IF(F283&gt;0,
      INDEX(FILTER('RE Portfolio'!L$2:L2000,'RE Portfolio'!D$2:D2000=""BUY""), INT((ROW()-2)/amortYears)+1) - G283,
      INDEX(FILTER('RE Portfolio'!L$2:L2000,'RE Portfolio'!D$2:D2000=""BUY""), INT((ROW()-2)/amortYears)+1"&amp;")
   )
)
"),8399.569239991251)</f>
        <v>8399.56924</v>
      </c>
      <c r="L283" s="15">
        <f>IFERROR(__xludf.DUMMYFUNCTION("IF(A283="""","""",
  INDEX(FILTER('RE Portfolio'!C$2:C2000,'RE Portfolio'!D$2:D2000=""BUY""), INT((ROW()-2)/amortYears)+1)
  * (1 + VALUE(Assumptions!$B$11))^(D283-1)
)
"),863723.6008266872)</f>
        <v>863723.6008</v>
      </c>
    </row>
    <row r="284">
      <c r="A284" s="15">
        <f>IFERROR(__xludf.DUMMYFUNCTION("IFERROR(INDEX(FILTER('RE Portfolio'!A$2:A2000,'RE Portfolio'!D$2:D2000=""BUY""), INT((ROW()-2)/amortYears)+1), )
"),8.0)</f>
        <v>8</v>
      </c>
      <c r="B284" s="15">
        <f>IFERROR(__xludf.DUMMYFUNCTION("IFERROR(INDEX(FILTER('RE Portfolio'!B$2:B2000,'RE Portfolio'!D$2:D2000=""BUY""), INT((ROW()-2)/amortYears)+1), )
"),43.0)</f>
        <v>43</v>
      </c>
      <c r="C284" s="15">
        <f>IFERROR(__xludf.DUMMYFUNCTION("IFERROR(INDEX(FILTER('RE Portfolio'!G$2:G2000,'RE Portfolio'!D$2:D2000=""BUY""), INT((ROW()-2)/amortYears)+1), )
"),359696.2917710622)</f>
        <v>359696.2918</v>
      </c>
      <c r="D284" s="15">
        <f>MOD(ROW()-2, amortYears)+1</f>
        <v>17</v>
      </c>
      <c r="E284" s="15">
        <f t="shared" si="1"/>
        <v>59</v>
      </c>
      <c r="F284" s="16">
        <f t="shared" si="2"/>
        <v>250361.7503</v>
      </c>
      <c r="G284" s="16">
        <f>IF(D284&lt;=mortTerm, -PMT(mortRate/12, mortTerm*12, C284)*12, 0)
</f>
        <v>27282.3029</v>
      </c>
      <c r="H284" s="16">
        <f>IF(D284&lt;=mortTerm, G284 - I284, 0)
</f>
        <v>15939.54911</v>
      </c>
      <c r="I284" s="16">
        <f>IF(D284&lt;=mortTerm, F284 - J284, 0)
</f>
        <v>11342.7538</v>
      </c>
      <c r="J284" s="16">
        <f>IF(D284&lt;=mortTerm,
   F284*(1+mortRate/12)^12 - (-PMT(mortRate/12, mortTerm*12, C284))*(((1+mortRate/12)^12 - 1)/(mortRate/12)),
   0
)
</f>
        <v>239018.9965</v>
      </c>
      <c r="K284" s="13">
        <f>IFERROR(__xludf.DUMMYFUNCTION("IF(A284="""","""",
   IF(F284&gt;0,
      INDEX(FILTER('RE Portfolio'!L$2:L2000,'RE Portfolio'!D$2:D2000=""BUY""), INT((ROW()-2)/amortYears)+1) - G284,
      INDEX(FILTER('RE Portfolio'!L$2:L2000,'RE Portfolio'!D$2:D2000=""BUY""), INT((ROW()-2)/amortYears)+1"&amp;")
   )
)
"),8399.569239991251)</f>
        <v>8399.56924</v>
      </c>
      <c r="L284" s="15">
        <f>IFERROR(__xludf.DUMMYFUNCTION("IF(A284="""","""",
  INDEX(FILTER('RE Portfolio'!C$2:C2000,'RE Portfolio'!D$2:D2000=""BUY""), INT((ROW()-2)/amortYears)+1)
  * (1 + VALUE(Assumptions!$B$11))^(D284-1)
)
"),898272.5448597547)</f>
        <v>898272.5449</v>
      </c>
    </row>
    <row r="285">
      <c r="A285" s="15">
        <f>IFERROR(__xludf.DUMMYFUNCTION("IFERROR(INDEX(FILTER('RE Portfolio'!A$2:A2000,'RE Portfolio'!D$2:D2000=""BUY""), INT((ROW()-2)/amortYears)+1), )
"),8.0)</f>
        <v>8</v>
      </c>
      <c r="B285" s="15">
        <f>IFERROR(__xludf.DUMMYFUNCTION("IFERROR(INDEX(FILTER('RE Portfolio'!B$2:B2000,'RE Portfolio'!D$2:D2000=""BUY""), INT((ROW()-2)/amortYears)+1), )
"),43.0)</f>
        <v>43</v>
      </c>
      <c r="C285" s="15">
        <f>IFERROR(__xludf.DUMMYFUNCTION("IFERROR(INDEX(FILTER('RE Portfolio'!G$2:G2000,'RE Portfolio'!D$2:D2000=""BUY""), INT((ROW()-2)/amortYears)+1), )
"),359696.2917710622)</f>
        <v>359696.2918</v>
      </c>
      <c r="D285" s="15">
        <f>MOD(ROW()-2, amortYears)+1</f>
        <v>18</v>
      </c>
      <c r="E285" s="15">
        <f t="shared" si="1"/>
        <v>60</v>
      </c>
      <c r="F285" s="16">
        <f t="shared" si="2"/>
        <v>239018.9965</v>
      </c>
      <c r="G285" s="16">
        <f>IF(D285&lt;=mortTerm, -PMT(mortRate/12, mortTerm*12, C285)*12, 0)
</f>
        <v>27282.3029</v>
      </c>
      <c r="H285" s="16">
        <f>IF(D285&lt;=mortTerm, G285 - I285, 0)
</f>
        <v>15179.90388</v>
      </c>
      <c r="I285" s="16">
        <f>IF(D285&lt;=mortTerm, F285 - J285, 0)
</f>
        <v>12102.39902</v>
      </c>
      <c r="J285" s="16">
        <f>IF(D285&lt;=mortTerm,
   F285*(1+mortRate/12)^12 - (-PMT(mortRate/12, mortTerm*12, C285))*(((1+mortRate/12)^12 - 1)/(mortRate/12)),
   0
)
</f>
        <v>226916.5974</v>
      </c>
      <c r="K285" s="13">
        <f>IFERROR(__xludf.DUMMYFUNCTION("IF(A285="""","""",
   IF(F285&gt;0,
      INDEX(FILTER('RE Portfolio'!L$2:L2000,'RE Portfolio'!D$2:D2000=""BUY""), INT((ROW()-2)/amortYears)+1) - G285,
      INDEX(FILTER('RE Portfolio'!L$2:L2000,'RE Portfolio'!D$2:D2000=""BUY""), INT((ROW()-2)/amortYears)+1"&amp;")
   )
)
"),8399.569239991251)</f>
        <v>8399.56924</v>
      </c>
      <c r="L285" s="15">
        <f>IFERROR(__xludf.DUMMYFUNCTION("IF(A285="""","""",
  INDEX(FILTER('RE Portfolio'!C$2:C2000,'RE Portfolio'!D$2:D2000=""BUY""), INT((ROW()-2)/amortYears)+1)
  * (1 + VALUE(Assumptions!$B$11))^(D285-1)
)
"),934203.4466541449)</f>
        <v>934203.4467</v>
      </c>
    </row>
    <row r="286">
      <c r="A286" s="15">
        <f>IFERROR(__xludf.DUMMYFUNCTION("IFERROR(INDEX(FILTER('RE Portfolio'!A$2:A2000,'RE Portfolio'!D$2:D2000=""BUY""), INT((ROW()-2)/amortYears)+1), )
"),8.0)</f>
        <v>8</v>
      </c>
      <c r="B286" s="15">
        <f>IFERROR(__xludf.DUMMYFUNCTION("IFERROR(INDEX(FILTER('RE Portfolio'!B$2:B2000,'RE Portfolio'!D$2:D2000=""BUY""), INT((ROW()-2)/amortYears)+1), )
"),43.0)</f>
        <v>43</v>
      </c>
      <c r="C286" s="15">
        <f>IFERROR(__xludf.DUMMYFUNCTION("IFERROR(INDEX(FILTER('RE Portfolio'!G$2:G2000,'RE Portfolio'!D$2:D2000=""BUY""), INT((ROW()-2)/amortYears)+1), )
"),359696.2917710622)</f>
        <v>359696.2918</v>
      </c>
      <c r="D286" s="15">
        <f>MOD(ROW()-2, amortYears)+1</f>
        <v>19</v>
      </c>
      <c r="E286" s="15">
        <f t="shared" si="1"/>
        <v>61</v>
      </c>
      <c r="F286" s="16">
        <f t="shared" si="2"/>
        <v>226916.5974</v>
      </c>
      <c r="G286" s="16">
        <f>IF(D286&lt;=mortTerm, -PMT(mortRate/12, mortTerm*12, C286)*12, 0)
</f>
        <v>27282.3029</v>
      </c>
      <c r="H286" s="16">
        <f>IF(D286&lt;=mortTerm, G286 - I286, 0)
</f>
        <v>14369.3838</v>
      </c>
      <c r="I286" s="16">
        <f>IF(D286&lt;=mortTerm, F286 - J286, 0)
</f>
        <v>12912.9191</v>
      </c>
      <c r="J286" s="16">
        <f>IF(D286&lt;=mortTerm,
   F286*(1+mortRate/12)^12 - (-PMT(mortRate/12, mortTerm*12, C286))*(((1+mortRate/12)^12 - 1)/(mortRate/12)),
   0
)
</f>
        <v>214003.6783</v>
      </c>
      <c r="K286" s="13">
        <f>IFERROR(__xludf.DUMMYFUNCTION("IF(A286="""","""",
   IF(F286&gt;0,
      INDEX(FILTER('RE Portfolio'!L$2:L2000,'RE Portfolio'!D$2:D2000=""BUY""), INT((ROW()-2)/amortYears)+1) - G286,
      INDEX(FILTER('RE Portfolio'!L$2:L2000,'RE Portfolio'!D$2:D2000=""BUY""), INT((ROW()-2)/amortYears)+1"&amp;")
   )
)
"),8399.569239991251)</f>
        <v>8399.56924</v>
      </c>
      <c r="L286" s="15">
        <f>IFERROR(__xludf.DUMMYFUNCTION("IF(A286="""","""",
  INDEX(FILTER('RE Portfolio'!C$2:C2000,'RE Portfolio'!D$2:D2000=""BUY""), INT((ROW()-2)/amortYears)+1)
  * (1 + VALUE(Assumptions!$B$11))^(D286-1)
)
"),971571.5845203109)</f>
        <v>971571.5845</v>
      </c>
    </row>
    <row r="287">
      <c r="A287" s="15">
        <f>IFERROR(__xludf.DUMMYFUNCTION("IFERROR(INDEX(FILTER('RE Portfolio'!A$2:A2000,'RE Portfolio'!D$2:D2000=""BUY""), INT((ROW()-2)/amortYears)+1), )
"),8.0)</f>
        <v>8</v>
      </c>
      <c r="B287" s="15">
        <f>IFERROR(__xludf.DUMMYFUNCTION("IFERROR(INDEX(FILTER('RE Portfolio'!B$2:B2000,'RE Portfolio'!D$2:D2000=""BUY""), INT((ROW()-2)/amortYears)+1), )
"),43.0)</f>
        <v>43</v>
      </c>
      <c r="C287" s="15">
        <f>IFERROR(__xludf.DUMMYFUNCTION("IFERROR(INDEX(FILTER('RE Portfolio'!G$2:G2000,'RE Portfolio'!D$2:D2000=""BUY""), INT((ROW()-2)/amortYears)+1), )
"),359696.2917710622)</f>
        <v>359696.2918</v>
      </c>
      <c r="D287" s="15">
        <f>MOD(ROW()-2, amortYears)+1</f>
        <v>20</v>
      </c>
      <c r="E287" s="15">
        <f t="shared" si="1"/>
        <v>62</v>
      </c>
      <c r="F287" s="16">
        <f t="shared" si="2"/>
        <v>214003.6783</v>
      </c>
      <c r="G287" s="16">
        <f>IF(D287&lt;=mortTerm, -PMT(mortRate/12, mortTerm*12, C287)*12, 0)
</f>
        <v>27282.3029</v>
      </c>
      <c r="H287" s="16">
        <f>IF(D287&lt;=mortTerm, G287 - I287, 0)
</f>
        <v>13504.5817</v>
      </c>
      <c r="I287" s="16">
        <f>IF(D287&lt;=mortTerm, F287 - J287, 0)
</f>
        <v>13777.72121</v>
      </c>
      <c r="J287" s="16">
        <f>IF(D287&lt;=mortTerm,
   F287*(1+mortRate/12)^12 - (-PMT(mortRate/12, mortTerm*12, C287))*(((1+mortRate/12)^12 - 1)/(mortRate/12)),
   0
)
</f>
        <v>200225.9571</v>
      </c>
      <c r="K287" s="13">
        <f>IFERROR(__xludf.DUMMYFUNCTION("IF(A287="""","""",
   IF(F287&gt;0,
      INDEX(FILTER('RE Portfolio'!L$2:L2000,'RE Portfolio'!D$2:D2000=""BUY""), INT((ROW()-2)/amortYears)+1) - G287,
      INDEX(FILTER('RE Portfolio'!L$2:L2000,'RE Portfolio'!D$2:D2000=""BUY""), INT((ROW()-2)/amortYears)+1"&amp;")
   )
)
"),8399.569239991251)</f>
        <v>8399.56924</v>
      </c>
      <c r="L287" s="15">
        <f>IFERROR(__xludf.DUMMYFUNCTION("IF(A287="""","""",
  INDEX(FILTER('RE Portfolio'!C$2:C2000,'RE Portfolio'!D$2:D2000=""BUY""), INT((ROW()-2)/amortYears)+1)
  * (1 + VALUE(Assumptions!$B$11))^(D287-1)
)
"),1010434.4479011232)</f>
        <v>1010434.448</v>
      </c>
    </row>
    <row r="288">
      <c r="A288" s="15">
        <f>IFERROR(__xludf.DUMMYFUNCTION("IFERROR(INDEX(FILTER('RE Portfolio'!A$2:A2000,'RE Portfolio'!D$2:D2000=""BUY""), INT((ROW()-2)/amortYears)+1), )
"),8.0)</f>
        <v>8</v>
      </c>
      <c r="B288" s="15">
        <f>IFERROR(__xludf.DUMMYFUNCTION("IFERROR(INDEX(FILTER('RE Portfolio'!B$2:B2000,'RE Portfolio'!D$2:D2000=""BUY""), INT((ROW()-2)/amortYears)+1), )
"),43.0)</f>
        <v>43</v>
      </c>
      <c r="C288" s="15">
        <f>IFERROR(__xludf.DUMMYFUNCTION("IFERROR(INDEX(FILTER('RE Portfolio'!G$2:G2000,'RE Portfolio'!D$2:D2000=""BUY""), INT((ROW()-2)/amortYears)+1), )
"),359696.2917710622)</f>
        <v>359696.2918</v>
      </c>
      <c r="D288" s="15">
        <f>MOD(ROW()-2, amortYears)+1</f>
        <v>21</v>
      </c>
      <c r="E288" s="15">
        <f t="shared" si="1"/>
        <v>63</v>
      </c>
      <c r="F288" s="16">
        <f t="shared" si="2"/>
        <v>200225.9571</v>
      </c>
      <c r="G288" s="16">
        <f>IF(D288&lt;=mortTerm, -PMT(mortRate/12, mortTerm*12, C288)*12, 0)
</f>
        <v>27282.3029</v>
      </c>
      <c r="H288" s="16">
        <f>IF(D288&lt;=mortTerm, G288 - I288, 0)
</f>
        <v>12581.86219</v>
      </c>
      <c r="I288" s="16">
        <f>IF(D288&lt;=mortTerm, F288 - J288, 0)
</f>
        <v>14700.44071</v>
      </c>
      <c r="J288" s="16">
        <f>IF(D288&lt;=mortTerm,
   F288*(1+mortRate/12)^12 - (-PMT(mortRate/12, mortTerm*12, C288))*(((1+mortRate/12)^12 - 1)/(mortRate/12)),
   0
)
</f>
        <v>185525.5164</v>
      </c>
      <c r="K288" s="13">
        <f>IFERROR(__xludf.DUMMYFUNCTION("IF(A288="""","""",
   IF(F288&gt;0,
      INDEX(FILTER('RE Portfolio'!L$2:L2000,'RE Portfolio'!D$2:D2000=""BUY""), INT((ROW()-2)/amortYears)+1) - G288,
      INDEX(FILTER('RE Portfolio'!L$2:L2000,'RE Portfolio'!D$2:D2000=""BUY""), INT((ROW()-2)/amortYears)+1"&amp;")
   )
)
"),8399.569239991251)</f>
        <v>8399.56924</v>
      </c>
      <c r="L288" s="15">
        <f>IFERROR(__xludf.DUMMYFUNCTION("IF(A288="""","""",
  INDEX(FILTER('RE Portfolio'!C$2:C2000,'RE Portfolio'!D$2:D2000=""BUY""), INT((ROW()-2)/amortYears)+1)
  * (1 + VALUE(Assumptions!$B$11))^(D288-1)
)
"),1050851.8258171682)</f>
        <v>1050851.826</v>
      </c>
    </row>
    <row r="289">
      <c r="A289" s="15">
        <f>IFERROR(__xludf.DUMMYFUNCTION("IFERROR(INDEX(FILTER('RE Portfolio'!A$2:A2000,'RE Portfolio'!D$2:D2000=""BUY""), INT((ROW()-2)/amortYears)+1), )
"),8.0)</f>
        <v>8</v>
      </c>
      <c r="B289" s="15">
        <f>IFERROR(__xludf.DUMMYFUNCTION("IFERROR(INDEX(FILTER('RE Portfolio'!B$2:B2000,'RE Portfolio'!D$2:D2000=""BUY""), INT((ROW()-2)/amortYears)+1), )
"),43.0)</f>
        <v>43</v>
      </c>
      <c r="C289" s="15">
        <f>IFERROR(__xludf.DUMMYFUNCTION("IFERROR(INDEX(FILTER('RE Portfolio'!G$2:G2000,'RE Portfolio'!D$2:D2000=""BUY""), INT((ROW()-2)/amortYears)+1), )
"),359696.2917710622)</f>
        <v>359696.2918</v>
      </c>
      <c r="D289" s="15">
        <f>MOD(ROW()-2, amortYears)+1</f>
        <v>22</v>
      </c>
      <c r="E289" s="15">
        <f t="shared" si="1"/>
        <v>64</v>
      </c>
      <c r="F289" s="16">
        <f t="shared" si="2"/>
        <v>185525.5164</v>
      </c>
      <c r="G289" s="16">
        <f>IF(D289&lt;=mortTerm, -PMT(mortRate/12, mortTerm*12, C289)*12, 0)
</f>
        <v>27282.3029</v>
      </c>
      <c r="H289" s="16">
        <f>IF(D289&lt;=mortTerm, G289 - I289, 0)
</f>
        <v>11597.34645</v>
      </c>
      <c r="I289" s="16">
        <f>IF(D289&lt;=mortTerm, F289 - J289, 0)
</f>
        <v>15684.95645</v>
      </c>
      <c r="J289" s="16">
        <f>IF(D289&lt;=mortTerm,
   F289*(1+mortRate/12)^12 - (-PMT(mortRate/12, mortTerm*12, C289))*(((1+mortRate/12)^12 - 1)/(mortRate/12)),
   0
)
</f>
        <v>169840.56</v>
      </c>
      <c r="K289" s="13">
        <f>IFERROR(__xludf.DUMMYFUNCTION("IF(A289="""","""",
   IF(F289&gt;0,
      INDEX(FILTER('RE Portfolio'!L$2:L2000,'RE Portfolio'!D$2:D2000=""BUY""), INT((ROW()-2)/amortYears)+1) - G289,
      INDEX(FILTER('RE Portfolio'!L$2:L2000,'RE Portfolio'!D$2:D2000=""BUY""), INT((ROW()-2)/amortYears)+1"&amp;")
   )
)
"),8399.569239991251)</f>
        <v>8399.56924</v>
      </c>
      <c r="L289" s="15">
        <f>IFERROR(__xludf.DUMMYFUNCTION("IF(A289="""","""",
  INDEX(FILTER('RE Portfolio'!C$2:C2000,'RE Portfolio'!D$2:D2000=""BUY""), INT((ROW()-2)/amortYears)+1)
  * (1 + VALUE(Assumptions!$B$11))^(D289-1)
)
"),1092885.898849855)</f>
        <v>1092885.899</v>
      </c>
    </row>
    <row r="290">
      <c r="A290" s="15">
        <f>IFERROR(__xludf.DUMMYFUNCTION("IFERROR(INDEX(FILTER('RE Portfolio'!A$2:A2000,'RE Portfolio'!D$2:D2000=""BUY""), INT((ROW()-2)/amortYears)+1), )
"),8.0)</f>
        <v>8</v>
      </c>
      <c r="B290" s="15">
        <f>IFERROR(__xludf.DUMMYFUNCTION("IFERROR(INDEX(FILTER('RE Portfolio'!B$2:B2000,'RE Portfolio'!D$2:D2000=""BUY""), INT((ROW()-2)/amortYears)+1), )
"),43.0)</f>
        <v>43</v>
      </c>
      <c r="C290" s="15">
        <f>IFERROR(__xludf.DUMMYFUNCTION("IFERROR(INDEX(FILTER('RE Portfolio'!G$2:G2000,'RE Portfolio'!D$2:D2000=""BUY""), INT((ROW()-2)/amortYears)+1), )
"),359696.2917710622)</f>
        <v>359696.2918</v>
      </c>
      <c r="D290" s="15">
        <f>MOD(ROW()-2, amortYears)+1</f>
        <v>23</v>
      </c>
      <c r="E290" s="15">
        <f t="shared" si="1"/>
        <v>65</v>
      </c>
      <c r="F290" s="16">
        <f t="shared" si="2"/>
        <v>169840.56</v>
      </c>
      <c r="G290" s="16">
        <f>IF(D290&lt;=mortTerm, -PMT(mortRate/12, mortTerm*12, C290)*12, 0)
</f>
        <v>27282.3029</v>
      </c>
      <c r="H290" s="16">
        <f>IF(D290&lt;=mortTerm, G290 - I290, 0)
</f>
        <v>10546.89587</v>
      </c>
      <c r="I290" s="16">
        <f>IF(D290&lt;=mortTerm, F290 - J290, 0)
</f>
        <v>16735.40704</v>
      </c>
      <c r="J290" s="16">
        <f>IF(D290&lt;=mortTerm,
   F290*(1+mortRate/12)^12 - (-PMT(mortRate/12, mortTerm*12, C290))*(((1+mortRate/12)^12 - 1)/(mortRate/12)),
   0
)
</f>
        <v>153105.1529</v>
      </c>
      <c r="K290" s="13">
        <f>IFERROR(__xludf.DUMMYFUNCTION("IF(A290="""","""",
   IF(F290&gt;0,
      INDEX(FILTER('RE Portfolio'!L$2:L2000,'RE Portfolio'!D$2:D2000=""BUY""), INT((ROW()-2)/amortYears)+1) - G290,
      INDEX(FILTER('RE Portfolio'!L$2:L2000,'RE Portfolio'!D$2:D2000=""BUY""), INT((ROW()-2)/amortYears)+1"&amp;")
   )
)
"),8399.569239991251)</f>
        <v>8399.56924</v>
      </c>
      <c r="L290" s="15">
        <f>IFERROR(__xludf.DUMMYFUNCTION("IF(A290="""","""",
  INDEX(FILTER('RE Portfolio'!C$2:C2000,'RE Portfolio'!D$2:D2000=""BUY""), INT((ROW()-2)/amortYears)+1)
  * (1 + VALUE(Assumptions!$B$11))^(D290-1)
)
"),1136601.3348038492)</f>
        <v>1136601.335</v>
      </c>
    </row>
    <row r="291">
      <c r="A291" s="15">
        <f>IFERROR(__xludf.DUMMYFUNCTION("IFERROR(INDEX(FILTER('RE Portfolio'!A$2:A2000,'RE Portfolio'!D$2:D2000=""BUY""), INT((ROW()-2)/amortYears)+1), )
"),8.0)</f>
        <v>8</v>
      </c>
      <c r="B291" s="15">
        <f>IFERROR(__xludf.DUMMYFUNCTION("IFERROR(INDEX(FILTER('RE Portfolio'!B$2:B2000,'RE Portfolio'!D$2:D2000=""BUY""), INT((ROW()-2)/amortYears)+1), )
"),43.0)</f>
        <v>43</v>
      </c>
      <c r="C291" s="15">
        <f>IFERROR(__xludf.DUMMYFUNCTION("IFERROR(INDEX(FILTER('RE Portfolio'!G$2:G2000,'RE Portfolio'!D$2:D2000=""BUY""), INT((ROW()-2)/amortYears)+1), )
"),359696.2917710622)</f>
        <v>359696.2918</v>
      </c>
      <c r="D291" s="15">
        <f>MOD(ROW()-2, amortYears)+1</f>
        <v>24</v>
      </c>
      <c r="E291" s="15">
        <f t="shared" si="1"/>
        <v>66</v>
      </c>
      <c r="F291" s="16">
        <f t="shared" si="2"/>
        <v>153105.1529</v>
      </c>
      <c r="G291" s="16">
        <f>IF(D291&lt;=mortTerm, -PMT(mortRate/12, mortTerm*12, C291)*12, 0)
</f>
        <v>27282.3029</v>
      </c>
      <c r="H291" s="16">
        <f>IF(D291&lt;=mortTerm, G291 - I291, 0)
</f>
        <v>9426.094664</v>
      </c>
      <c r="I291" s="16">
        <f>IF(D291&lt;=mortTerm, F291 - J291, 0)
</f>
        <v>17856.20824</v>
      </c>
      <c r="J291" s="16">
        <f>IF(D291&lt;=mortTerm,
   F291*(1+mortRate/12)^12 - (-PMT(mortRate/12, mortTerm*12, C291))*(((1+mortRate/12)^12 - 1)/(mortRate/12)),
   0
)
</f>
        <v>135248.9447</v>
      </c>
      <c r="K291" s="13">
        <f>IFERROR(__xludf.DUMMYFUNCTION("IF(A291="""","""",
   IF(F291&gt;0,
      INDEX(FILTER('RE Portfolio'!L$2:L2000,'RE Portfolio'!D$2:D2000=""BUY""), INT((ROW()-2)/amortYears)+1) - G291,
      INDEX(FILTER('RE Portfolio'!L$2:L2000,'RE Portfolio'!D$2:D2000=""BUY""), INT((ROW()-2)/amortYears)+1"&amp;")
   )
)
"),8399.569239991251)</f>
        <v>8399.56924</v>
      </c>
      <c r="L291" s="15">
        <f>IFERROR(__xludf.DUMMYFUNCTION("IF(A291="""","""",
  INDEX(FILTER('RE Portfolio'!C$2:C2000,'RE Portfolio'!D$2:D2000=""BUY""), INT((ROW()-2)/amortYears)+1)
  * (1 + VALUE(Assumptions!$B$11))^(D291-1)
)
"),1182065.3881960032)</f>
        <v>1182065.388</v>
      </c>
    </row>
    <row r="292">
      <c r="A292" s="15">
        <f>IFERROR(__xludf.DUMMYFUNCTION("IFERROR(INDEX(FILTER('RE Portfolio'!A$2:A2000,'RE Portfolio'!D$2:D2000=""BUY""), INT((ROW()-2)/amortYears)+1), )
"),8.0)</f>
        <v>8</v>
      </c>
      <c r="B292" s="15">
        <f>IFERROR(__xludf.DUMMYFUNCTION("IFERROR(INDEX(FILTER('RE Portfolio'!B$2:B2000,'RE Portfolio'!D$2:D2000=""BUY""), INT((ROW()-2)/amortYears)+1), )
"),43.0)</f>
        <v>43</v>
      </c>
      <c r="C292" s="15">
        <f>IFERROR(__xludf.DUMMYFUNCTION("IFERROR(INDEX(FILTER('RE Portfolio'!G$2:G2000,'RE Portfolio'!D$2:D2000=""BUY""), INT((ROW()-2)/amortYears)+1), )
"),359696.2917710622)</f>
        <v>359696.2918</v>
      </c>
      <c r="D292" s="15">
        <f>MOD(ROW()-2, amortYears)+1</f>
        <v>25</v>
      </c>
      <c r="E292" s="15">
        <f t="shared" si="1"/>
        <v>67</v>
      </c>
      <c r="F292" s="16">
        <f t="shared" si="2"/>
        <v>135248.9447</v>
      </c>
      <c r="G292" s="16">
        <f>IF(D292&lt;=mortTerm, -PMT(mortRate/12, mortTerm*12, C292)*12, 0)
</f>
        <v>27282.3029</v>
      </c>
      <c r="H292" s="16">
        <f>IF(D292&lt;=mortTerm, G292 - I292, 0)
</f>
        <v>8230.231329</v>
      </c>
      <c r="I292" s="16">
        <f>IF(D292&lt;=mortTerm, F292 - J292, 0)
</f>
        <v>19052.07157</v>
      </c>
      <c r="J292" s="16">
        <f>IF(D292&lt;=mortTerm,
   F292*(1+mortRate/12)^12 - (-PMT(mortRate/12, mortTerm*12, C292))*(((1+mortRate/12)^12 - 1)/(mortRate/12)),
   0
)
</f>
        <v>116196.8731</v>
      </c>
      <c r="K292" s="13">
        <f>IFERROR(__xludf.DUMMYFUNCTION("IF(A292="""","""",
   IF(F292&gt;0,
      INDEX(FILTER('RE Portfolio'!L$2:L2000,'RE Portfolio'!D$2:D2000=""BUY""), INT((ROW()-2)/amortYears)+1) - G292,
      INDEX(FILTER('RE Portfolio'!L$2:L2000,'RE Portfolio'!D$2:D2000=""BUY""), INT((ROW()-2)/amortYears)+1"&amp;")
   )
)
"),8399.569239991251)</f>
        <v>8399.56924</v>
      </c>
      <c r="L292" s="15">
        <f>IFERROR(__xludf.DUMMYFUNCTION("IF(A292="""","""",
  INDEX(FILTER('RE Portfolio'!C$2:C2000,'RE Portfolio'!D$2:D2000=""BUY""), INT((ROW()-2)/amortYears)+1)
  * (1 + VALUE(Assumptions!$B$11))^(D292-1)
)
"),1229348.0037238435)</f>
        <v>1229348.004</v>
      </c>
    </row>
    <row r="293">
      <c r="A293" s="15">
        <f>IFERROR(__xludf.DUMMYFUNCTION("IFERROR(INDEX(FILTER('RE Portfolio'!A$2:A2000,'RE Portfolio'!D$2:D2000=""BUY""), INT((ROW()-2)/amortYears)+1), )
"),8.0)</f>
        <v>8</v>
      </c>
      <c r="B293" s="15">
        <f>IFERROR(__xludf.DUMMYFUNCTION("IFERROR(INDEX(FILTER('RE Portfolio'!B$2:B2000,'RE Portfolio'!D$2:D2000=""BUY""), INT((ROW()-2)/amortYears)+1), )
"),43.0)</f>
        <v>43</v>
      </c>
      <c r="C293" s="15">
        <f>IFERROR(__xludf.DUMMYFUNCTION("IFERROR(INDEX(FILTER('RE Portfolio'!G$2:G2000,'RE Portfolio'!D$2:D2000=""BUY""), INT((ROW()-2)/amortYears)+1), )
"),359696.2917710622)</f>
        <v>359696.2918</v>
      </c>
      <c r="D293" s="15">
        <f>MOD(ROW()-2, amortYears)+1</f>
        <v>26</v>
      </c>
      <c r="E293" s="15">
        <f t="shared" si="1"/>
        <v>68</v>
      </c>
      <c r="F293" s="16">
        <f t="shared" si="2"/>
        <v>116196.8731</v>
      </c>
      <c r="G293" s="16">
        <f>IF(D293&lt;=mortTerm, -PMT(mortRate/12, mortTerm*12, C293)*12, 0)
</f>
        <v>27282.3029</v>
      </c>
      <c r="H293" s="16">
        <f>IF(D293&lt;=mortTerm, G293 - I293, 0)
</f>
        <v>6954.278811</v>
      </c>
      <c r="I293" s="16">
        <f>IF(D293&lt;=mortTerm, F293 - J293, 0)
</f>
        <v>20328.02409</v>
      </c>
      <c r="J293" s="16">
        <f>IF(D293&lt;=mortTerm,
   F293*(1+mortRate/12)^12 - (-PMT(mortRate/12, mortTerm*12, C293))*(((1+mortRate/12)^12 - 1)/(mortRate/12)),
   0
)
</f>
        <v>95868.84902</v>
      </c>
      <c r="K293" s="13">
        <f>IFERROR(__xludf.DUMMYFUNCTION("IF(A293="""","""",
   IF(F293&gt;0,
      INDEX(FILTER('RE Portfolio'!L$2:L2000,'RE Portfolio'!D$2:D2000=""BUY""), INT((ROW()-2)/amortYears)+1) - G293,
      INDEX(FILTER('RE Portfolio'!L$2:L2000,'RE Portfolio'!D$2:D2000=""BUY""), INT((ROW()-2)/amortYears)+1"&amp;")
   )
)
"),8399.569239991251)</f>
        <v>8399.56924</v>
      </c>
      <c r="L293" s="15">
        <f>IFERROR(__xludf.DUMMYFUNCTION("IF(A293="""","""",
  INDEX(FILTER('RE Portfolio'!C$2:C2000,'RE Portfolio'!D$2:D2000=""BUY""), INT((ROW()-2)/amortYears)+1)
  * (1 + VALUE(Assumptions!$B$11))^(D293-1)
)
"),1278521.923872797)</f>
        <v>1278521.924</v>
      </c>
    </row>
    <row r="294">
      <c r="A294" s="15">
        <f>IFERROR(__xludf.DUMMYFUNCTION("IFERROR(INDEX(FILTER('RE Portfolio'!A$2:A2000,'RE Portfolio'!D$2:D2000=""BUY""), INT((ROW()-2)/amortYears)+1), )
"),8.0)</f>
        <v>8</v>
      </c>
      <c r="B294" s="15">
        <f>IFERROR(__xludf.DUMMYFUNCTION("IFERROR(INDEX(FILTER('RE Portfolio'!B$2:B2000,'RE Portfolio'!D$2:D2000=""BUY""), INT((ROW()-2)/amortYears)+1), )
"),43.0)</f>
        <v>43</v>
      </c>
      <c r="C294" s="15">
        <f>IFERROR(__xludf.DUMMYFUNCTION("IFERROR(INDEX(FILTER('RE Portfolio'!G$2:G2000,'RE Portfolio'!D$2:D2000=""BUY""), INT((ROW()-2)/amortYears)+1), )
"),359696.2917710622)</f>
        <v>359696.2918</v>
      </c>
      <c r="D294" s="15">
        <f>MOD(ROW()-2, amortYears)+1</f>
        <v>27</v>
      </c>
      <c r="E294" s="15">
        <f t="shared" si="1"/>
        <v>69</v>
      </c>
      <c r="F294" s="16">
        <f t="shared" si="2"/>
        <v>95868.84902</v>
      </c>
      <c r="G294" s="16">
        <f>IF(D294&lt;=mortTerm, -PMT(mortRate/12, mortTerm*12, C294)*12, 0)
</f>
        <v>27282.3029</v>
      </c>
      <c r="H294" s="16">
        <f>IF(D294&lt;=mortTerm, G294 - I294, 0)
</f>
        <v>5592.87339</v>
      </c>
      <c r="I294" s="16">
        <f>IF(D294&lt;=mortTerm, F294 - J294, 0)
</f>
        <v>21689.42951</v>
      </c>
      <c r="J294" s="16">
        <f>IF(D294&lt;=mortTerm,
   F294*(1+mortRate/12)^12 - (-PMT(mortRate/12, mortTerm*12, C294))*(((1+mortRate/12)^12 - 1)/(mortRate/12)),
   0
)
</f>
        <v>74179.41951</v>
      </c>
      <c r="K294" s="13">
        <f>IFERROR(__xludf.DUMMYFUNCTION("IF(A294="""","""",
   IF(F294&gt;0,
      INDEX(FILTER('RE Portfolio'!L$2:L2000,'RE Portfolio'!D$2:D2000=""BUY""), INT((ROW()-2)/amortYears)+1) - G294,
      INDEX(FILTER('RE Portfolio'!L$2:L2000,'RE Portfolio'!D$2:D2000=""BUY""), INT((ROW()-2)/amortYears)+1"&amp;")
   )
)
"),8399.569239991251)</f>
        <v>8399.56924</v>
      </c>
      <c r="L294" s="15">
        <f>IFERROR(__xludf.DUMMYFUNCTION("IF(A294="""","""",
  INDEX(FILTER('RE Portfolio'!C$2:C2000,'RE Portfolio'!D$2:D2000=""BUY""), INT((ROW()-2)/amortYears)+1)
  * (1 + VALUE(Assumptions!$B$11))^(D294-1)
)
"),1329662.800827709)</f>
        <v>1329662.801</v>
      </c>
    </row>
    <row r="295">
      <c r="A295" s="15">
        <f>IFERROR(__xludf.DUMMYFUNCTION("IFERROR(INDEX(FILTER('RE Portfolio'!A$2:A2000,'RE Portfolio'!D$2:D2000=""BUY""), INT((ROW()-2)/amortYears)+1), )
"),8.0)</f>
        <v>8</v>
      </c>
      <c r="B295" s="15">
        <f>IFERROR(__xludf.DUMMYFUNCTION("IFERROR(INDEX(FILTER('RE Portfolio'!B$2:B2000,'RE Portfolio'!D$2:D2000=""BUY""), INT((ROW()-2)/amortYears)+1), )
"),43.0)</f>
        <v>43</v>
      </c>
      <c r="C295" s="15">
        <f>IFERROR(__xludf.DUMMYFUNCTION("IFERROR(INDEX(FILTER('RE Portfolio'!G$2:G2000,'RE Portfolio'!D$2:D2000=""BUY""), INT((ROW()-2)/amortYears)+1), )
"),359696.2917710622)</f>
        <v>359696.2918</v>
      </c>
      <c r="D295" s="15">
        <f>MOD(ROW()-2, amortYears)+1</f>
        <v>28</v>
      </c>
      <c r="E295" s="15">
        <f t="shared" si="1"/>
        <v>70</v>
      </c>
      <c r="F295" s="16">
        <f t="shared" si="2"/>
        <v>74179.41951</v>
      </c>
      <c r="G295" s="16">
        <f>IF(D295&lt;=mortTerm, -PMT(mortRate/12, mortTerm*12, C295)*12, 0)
</f>
        <v>27282.3029</v>
      </c>
      <c r="H295" s="16">
        <f>IF(D295&lt;=mortTerm, G295 - I295, 0)
</f>
        <v>4140.292126</v>
      </c>
      <c r="I295" s="16">
        <f>IF(D295&lt;=mortTerm, F295 - J295, 0)
</f>
        <v>23142.01078</v>
      </c>
      <c r="J295" s="16">
        <f>IF(D295&lt;=mortTerm,
   F295*(1+mortRate/12)^12 - (-PMT(mortRate/12, mortTerm*12, C295))*(((1+mortRate/12)^12 - 1)/(mortRate/12)),
   0
)
</f>
        <v>51037.40873</v>
      </c>
      <c r="K295" s="13">
        <f>IFERROR(__xludf.DUMMYFUNCTION("IF(A295="""","""",
   IF(F295&gt;0,
      INDEX(FILTER('RE Portfolio'!L$2:L2000,'RE Portfolio'!D$2:D2000=""BUY""), INT((ROW()-2)/amortYears)+1) - G295,
      INDEX(FILTER('RE Portfolio'!L$2:L2000,'RE Portfolio'!D$2:D2000=""BUY""), INT((ROW()-2)/amortYears)+1"&amp;")
   )
)
"),8399.569239991251)</f>
        <v>8399.56924</v>
      </c>
      <c r="L295" s="15">
        <f>IFERROR(__xludf.DUMMYFUNCTION("IF(A295="""","""",
  INDEX(FILTER('RE Portfolio'!C$2:C2000,'RE Portfolio'!D$2:D2000=""BUY""), INT((ROW()-2)/amortYears)+1)
  * (1 + VALUE(Assumptions!$B$11))^(D295-1)
)
"),1382849.3128608174)</f>
        <v>1382849.313</v>
      </c>
    </row>
    <row r="296">
      <c r="A296" s="15">
        <f>IFERROR(__xludf.DUMMYFUNCTION("IFERROR(INDEX(FILTER('RE Portfolio'!A$2:A2000,'RE Portfolio'!D$2:D2000=""BUY""), INT((ROW()-2)/amortYears)+1), )
"),8.0)</f>
        <v>8</v>
      </c>
      <c r="B296" s="15">
        <f>IFERROR(__xludf.DUMMYFUNCTION("IFERROR(INDEX(FILTER('RE Portfolio'!B$2:B2000,'RE Portfolio'!D$2:D2000=""BUY""), INT((ROW()-2)/amortYears)+1), )
"),43.0)</f>
        <v>43</v>
      </c>
      <c r="C296" s="15">
        <f>IFERROR(__xludf.DUMMYFUNCTION("IFERROR(INDEX(FILTER('RE Portfolio'!G$2:G2000,'RE Portfolio'!D$2:D2000=""BUY""), INT((ROW()-2)/amortYears)+1), )
"),359696.2917710622)</f>
        <v>359696.2918</v>
      </c>
      <c r="D296" s="15">
        <f>MOD(ROW()-2, amortYears)+1</f>
        <v>29</v>
      </c>
      <c r="E296" s="15">
        <f t="shared" si="1"/>
        <v>71</v>
      </c>
      <c r="F296" s="16">
        <f t="shared" si="2"/>
        <v>51037.40873</v>
      </c>
      <c r="G296" s="16">
        <f>IF(D296&lt;=mortTerm, -PMT(mortRate/12, mortTerm*12, C296)*12, 0)
</f>
        <v>27282.3029</v>
      </c>
      <c r="H296" s="16">
        <f>IF(D296&lt;=mortTerm, G296 - I296, 0)
</f>
        <v>2590.428806</v>
      </c>
      <c r="I296" s="16">
        <f>IF(D296&lt;=mortTerm, F296 - J296, 0)
</f>
        <v>24691.8741</v>
      </c>
      <c r="J296" s="16">
        <f>IF(D296&lt;=mortTerm,
   F296*(1+mortRate/12)^12 - (-PMT(mortRate/12, mortTerm*12, C296))*(((1+mortRate/12)^12 - 1)/(mortRate/12)),
   0
)
</f>
        <v>26345.53464</v>
      </c>
      <c r="K296" s="13">
        <f>IFERROR(__xludf.DUMMYFUNCTION("IF(A296="""","""",
   IF(F296&gt;0,
      INDEX(FILTER('RE Portfolio'!L$2:L2000,'RE Portfolio'!D$2:D2000=""BUY""), INT((ROW()-2)/amortYears)+1) - G296,
      INDEX(FILTER('RE Portfolio'!L$2:L2000,'RE Portfolio'!D$2:D2000=""BUY""), INT((ROW()-2)/amortYears)+1"&amp;")
   )
)
"),8399.569239991251)</f>
        <v>8399.56924</v>
      </c>
      <c r="L296" s="15">
        <f>IFERROR(__xludf.DUMMYFUNCTION("IF(A296="""","""",
  INDEX(FILTER('RE Portfolio'!C$2:C2000,'RE Portfolio'!D$2:D2000=""BUY""), INT((ROW()-2)/amortYears)+1)
  * (1 + VALUE(Assumptions!$B$11))^(D296-1)
)
"),1438163.2853752503)</f>
        <v>1438163.285</v>
      </c>
    </row>
    <row r="297">
      <c r="A297" s="15">
        <f>IFERROR(__xludf.DUMMYFUNCTION("IFERROR(INDEX(FILTER('RE Portfolio'!A$2:A2000,'RE Portfolio'!D$2:D2000=""BUY""), INT((ROW()-2)/amortYears)+1), )
"),8.0)</f>
        <v>8</v>
      </c>
      <c r="B297" s="15">
        <f>IFERROR(__xludf.DUMMYFUNCTION("IFERROR(INDEX(FILTER('RE Portfolio'!B$2:B2000,'RE Portfolio'!D$2:D2000=""BUY""), INT((ROW()-2)/amortYears)+1), )
"),43.0)</f>
        <v>43</v>
      </c>
      <c r="C297" s="15">
        <f>IFERROR(__xludf.DUMMYFUNCTION("IFERROR(INDEX(FILTER('RE Portfolio'!G$2:G2000,'RE Portfolio'!D$2:D2000=""BUY""), INT((ROW()-2)/amortYears)+1), )
"),359696.2917710622)</f>
        <v>359696.2918</v>
      </c>
      <c r="D297" s="15">
        <f>MOD(ROW()-2, amortYears)+1</f>
        <v>30</v>
      </c>
      <c r="E297" s="15">
        <f t="shared" si="1"/>
        <v>72</v>
      </c>
      <c r="F297" s="16">
        <f t="shared" si="2"/>
        <v>26345.53464</v>
      </c>
      <c r="G297" s="16">
        <f>IF(D297&lt;=mortTerm, -PMT(mortRate/12, mortTerm*12, C297)*12, 0)
</f>
        <v>27282.3029</v>
      </c>
      <c r="H297" s="16">
        <f>IF(D297&lt;=mortTerm, G297 - I297, 0)
</f>
        <v>936.7682679</v>
      </c>
      <c r="I297" s="16">
        <f>IF(D297&lt;=mortTerm, F297 - J297, 0)
</f>
        <v>26345.53464</v>
      </c>
      <c r="J297" s="16">
        <f>IF(D297&lt;=mortTerm,
   F297*(1+mortRate/12)^12 - (-PMT(mortRate/12, mortTerm*12, C297))*(((1+mortRate/12)^12 - 1)/(mortRate/12)),
   0
)
</f>
        <v>-0.0000000006439222489</v>
      </c>
      <c r="K297" s="13">
        <f>IFERROR(__xludf.DUMMYFUNCTION("IF(A297="""","""",
   IF(F297&gt;0,
      INDEX(FILTER('RE Portfolio'!L$2:L2000,'RE Portfolio'!D$2:D2000=""BUY""), INT((ROW()-2)/amortYears)+1) - G297,
      INDEX(FILTER('RE Portfolio'!L$2:L2000,'RE Portfolio'!D$2:D2000=""BUY""), INT((ROW()-2)/amortYears)+1"&amp;")
   )
)
"),8399.569239991251)</f>
        <v>8399.56924</v>
      </c>
      <c r="L297" s="15">
        <f>IFERROR(__xludf.DUMMYFUNCTION("IF(A297="""","""",
  INDEX(FILTER('RE Portfolio'!C$2:C2000,'RE Portfolio'!D$2:D2000=""BUY""), INT((ROW()-2)/amortYears)+1)
  * (1 + VALUE(Assumptions!$B$11))^(D297-1)
)
"),1495689.8167902604)</f>
        <v>1495689.817</v>
      </c>
    </row>
    <row r="298">
      <c r="A298" s="15">
        <f>IFERROR(__xludf.DUMMYFUNCTION("IFERROR(INDEX(FILTER('RE Portfolio'!A$2:A2000,'RE Portfolio'!D$2:D2000=""BUY""), INT((ROW()-2)/amortYears)+1), )
"),8.0)</f>
        <v>8</v>
      </c>
      <c r="B298" s="15">
        <f>IFERROR(__xludf.DUMMYFUNCTION("IFERROR(INDEX(FILTER('RE Portfolio'!B$2:B2000,'RE Portfolio'!D$2:D2000=""BUY""), INT((ROW()-2)/amortYears)+1), )
"),43.0)</f>
        <v>43</v>
      </c>
      <c r="C298" s="15">
        <f>IFERROR(__xludf.DUMMYFUNCTION("IFERROR(INDEX(FILTER('RE Portfolio'!G$2:G2000,'RE Portfolio'!D$2:D2000=""BUY""), INT((ROW()-2)/amortYears)+1), )
"),359696.2917710622)</f>
        <v>359696.2918</v>
      </c>
      <c r="D298" s="15">
        <f>MOD(ROW()-2, amortYears)+1</f>
        <v>31</v>
      </c>
      <c r="E298" s="15">
        <f t="shared" si="1"/>
        <v>73</v>
      </c>
      <c r="F298" s="16">
        <f t="shared" si="2"/>
        <v>-0.0000000006439222489</v>
      </c>
      <c r="G298" s="15">
        <f>IF(D298&lt;=mortTerm, -PMT(mortRate/12, mortTerm*12, C298)*12, 0)
</f>
        <v>0</v>
      </c>
      <c r="H298" s="15">
        <f>IF(D298&lt;=mortTerm, G298 - I298, 0)
</f>
        <v>0</v>
      </c>
      <c r="I298" s="15">
        <f>IF(D298&lt;=mortTerm, F298 - J298, 0)
</f>
        <v>0</v>
      </c>
      <c r="J298" s="15">
        <f>IF(D298&lt;=mortTerm,
   F298*(1+mortRate/12)^12 - (-PMT(mortRate/12, mortTerm*12, C298))*(((1+mortRate/12)^12 - 1)/(mortRate/12)),
   0
)
</f>
        <v>0</v>
      </c>
      <c r="K298" s="13">
        <f>IFERROR(__xludf.DUMMYFUNCTION("IF(A298="""","""",
   IF(F298&gt;0,
      INDEX(FILTER('RE Portfolio'!L$2:L2000,'RE Portfolio'!D$2:D2000=""BUY""), INT((ROW()-2)/amortYears)+1) - G298,
      INDEX(FILTER('RE Portfolio'!L$2:L2000,'RE Portfolio'!D$2:D2000=""BUY""), INT((ROW()-2)/amortYears)+1"&amp;")
   )
)
"),35681.87214368936)</f>
        <v>35681.87214</v>
      </c>
      <c r="L298" s="15">
        <f>IFERROR(__xludf.DUMMYFUNCTION("IF(A298="""","""",
  INDEX(FILTER('RE Portfolio'!C$2:C2000,'RE Portfolio'!D$2:D2000=""BUY""), INT((ROW()-2)/amortYears)+1)
  * (1 + VALUE(Assumptions!$B$11))^(D298-1)
)
"),1555517.4094618708)</f>
        <v>1555517.409</v>
      </c>
    </row>
    <row r="299">
      <c r="A299" s="15">
        <f>IFERROR(__xludf.DUMMYFUNCTION("IFERROR(INDEX(FILTER('RE Portfolio'!A$2:A2000,'RE Portfolio'!D$2:D2000=""BUY""), INT((ROW()-2)/amortYears)+1), )
"),8.0)</f>
        <v>8</v>
      </c>
      <c r="B299" s="15">
        <f>IFERROR(__xludf.DUMMYFUNCTION("IFERROR(INDEX(FILTER('RE Portfolio'!B$2:B2000,'RE Portfolio'!D$2:D2000=""BUY""), INT((ROW()-2)/amortYears)+1), )
"),43.0)</f>
        <v>43</v>
      </c>
      <c r="C299" s="15">
        <f>IFERROR(__xludf.DUMMYFUNCTION("IFERROR(INDEX(FILTER('RE Portfolio'!G$2:G2000,'RE Portfolio'!D$2:D2000=""BUY""), INT((ROW()-2)/amortYears)+1), )
"),359696.2917710622)</f>
        <v>359696.2918</v>
      </c>
      <c r="D299" s="15">
        <f>MOD(ROW()-2, amortYears)+1</f>
        <v>32</v>
      </c>
      <c r="E299" s="15">
        <f t="shared" si="1"/>
        <v>74</v>
      </c>
      <c r="F299" s="15">
        <f t="shared" si="2"/>
        <v>0</v>
      </c>
      <c r="G299" s="15">
        <f>IF(D299&lt;=mortTerm, -PMT(mortRate/12, mortTerm*12, C299)*12, 0)
</f>
        <v>0</v>
      </c>
      <c r="H299" s="15">
        <f>IF(D299&lt;=mortTerm, G299 - I299, 0)
</f>
        <v>0</v>
      </c>
      <c r="I299" s="15">
        <f>IF(D299&lt;=mortTerm, F299 - J299, 0)
</f>
        <v>0</v>
      </c>
      <c r="J299" s="15">
        <f>IF(D299&lt;=mortTerm,
   F299*(1+mortRate/12)^12 - (-PMT(mortRate/12, mortTerm*12, C299))*(((1+mortRate/12)^12 - 1)/(mortRate/12)),
   0
)
</f>
        <v>0</v>
      </c>
      <c r="K299" s="13">
        <f>IFERROR(__xludf.DUMMYFUNCTION("IF(A299="""","""",
   IF(F299&gt;0,
      INDEX(FILTER('RE Portfolio'!L$2:L2000,'RE Portfolio'!D$2:D2000=""BUY""), INT((ROW()-2)/amortYears)+1) - G299,
      INDEX(FILTER('RE Portfolio'!L$2:L2000,'RE Portfolio'!D$2:D2000=""BUY""), INT((ROW()-2)/amortYears)+1"&amp;")
   )
)
"),35681.87214368936)</f>
        <v>35681.87214</v>
      </c>
      <c r="L299" s="15">
        <f>IFERROR(__xludf.DUMMYFUNCTION("IF(A299="""","""",
  INDEX(FILTER('RE Portfolio'!C$2:C2000,'RE Portfolio'!D$2:D2000=""BUY""), INT((ROW()-2)/amortYears)+1)
  * (1 + VALUE(Assumptions!$B$11))^(D299-1)
)
"),1617738.1058403458)</f>
        <v>1617738.106</v>
      </c>
    </row>
    <row r="300">
      <c r="A300" s="15">
        <f>IFERROR(__xludf.DUMMYFUNCTION("IFERROR(INDEX(FILTER('RE Portfolio'!A$2:A2000,'RE Portfolio'!D$2:D2000=""BUY""), INT((ROW()-2)/amortYears)+1), )
"),8.0)</f>
        <v>8</v>
      </c>
      <c r="B300" s="15">
        <f>IFERROR(__xludf.DUMMYFUNCTION("IFERROR(INDEX(FILTER('RE Portfolio'!B$2:B2000,'RE Portfolio'!D$2:D2000=""BUY""), INT((ROW()-2)/amortYears)+1), )
"),43.0)</f>
        <v>43</v>
      </c>
      <c r="C300" s="15">
        <f>IFERROR(__xludf.DUMMYFUNCTION("IFERROR(INDEX(FILTER('RE Portfolio'!G$2:G2000,'RE Portfolio'!D$2:D2000=""BUY""), INT((ROW()-2)/amortYears)+1), )
"),359696.2917710622)</f>
        <v>359696.2918</v>
      </c>
      <c r="D300" s="15">
        <f>MOD(ROW()-2, amortYears)+1</f>
        <v>33</v>
      </c>
      <c r="E300" s="15">
        <f t="shared" si="1"/>
        <v>75</v>
      </c>
      <c r="F300" s="15">
        <f t="shared" si="2"/>
        <v>0</v>
      </c>
      <c r="G300" s="15">
        <f>IF(D300&lt;=mortTerm, -PMT(mortRate/12, mortTerm*12, C300)*12, 0)
</f>
        <v>0</v>
      </c>
      <c r="H300" s="15">
        <f>IF(D300&lt;=mortTerm, G300 - I300, 0)
</f>
        <v>0</v>
      </c>
      <c r="I300" s="15">
        <f>IF(D300&lt;=mortTerm, F300 - J300, 0)
</f>
        <v>0</v>
      </c>
      <c r="J300" s="15">
        <f>IF(D300&lt;=mortTerm,
   F300*(1+mortRate/12)^12 - (-PMT(mortRate/12, mortTerm*12, C300))*(((1+mortRate/12)^12 - 1)/(mortRate/12)),
   0
)
</f>
        <v>0</v>
      </c>
      <c r="K300" s="13">
        <f>IFERROR(__xludf.DUMMYFUNCTION("IF(A300="""","""",
   IF(F300&gt;0,
      INDEX(FILTER('RE Portfolio'!L$2:L2000,'RE Portfolio'!D$2:D2000=""BUY""), INT((ROW()-2)/amortYears)+1) - G300,
      INDEX(FILTER('RE Portfolio'!L$2:L2000,'RE Portfolio'!D$2:D2000=""BUY""), INT((ROW()-2)/amortYears)+1"&amp;")
   )
)
"),35681.87214368936)</f>
        <v>35681.87214</v>
      </c>
      <c r="L300" s="15">
        <f>IFERROR(__xludf.DUMMYFUNCTION("IF(A300="""","""",
  INDEX(FILTER('RE Portfolio'!C$2:C2000,'RE Portfolio'!D$2:D2000=""BUY""), INT((ROW()-2)/amortYears)+1)
  * (1 + VALUE(Assumptions!$B$11))^(D300-1)
)
"),1682447.6300739595)</f>
        <v>1682447.63</v>
      </c>
    </row>
    <row r="301">
      <c r="A301" s="15">
        <f>IFERROR(__xludf.DUMMYFUNCTION("IFERROR(INDEX(FILTER('RE Portfolio'!A$2:A2000,'RE Portfolio'!D$2:D2000=""BUY""), INT((ROW()-2)/amortYears)+1), )
"),8.0)</f>
        <v>8</v>
      </c>
      <c r="B301" s="15">
        <f>IFERROR(__xludf.DUMMYFUNCTION("IFERROR(INDEX(FILTER('RE Portfolio'!B$2:B2000,'RE Portfolio'!D$2:D2000=""BUY""), INT((ROW()-2)/amortYears)+1), )
"),43.0)</f>
        <v>43</v>
      </c>
      <c r="C301" s="15">
        <f>IFERROR(__xludf.DUMMYFUNCTION("IFERROR(INDEX(FILTER('RE Portfolio'!G$2:G2000,'RE Portfolio'!D$2:D2000=""BUY""), INT((ROW()-2)/amortYears)+1), )
"),359696.2917710622)</f>
        <v>359696.2918</v>
      </c>
      <c r="D301" s="15">
        <f>MOD(ROW()-2, amortYears)+1</f>
        <v>34</v>
      </c>
      <c r="E301" s="15">
        <f t="shared" si="1"/>
        <v>76</v>
      </c>
      <c r="F301" s="15">
        <f t="shared" si="2"/>
        <v>0</v>
      </c>
      <c r="G301" s="15">
        <f>IF(D301&lt;=mortTerm, -PMT(mortRate/12, mortTerm*12, C301)*12, 0)
</f>
        <v>0</v>
      </c>
      <c r="H301" s="15">
        <f>IF(D301&lt;=mortTerm, G301 - I301, 0)
</f>
        <v>0</v>
      </c>
      <c r="I301" s="15">
        <f>IF(D301&lt;=mortTerm, F301 - J301, 0)
</f>
        <v>0</v>
      </c>
      <c r="J301" s="15">
        <f>IF(D301&lt;=mortTerm,
   F301*(1+mortRate/12)^12 - (-PMT(mortRate/12, mortTerm*12, C301))*(((1+mortRate/12)^12 - 1)/(mortRate/12)),
   0
)
</f>
        <v>0</v>
      </c>
      <c r="K301" s="13">
        <f>IFERROR(__xludf.DUMMYFUNCTION("IF(A301="""","""",
   IF(F301&gt;0,
      INDEX(FILTER('RE Portfolio'!L$2:L2000,'RE Portfolio'!D$2:D2000=""BUY""), INT((ROW()-2)/amortYears)+1) - G301,
      INDEX(FILTER('RE Portfolio'!L$2:L2000,'RE Portfolio'!D$2:D2000=""BUY""), INT((ROW()-2)/amortYears)+1"&amp;")
   )
)
"),35681.87214368936)</f>
        <v>35681.87214</v>
      </c>
      <c r="L301" s="15">
        <f>IFERROR(__xludf.DUMMYFUNCTION("IF(A301="""","""",
  INDEX(FILTER('RE Portfolio'!C$2:C2000,'RE Portfolio'!D$2:D2000=""BUY""), INT((ROW()-2)/amortYears)+1)
  * (1 + VALUE(Assumptions!$B$11))^(D301-1)
)
"),1749745.5352769182)</f>
        <v>1749745.535</v>
      </c>
    </row>
    <row r="302">
      <c r="A302" s="15">
        <f>IFERROR(__xludf.DUMMYFUNCTION("IFERROR(INDEX(FILTER('RE Portfolio'!A$2:A2000,'RE Portfolio'!D$2:D2000=""BUY""), INT((ROW()-2)/amortYears)+1), )
"),8.0)</f>
        <v>8</v>
      </c>
      <c r="B302" s="15">
        <f>IFERROR(__xludf.DUMMYFUNCTION("IFERROR(INDEX(FILTER('RE Portfolio'!B$2:B2000,'RE Portfolio'!D$2:D2000=""BUY""), INT((ROW()-2)/amortYears)+1), )
"),43.0)</f>
        <v>43</v>
      </c>
      <c r="C302" s="15">
        <f>IFERROR(__xludf.DUMMYFUNCTION("IFERROR(INDEX(FILTER('RE Portfolio'!G$2:G2000,'RE Portfolio'!D$2:D2000=""BUY""), INT((ROW()-2)/amortYears)+1), )
"),359696.2917710622)</f>
        <v>359696.2918</v>
      </c>
      <c r="D302" s="15">
        <f>MOD(ROW()-2, amortYears)+1</f>
        <v>35</v>
      </c>
      <c r="E302" s="15">
        <f t="shared" si="1"/>
        <v>77</v>
      </c>
      <c r="F302" s="15">
        <f t="shared" si="2"/>
        <v>0</v>
      </c>
      <c r="G302" s="15">
        <f>IF(D302&lt;=mortTerm, -PMT(mortRate/12, mortTerm*12, C302)*12, 0)
</f>
        <v>0</v>
      </c>
      <c r="H302" s="15">
        <f>IF(D302&lt;=mortTerm, G302 - I302, 0)
</f>
        <v>0</v>
      </c>
      <c r="I302" s="15">
        <f>IF(D302&lt;=mortTerm, F302 - J302, 0)
</f>
        <v>0</v>
      </c>
      <c r="J302" s="15">
        <f>IF(D302&lt;=mortTerm,
   F302*(1+mortRate/12)^12 - (-PMT(mortRate/12, mortTerm*12, C302))*(((1+mortRate/12)^12 - 1)/(mortRate/12)),
   0
)
</f>
        <v>0</v>
      </c>
      <c r="K302" s="13">
        <f>IFERROR(__xludf.DUMMYFUNCTION("IF(A302="""","""",
   IF(F302&gt;0,
      INDEX(FILTER('RE Portfolio'!L$2:L2000,'RE Portfolio'!D$2:D2000=""BUY""), INT((ROW()-2)/amortYears)+1) - G302,
      INDEX(FILTER('RE Portfolio'!L$2:L2000,'RE Portfolio'!D$2:D2000=""BUY""), INT((ROW()-2)/amortYears)+1"&amp;")
   )
)
"),35681.87214368936)</f>
        <v>35681.87214</v>
      </c>
      <c r="L302" s="15">
        <f>IFERROR(__xludf.DUMMYFUNCTION("IF(A302="""","""",
  INDEX(FILTER('RE Portfolio'!C$2:C2000,'RE Portfolio'!D$2:D2000=""BUY""), INT((ROW()-2)/amortYears)+1)
  * (1 + VALUE(Assumptions!$B$11))^(D302-1)
)
"),1819735.356687995)</f>
        <v>1819735.357</v>
      </c>
    </row>
    <row r="303">
      <c r="A303" s="15">
        <f>IFERROR(__xludf.DUMMYFUNCTION("IFERROR(INDEX(FILTER('RE Portfolio'!A$2:A2000,'RE Portfolio'!D$2:D2000=""BUY""), INT((ROW()-2)/amortYears)+1), )
"),8.0)</f>
        <v>8</v>
      </c>
      <c r="B303" s="15">
        <f>IFERROR(__xludf.DUMMYFUNCTION("IFERROR(INDEX(FILTER('RE Portfolio'!B$2:B2000,'RE Portfolio'!D$2:D2000=""BUY""), INT((ROW()-2)/amortYears)+1), )
"),43.0)</f>
        <v>43</v>
      </c>
      <c r="C303" s="15">
        <f>IFERROR(__xludf.DUMMYFUNCTION("IFERROR(INDEX(FILTER('RE Portfolio'!G$2:G2000,'RE Portfolio'!D$2:D2000=""BUY""), INT((ROW()-2)/amortYears)+1), )
"),359696.2917710622)</f>
        <v>359696.2918</v>
      </c>
      <c r="D303" s="15">
        <f>MOD(ROW()-2, amortYears)+1</f>
        <v>36</v>
      </c>
      <c r="E303" s="15">
        <f t="shared" si="1"/>
        <v>78</v>
      </c>
      <c r="F303" s="15">
        <f t="shared" si="2"/>
        <v>0</v>
      </c>
      <c r="G303" s="15">
        <f>IF(D303&lt;=mortTerm, -PMT(mortRate/12, mortTerm*12, C303)*12, 0)
</f>
        <v>0</v>
      </c>
      <c r="H303" s="15">
        <f>IF(D303&lt;=mortTerm, G303 - I303, 0)
</f>
        <v>0</v>
      </c>
      <c r="I303" s="15">
        <f>IF(D303&lt;=mortTerm, F303 - J303, 0)
</f>
        <v>0</v>
      </c>
      <c r="J303" s="15">
        <f>IF(D303&lt;=mortTerm,
   F303*(1+mortRate/12)^12 - (-PMT(mortRate/12, mortTerm*12, C303))*(((1+mortRate/12)^12 - 1)/(mortRate/12)),
   0
)
</f>
        <v>0</v>
      </c>
      <c r="K303" s="13">
        <f>IFERROR(__xludf.DUMMYFUNCTION("IF(A303="""","""",
   IF(F303&gt;0,
      INDEX(FILTER('RE Portfolio'!L$2:L2000,'RE Portfolio'!D$2:D2000=""BUY""), INT((ROW()-2)/amortYears)+1) - G303,
      INDEX(FILTER('RE Portfolio'!L$2:L2000,'RE Portfolio'!D$2:D2000=""BUY""), INT((ROW()-2)/amortYears)+1"&amp;")
   )
)
"),35681.87214368936)</f>
        <v>35681.87214</v>
      </c>
      <c r="L303" s="15">
        <f>IFERROR(__xludf.DUMMYFUNCTION("IF(A303="""","""",
  INDEX(FILTER('RE Portfolio'!C$2:C2000,'RE Portfolio'!D$2:D2000=""BUY""), INT((ROW()-2)/amortYears)+1)
  * (1 + VALUE(Assumptions!$B$11))^(D303-1)
)
"),1892524.7709555146)</f>
        <v>1892524.771</v>
      </c>
    </row>
    <row r="304">
      <c r="A304" s="15">
        <f>IFERROR(__xludf.DUMMYFUNCTION("IFERROR(INDEX(FILTER('RE Portfolio'!A$2:A2000,'RE Portfolio'!D$2:D2000=""BUY""), INT((ROW()-2)/amortYears)+1), )
"),8.0)</f>
        <v>8</v>
      </c>
      <c r="B304" s="15">
        <f>IFERROR(__xludf.DUMMYFUNCTION("IFERROR(INDEX(FILTER('RE Portfolio'!B$2:B2000,'RE Portfolio'!D$2:D2000=""BUY""), INT((ROW()-2)/amortYears)+1), )
"),43.0)</f>
        <v>43</v>
      </c>
      <c r="C304" s="15">
        <f>IFERROR(__xludf.DUMMYFUNCTION("IFERROR(INDEX(FILTER('RE Portfolio'!G$2:G2000,'RE Portfolio'!D$2:D2000=""BUY""), INT((ROW()-2)/amortYears)+1), )
"),359696.2917710622)</f>
        <v>359696.2918</v>
      </c>
      <c r="D304" s="15">
        <f>MOD(ROW()-2, amortYears)+1</f>
        <v>37</v>
      </c>
      <c r="E304" s="15">
        <f t="shared" si="1"/>
        <v>79</v>
      </c>
      <c r="F304" s="15">
        <f t="shared" si="2"/>
        <v>0</v>
      </c>
      <c r="G304" s="15">
        <f>IF(D304&lt;=mortTerm, -PMT(mortRate/12, mortTerm*12, C304)*12, 0)
</f>
        <v>0</v>
      </c>
      <c r="H304" s="15">
        <f>IF(D304&lt;=mortTerm, G304 - I304, 0)
</f>
        <v>0</v>
      </c>
      <c r="I304" s="15">
        <f>IF(D304&lt;=mortTerm, F304 - J304, 0)
</f>
        <v>0</v>
      </c>
      <c r="J304" s="15">
        <f>IF(D304&lt;=mortTerm,
   F304*(1+mortRate/12)^12 - (-PMT(mortRate/12, mortTerm*12, C304))*(((1+mortRate/12)^12 - 1)/(mortRate/12)),
   0
)
</f>
        <v>0</v>
      </c>
      <c r="K304" s="13">
        <f>IFERROR(__xludf.DUMMYFUNCTION("IF(A304="""","""",
   IF(F304&gt;0,
      INDEX(FILTER('RE Portfolio'!L$2:L2000,'RE Portfolio'!D$2:D2000=""BUY""), INT((ROW()-2)/amortYears)+1) - G304,
      INDEX(FILTER('RE Portfolio'!L$2:L2000,'RE Portfolio'!D$2:D2000=""BUY""), INT((ROW()-2)/amortYears)+1"&amp;")
   )
)
"),35681.87214368936)</f>
        <v>35681.87214</v>
      </c>
      <c r="L304" s="15">
        <f>IFERROR(__xludf.DUMMYFUNCTION("IF(A304="""","""",
  INDEX(FILTER('RE Portfolio'!C$2:C2000,'RE Portfolio'!D$2:D2000=""BUY""), INT((ROW()-2)/amortYears)+1)
  * (1 + VALUE(Assumptions!$B$11))^(D304-1)
)
"),1968225.7617937354)</f>
        <v>1968225.762</v>
      </c>
    </row>
    <row r="305">
      <c r="A305" s="15">
        <f>IFERROR(__xludf.DUMMYFUNCTION("IFERROR(INDEX(FILTER('RE Portfolio'!A$2:A2000,'RE Portfolio'!D$2:D2000=""BUY""), INT((ROW()-2)/amortYears)+1), )
"),8.0)</f>
        <v>8</v>
      </c>
      <c r="B305" s="15">
        <f>IFERROR(__xludf.DUMMYFUNCTION("IFERROR(INDEX(FILTER('RE Portfolio'!B$2:B2000,'RE Portfolio'!D$2:D2000=""BUY""), INT((ROW()-2)/amortYears)+1), )
"),43.0)</f>
        <v>43</v>
      </c>
      <c r="C305" s="15">
        <f>IFERROR(__xludf.DUMMYFUNCTION("IFERROR(INDEX(FILTER('RE Portfolio'!G$2:G2000,'RE Portfolio'!D$2:D2000=""BUY""), INT((ROW()-2)/amortYears)+1), )
"),359696.2917710622)</f>
        <v>359696.2918</v>
      </c>
      <c r="D305" s="15">
        <f>MOD(ROW()-2, amortYears)+1</f>
        <v>38</v>
      </c>
      <c r="E305" s="15">
        <f t="shared" si="1"/>
        <v>80</v>
      </c>
      <c r="F305" s="15">
        <f t="shared" si="2"/>
        <v>0</v>
      </c>
      <c r="G305" s="15">
        <f>IF(D305&lt;=mortTerm, -PMT(mortRate/12, mortTerm*12, C305)*12, 0)
</f>
        <v>0</v>
      </c>
      <c r="H305" s="15">
        <f>IF(D305&lt;=mortTerm, G305 - I305, 0)
</f>
        <v>0</v>
      </c>
      <c r="I305" s="15">
        <f>IF(D305&lt;=mortTerm, F305 - J305, 0)
</f>
        <v>0</v>
      </c>
      <c r="J305" s="15">
        <f>IF(D305&lt;=mortTerm,
   F305*(1+mortRate/12)^12 - (-PMT(mortRate/12, mortTerm*12, C305))*(((1+mortRate/12)^12 - 1)/(mortRate/12)),
   0
)
</f>
        <v>0</v>
      </c>
      <c r="K305" s="13">
        <f>IFERROR(__xludf.DUMMYFUNCTION("IF(A305="""","""",
   IF(F305&gt;0,
      INDEX(FILTER('RE Portfolio'!L$2:L2000,'RE Portfolio'!D$2:D2000=""BUY""), INT((ROW()-2)/amortYears)+1) - G305,
      INDEX(FILTER('RE Portfolio'!L$2:L2000,'RE Portfolio'!D$2:D2000=""BUY""), INT((ROW()-2)/amortYears)+1"&amp;")
   )
)
"),35681.87214368936)</f>
        <v>35681.87214</v>
      </c>
      <c r="L305" s="15">
        <f>IFERROR(__xludf.DUMMYFUNCTION("IF(A305="""","""",
  INDEX(FILTER('RE Portfolio'!C$2:C2000,'RE Portfolio'!D$2:D2000=""BUY""), INT((ROW()-2)/amortYears)+1)
  * (1 + VALUE(Assumptions!$B$11))^(D305-1)
)
"),2046954.7922654846)</f>
        <v>2046954.792</v>
      </c>
    </row>
    <row r="306">
      <c r="A306" s="15">
        <f>IFERROR(__xludf.DUMMYFUNCTION("IFERROR(INDEX(FILTER('RE Portfolio'!A$2:A2000,'RE Portfolio'!D$2:D2000=""BUY""), INT((ROW()-2)/amortYears)+1), )
"),9.0)</f>
        <v>9</v>
      </c>
      <c r="B306" s="15">
        <f>IFERROR(__xludf.DUMMYFUNCTION("IFERROR(INDEX(FILTER('RE Portfolio'!B$2:B2000,'RE Portfolio'!D$2:D2000=""BUY""), INT((ROW()-2)/amortYears)+1), )
"),44.0)</f>
        <v>44</v>
      </c>
      <c r="C306" s="15">
        <f>IFERROR(__xludf.DUMMYFUNCTION("IFERROR(INDEX(FILTER('RE Portfolio'!G$2:G2000,'RE Portfolio'!D$2:D2000=""BUY""), INT((ROW()-2)/amortYears)+1), )
"),368688.6990653387)</f>
        <v>368688.6991</v>
      </c>
      <c r="D306" s="15">
        <f>MOD(ROW()-2, amortYears)+1</f>
        <v>1</v>
      </c>
      <c r="E306" s="15">
        <f t="shared" si="1"/>
        <v>44</v>
      </c>
      <c r="F306" s="15">
        <f t="shared" si="2"/>
        <v>368688.6991</v>
      </c>
      <c r="G306" s="16">
        <f>IF(D306&lt;=mortTerm, -PMT(mortRate/12, mortTerm*12, C306)*12, 0)
</f>
        <v>27964.36048</v>
      </c>
      <c r="H306" s="16">
        <f>IF(D306&lt;=mortTerm, G306 - I306, 0)
</f>
        <v>23843.43299</v>
      </c>
      <c r="I306" s="16">
        <f>IF(D306&lt;=mortTerm, F306 - J306, 0)
</f>
        <v>4120.927491</v>
      </c>
      <c r="J306" s="16">
        <f>IF(D306&lt;=mortTerm,
   F306*(1+mortRate/12)^12 - (-PMT(mortRate/12, mortTerm*12, C306))*(((1+mortRate/12)^12 - 1)/(mortRate/12)),
   0
)
</f>
        <v>364567.7716</v>
      </c>
      <c r="K306" s="13">
        <f>IFERROR(__xludf.DUMMYFUNCTION("IF(A306="""","""",
   IF(F306&gt;0,
      INDEX(FILTER('RE Portfolio'!L$2:L2000,'RE Portfolio'!D$2:D2000=""BUY""), INT((ROW()-2)/amortYears)+1) - G306,
      INDEX(FILTER('RE Portfolio'!L$2:L2000,'RE Portfolio'!D$2:D2000=""BUY""), INT((ROW()-2)/amortYears)+1"&amp;")
   )
)
"),8609.558470991036)</f>
        <v>8609.558471</v>
      </c>
      <c r="L306" s="15">
        <f>IFERROR(__xludf.DUMMYFUNCTION("IF(A306="""","""",
  INDEX(FILTER('RE Portfolio'!C$2:C2000,'RE Portfolio'!D$2:D2000=""BUY""), INT((ROW()-2)/amortYears)+1)
  * (1 + VALUE(Assumptions!$B$11))^(D306-1)
)
"),491584.9320871183)</f>
        <v>491584.9321</v>
      </c>
    </row>
    <row r="307">
      <c r="A307" s="15">
        <f>IFERROR(__xludf.DUMMYFUNCTION("IFERROR(INDEX(FILTER('RE Portfolio'!A$2:A2000,'RE Portfolio'!D$2:D2000=""BUY""), INT((ROW()-2)/amortYears)+1), )
"),9.0)</f>
        <v>9</v>
      </c>
      <c r="B307" s="15">
        <f>IFERROR(__xludf.DUMMYFUNCTION("IFERROR(INDEX(FILTER('RE Portfolio'!B$2:B2000,'RE Portfolio'!D$2:D2000=""BUY""), INT((ROW()-2)/amortYears)+1), )
"),44.0)</f>
        <v>44</v>
      </c>
      <c r="C307" s="15">
        <f>IFERROR(__xludf.DUMMYFUNCTION("IFERROR(INDEX(FILTER('RE Portfolio'!G$2:G2000,'RE Portfolio'!D$2:D2000=""BUY""), INT((ROW()-2)/amortYears)+1), )
"),368688.6990653387)</f>
        <v>368688.6991</v>
      </c>
      <c r="D307" s="15">
        <f>MOD(ROW()-2, amortYears)+1</f>
        <v>2</v>
      </c>
      <c r="E307" s="15">
        <f t="shared" si="1"/>
        <v>45</v>
      </c>
      <c r="F307" s="16">
        <f t="shared" si="2"/>
        <v>364567.7716</v>
      </c>
      <c r="G307" s="16">
        <f>IF(D307&lt;=mortTerm, -PMT(mortRate/12, mortTerm*12, C307)*12, 0)
</f>
        <v>27964.36048</v>
      </c>
      <c r="H307" s="16">
        <f>IF(D307&lt;=mortTerm, G307 - I307, 0)
</f>
        <v>23567.44684</v>
      </c>
      <c r="I307" s="16">
        <f>IF(D307&lt;=mortTerm, F307 - J307, 0)
</f>
        <v>4396.913637</v>
      </c>
      <c r="J307" s="16">
        <f>IF(D307&lt;=mortTerm,
   F307*(1+mortRate/12)^12 - (-PMT(mortRate/12, mortTerm*12, C307))*(((1+mortRate/12)^12 - 1)/(mortRate/12)),
   0
)
</f>
        <v>360170.8579</v>
      </c>
      <c r="K307" s="13">
        <f>IFERROR(__xludf.DUMMYFUNCTION("IF(A307="""","""",
   IF(F307&gt;0,
      INDEX(FILTER('RE Portfolio'!L$2:L2000,'RE Portfolio'!D$2:D2000=""BUY""), INT((ROW()-2)/amortYears)+1) - G307,
      INDEX(FILTER('RE Portfolio'!L$2:L2000,'RE Portfolio'!D$2:D2000=""BUY""), INT((ROW()-2)/amortYears)+1"&amp;")
   )
)
"),8609.558470991036)</f>
        <v>8609.558471</v>
      </c>
      <c r="L307" s="15">
        <f>IFERROR(__xludf.DUMMYFUNCTION("IF(A307="""","""",
  INDEX(FILTER('RE Portfolio'!C$2:C2000,'RE Portfolio'!D$2:D2000=""BUY""), INT((ROW()-2)/amortYears)+1)
  * (1 + VALUE(Assumptions!$B$11))^(D307-1)
)
"),511248.329370603)</f>
        <v>511248.3294</v>
      </c>
    </row>
    <row r="308">
      <c r="A308" s="15">
        <f>IFERROR(__xludf.DUMMYFUNCTION("IFERROR(INDEX(FILTER('RE Portfolio'!A$2:A2000,'RE Portfolio'!D$2:D2000=""BUY""), INT((ROW()-2)/amortYears)+1), )
"),9.0)</f>
        <v>9</v>
      </c>
      <c r="B308" s="15">
        <f>IFERROR(__xludf.DUMMYFUNCTION("IFERROR(INDEX(FILTER('RE Portfolio'!B$2:B2000,'RE Portfolio'!D$2:D2000=""BUY""), INT((ROW()-2)/amortYears)+1), )
"),44.0)</f>
        <v>44</v>
      </c>
      <c r="C308" s="15">
        <f>IFERROR(__xludf.DUMMYFUNCTION("IFERROR(INDEX(FILTER('RE Portfolio'!G$2:G2000,'RE Portfolio'!D$2:D2000=""BUY""), INT((ROW()-2)/amortYears)+1), )
"),368688.6990653387)</f>
        <v>368688.6991</v>
      </c>
      <c r="D308" s="15">
        <f>MOD(ROW()-2, amortYears)+1</f>
        <v>3</v>
      </c>
      <c r="E308" s="15">
        <f t="shared" si="1"/>
        <v>46</v>
      </c>
      <c r="F308" s="16">
        <f t="shared" si="2"/>
        <v>360170.8579</v>
      </c>
      <c r="G308" s="16">
        <f>IF(D308&lt;=mortTerm, -PMT(mortRate/12, mortTerm*12, C308)*12, 0)
</f>
        <v>27964.36048</v>
      </c>
      <c r="H308" s="16">
        <f>IF(D308&lt;=mortTerm, G308 - I308, 0)
</f>
        <v>23272.97739</v>
      </c>
      <c r="I308" s="16">
        <f>IF(D308&lt;=mortTerm, F308 - J308, 0)
</f>
        <v>4691.383086</v>
      </c>
      <c r="J308" s="16">
        <f>IF(D308&lt;=mortTerm,
   F308*(1+mortRate/12)^12 - (-PMT(mortRate/12, mortTerm*12, C308))*(((1+mortRate/12)^12 - 1)/(mortRate/12)),
   0
)
</f>
        <v>355479.4749</v>
      </c>
      <c r="K308" s="13">
        <f>IFERROR(__xludf.DUMMYFUNCTION("IF(A308="""","""",
   IF(F308&gt;0,
      INDEX(FILTER('RE Portfolio'!L$2:L2000,'RE Portfolio'!D$2:D2000=""BUY""), INT((ROW()-2)/amortYears)+1) - G308,
      INDEX(FILTER('RE Portfolio'!L$2:L2000,'RE Portfolio'!D$2:D2000=""BUY""), INT((ROW()-2)/amortYears)+1"&amp;")
   )
)
"),8609.558470991036)</f>
        <v>8609.558471</v>
      </c>
      <c r="L308" s="15">
        <f>IFERROR(__xludf.DUMMYFUNCTION("IF(A308="""","""",
  INDEX(FILTER('RE Portfolio'!C$2:C2000,'RE Portfolio'!D$2:D2000=""BUY""), INT((ROW()-2)/amortYears)+1)
  * (1 + VALUE(Assumptions!$B$11))^(D308-1)
)
"),531698.2625454272)</f>
        <v>531698.2625</v>
      </c>
    </row>
    <row r="309">
      <c r="A309" s="15">
        <f>IFERROR(__xludf.DUMMYFUNCTION("IFERROR(INDEX(FILTER('RE Portfolio'!A$2:A2000,'RE Portfolio'!D$2:D2000=""BUY""), INT((ROW()-2)/amortYears)+1), )
"),9.0)</f>
        <v>9</v>
      </c>
      <c r="B309" s="15">
        <f>IFERROR(__xludf.DUMMYFUNCTION("IFERROR(INDEX(FILTER('RE Portfolio'!B$2:B2000,'RE Portfolio'!D$2:D2000=""BUY""), INT((ROW()-2)/amortYears)+1), )
"),44.0)</f>
        <v>44</v>
      </c>
      <c r="C309" s="15">
        <f>IFERROR(__xludf.DUMMYFUNCTION("IFERROR(INDEX(FILTER('RE Portfolio'!G$2:G2000,'RE Portfolio'!D$2:D2000=""BUY""), INT((ROW()-2)/amortYears)+1), )
"),368688.6990653387)</f>
        <v>368688.6991</v>
      </c>
      <c r="D309" s="15">
        <f>MOD(ROW()-2, amortYears)+1</f>
        <v>4</v>
      </c>
      <c r="E309" s="15">
        <f t="shared" si="1"/>
        <v>47</v>
      </c>
      <c r="F309" s="16">
        <f t="shared" si="2"/>
        <v>355479.4749</v>
      </c>
      <c r="G309" s="16">
        <f>IF(D309&lt;=mortTerm, -PMT(mortRate/12, mortTerm*12, C309)*12, 0)
</f>
        <v>27964.36048</v>
      </c>
      <c r="H309" s="16">
        <f>IF(D309&lt;=mortTerm, G309 - I309, 0)
</f>
        <v>22958.78678</v>
      </c>
      <c r="I309" s="16">
        <f>IF(D309&lt;=mortTerm, F309 - J309, 0)
</f>
        <v>5005.5737</v>
      </c>
      <c r="J309" s="16">
        <f>IF(D309&lt;=mortTerm,
   F309*(1+mortRate/12)^12 - (-PMT(mortRate/12, mortTerm*12, C309))*(((1+mortRate/12)^12 - 1)/(mortRate/12)),
   0
)
</f>
        <v>350473.9012</v>
      </c>
      <c r="K309" s="13">
        <f>IFERROR(__xludf.DUMMYFUNCTION("IF(A309="""","""",
   IF(F309&gt;0,
      INDEX(FILTER('RE Portfolio'!L$2:L2000,'RE Portfolio'!D$2:D2000=""BUY""), INT((ROW()-2)/amortYears)+1) - G309,
      INDEX(FILTER('RE Portfolio'!L$2:L2000,'RE Portfolio'!D$2:D2000=""BUY""), INT((ROW()-2)/amortYears)+1"&amp;")
   )
)
"),8609.558470991036)</f>
        <v>8609.558471</v>
      </c>
      <c r="L309" s="15">
        <f>IFERROR(__xludf.DUMMYFUNCTION("IF(A309="""","""",
  INDEX(FILTER('RE Portfolio'!C$2:C2000,'RE Portfolio'!D$2:D2000=""BUY""), INT((ROW()-2)/amortYears)+1)
  * (1 + VALUE(Assumptions!$B$11))^(D309-1)
)
"),552966.1930472442)</f>
        <v>552966.193</v>
      </c>
    </row>
    <row r="310">
      <c r="A310" s="15">
        <f>IFERROR(__xludf.DUMMYFUNCTION("IFERROR(INDEX(FILTER('RE Portfolio'!A$2:A2000,'RE Portfolio'!D$2:D2000=""BUY""), INT((ROW()-2)/amortYears)+1), )
"),9.0)</f>
        <v>9</v>
      </c>
      <c r="B310" s="15">
        <f>IFERROR(__xludf.DUMMYFUNCTION("IFERROR(INDEX(FILTER('RE Portfolio'!B$2:B2000,'RE Portfolio'!D$2:D2000=""BUY""), INT((ROW()-2)/amortYears)+1), )
"),44.0)</f>
        <v>44</v>
      </c>
      <c r="C310" s="15">
        <f>IFERROR(__xludf.DUMMYFUNCTION("IFERROR(INDEX(FILTER('RE Portfolio'!G$2:G2000,'RE Portfolio'!D$2:D2000=""BUY""), INT((ROW()-2)/amortYears)+1), )
"),368688.6990653387)</f>
        <v>368688.6991</v>
      </c>
      <c r="D310" s="15">
        <f>MOD(ROW()-2, amortYears)+1</f>
        <v>5</v>
      </c>
      <c r="E310" s="15">
        <f t="shared" si="1"/>
        <v>48</v>
      </c>
      <c r="F310" s="16">
        <f t="shared" si="2"/>
        <v>350473.9012</v>
      </c>
      <c r="G310" s="16">
        <f>IF(D310&lt;=mortTerm, -PMT(mortRate/12, mortTerm*12, C310)*12, 0)
</f>
        <v>27964.36048</v>
      </c>
      <c r="H310" s="16">
        <f>IF(D310&lt;=mortTerm, G310 - I310, 0)
</f>
        <v>22623.55424</v>
      </c>
      <c r="I310" s="16">
        <f>IF(D310&lt;=mortTerm, F310 - J310, 0)
</f>
        <v>5340.806241</v>
      </c>
      <c r="J310" s="16">
        <f>IF(D310&lt;=mortTerm,
   F310*(1+mortRate/12)^12 - (-PMT(mortRate/12, mortTerm*12, C310))*(((1+mortRate/12)^12 - 1)/(mortRate/12)),
   0
)
</f>
        <v>345133.0949</v>
      </c>
      <c r="K310" s="13">
        <f>IFERROR(__xludf.DUMMYFUNCTION("IF(A310="""","""",
   IF(F310&gt;0,
      INDEX(FILTER('RE Portfolio'!L$2:L2000,'RE Portfolio'!D$2:D2000=""BUY""), INT((ROW()-2)/amortYears)+1) - G310,
      INDEX(FILTER('RE Portfolio'!L$2:L2000,'RE Portfolio'!D$2:D2000=""BUY""), INT((ROW()-2)/amortYears)+1"&amp;")
   )
)
"),8609.558470991036)</f>
        <v>8609.558471</v>
      </c>
      <c r="L310" s="15">
        <f>IFERROR(__xludf.DUMMYFUNCTION("IF(A310="""","""",
  INDEX(FILTER('RE Portfolio'!C$2:C2000,'RE Portfolio'!D$2:D2000=""BUY""), INT((ROW()-2)/amortYears)+1)
  * (1 + VALUE(Assumptions!$B$11))^(D310-1)
)
"),575084.8407691341)</f>
        <v>575084.8408</v>
      </c>
    </row>
    <row r="311">
      <c r="A311" s="15">
        <f>IFERROR(__xludf.DUMMYFUNCTION("IFERROR(INDEX(FILTER('RE Portfolio'!A$2:A2000,'RE Portfolio'!D$2:D2000=""BUY""), INT((ROW()-2)/amortYears)+1), )
"),9.0)</f>
        <v>9</v>
      </c>
      <c r="B311" s="15">
        <f>IFERROR(__xludf.DUMMYFUNCTION("IFERROR(INDEX(FILTER('RE Portfolio'!B$2:B2000,'RE Portfolio'!D$2:D2000=""BUY""), INT((ROW()-2)/amortYears)+1), )
"),44.0)</f>
        <v>44</v>
      </c>
      <c r="C311" s="15">
        <f>IFERROR(__xludf.DUMMYFUNCTION("IFERROR(INDEX(FILTER('RE Portfolio'!G$2:G2000,'RE Portfolio'!D$2:D2000=""BUY""), INT((ROW()-2)/amortYears)+1), )
"),368688.6990653387)</f>
        <v>368688.6991</v>
      </c>
      <c r="D311" s="15">
        <f>MOD(ROW()-2, amortYears)+1</f>
        <v>6</v>
      </c>
      <c r="E311" s="15">
        <f t="shared" si="1"/>
        <v>49</v>
      </c>
      <c r="F311" s="16">
        <f t="shared" si="2"/>
        <v>345133.0949</v>
      </c>
      <c r="G311" s="16">
        <f>IF(D311&lt;=mortTerm, -PMT(mortRate/12, mortTerm*12, C311)*12, 0)
</f>
        <v>27964.36048</v>
      </c>
      <c r="H311" s="16">
        <f>IF(D311&lt;=mortTerm, G311 - I311, 0)
</f>
        <v>22265.87055</v>
      </c>
      <c r="I311" s="16">
        <f>IF(D311&lt;=mortTerm, F311 - J311, 0)
</f>
        <v>5698.489926</v>
      </c>
      <c r="J311" s="16">
        <f>IF(D311&lt;=mortTerm,
   F311*(1+mortRate/12)^12 - (-PMT(mortRate/12, mortTerm*12, C311))*(((1+mortRate/12)^12 - 1)/(mortRate/12)),
   0
)
</f>
        <v>339434.605</v>
      </c>
      <c r="K311" s="13">
        <f>IFERROR(__xludf.DUMMYFUNCTION("IF(A311="""","""",
   IF(F311&gt;0,
      INDEX(FILTER('RE Portfolio'!L$2:L2000,'RE Portfolio'!D$2:D2000=""BUY""), INT((ROW()-2)/amortYears)+1) - G311,
      INDEX(FILTER('RE Portfolio'!L$2:L2000,'RE Portfolio'!D$2:D2000=""BUY""), INT((ROW()-2)/amortYears)+1"&amp;")
   )
)
"),8609.558470991036)</f>
        <v>8609.558471</v>
      </c>
      <c r="L311" s="15">
        <f>IFERROR(__xludf.DUMMYFUNCTION("IF(A311="""","""",
  INDEX(FILTER('RE Portfolio'!C$2:C2000,'RE Portfolio'!D$2:D2000=""BUY""), INT((ROW()-2)/amortYears)+1)
  * (1 + VALUE(Assumptions!$B$11))^(D311-1)
)
"),598088.2343998994)</f>
        <v>598088.2344</v>
      </c>
    </row>
    <row r="312">
      <c r="A312" s="15">
        <f>IFERROR(__xludf.DUMMYFUNCTION("IFERROR(INDEX(FILTER('RE Portfolio'!A$2:A2000,'RE Portfolio'!D$2:D2000=""BUY""), INT((ROW()-2)/amortYears)+1), )
"),9.0)</f>
        <v>9</v>
      </c>
      <c r="B312" s="15">
        <f>IFERROR(__xludf.DUMMYFUNCTION("IFERROR(INDEX(FILTER('RE Portfolio'!B$2:B2000,'RE Portfolio'!D$2:D2000=""BUY""), INT((ROW()-2)/amortYears)+1), )
"),44.0)</f>
        <v>44</v>
      </c>
      <c r="C312" s="15">
        <f>IFERROR(__xludf.DUMMYFUNCTION("IFERROR(INDEX(FILTER('RE Portfolio'!G$2:G2000,'RE Portfolio'!D$2:D2000=""BUY""), INT((ROW()-2)/amortYears)+1), )
"),368688.6990653387)</f>
        <v>368688.6991</v>
      </c>
      <c r="D312" s="15">
        <f>MOD(ROW()-2, amortYears)+1</f>
        <v>7</v>
      </c>
      <c r="E312" s="15">
        <f t="shared" si="1"/>
        <v>50</v>
      </c>
      <c r="F312" s="16">
        <f t="shared" si="2"/>
        <v>339434.605</v>
      </c>
      <c r="G312" s="16">
        <f>IF(D312&lt;=mortTerm, -PMT(mortRate/12, mortTerm*12, C312)*12, 0)
</f>
        <v>27964.36048</v>
      </c>
      <c r="H312" s="16">
        <f>IF(D312&lt;=mortTerm, G312 - I312, 0)
</f>
        <v>21884.23213</v>
      </c>
      <c r="I312" s="16">
        <f>IF(D312&lt;=mortTerm, F312 - J312, 0)
</f>
        <v>6080.12835</v>
      </c>
      <c r="J312" s="16">
        <f>IF(D312&lt;=mortTerm,
   F312*(1+mortRate/12)^12 - (-PMT(mortRate/12, mortTerm*12, C312))*(((1+mortRate/12)^12 - 1)/(mortRate/12)),
   0
)
</f>
        <v>333354.4766</v>
      </c>
      <c r="K312" s="13">
        <f>IFERROR(__xludf.DUMMYFUNCTION("IF(A312="""","""",
   IF(F312&gt;0,
      INDEX(FILTER('RE Portfolio'!L$2:L2000,'RE Portfolio'!D$2:D2000=""BUY""), INT((ROW()-2)/amortYears)+1) - G312,
      INDEX(FILTER('RE Portfolio'!L$2:L2000,'RE Portfolio'!D$2:D2000=""BUY""), INT((ROW()-2)/amortYears)+1"&amp;")
   )
)
"),8609.558470991036)</f>
        <v>8609.558471</v>
      </c>
      <c r="L312" s="15">
        <f>IFERROR(__xludf.DUMMYFUNCTION("IF(A312="""","""",
  INDEX(FILTER('RE Portfolio'!C$2:C2000,'RE Portfolio'!D$2:D2000=""BUY""), INT((ROW()-2)/amortYears)+1)
  * (1 + VALUE(Assumptions!$B$11))^(D312-1)
)
"),622011.7637758955)</f>
        <v>622011.7638</v>
      </c>
    </row>
    <row r="313">
      <c r="A313" s="15">
        <f>IFERROR(__xludf.DUMMYFUNCTION("IFERROR(INDEX(FILTER('RE Portfolio'!A$2:A2000,'RE Portfolio'!D$2:D2000=""BUY""), INT((ROW()-2)/amortYears)+1), )
"),9.0)</f>
        <v>9</v>
      </c>
      <c r="B313" s="15">
        <f>IFERROR(__xludf.DUMMYFUNCTION("IFERROR(INDEX(FILTER('RE Portfolio'!B$2:B2000,'RE Portfolio'!D$2:D2000=""BUY""), INT((ROW()-2)/amortYears)+1), )
"),44.0)</f>
        <v>44</v>
      </c>
      <c r="C313" s="15">
        <f>IFERROR(__xludf.DUMMYFUNCTION("IFERROR(INDEX(FILTER('RE Portfolio'!G$2:G2000,'RE Portfolio'!D$2:D2000=""BUY""), INT((ROW()-2)/amortYears)+1), )
"),368688.6990653387)</f>
        <v>368688.6991</v>
      </c>
      <c r="D313" s="15">
        <f>MOD(ROW()-2, amortYears)+1</f>
        <v>8</v>
      </c>
      <c r="E313" s="15">
        <f t="shared" si="1"/>
        <v>51</v>
      </c>
      <c r="F313" s="16">
        <f t="shared" si="2"/>
        <v>333354.4766</v>
      </c>
      <c r="G313" s="16">
        <f>IF(D313&lt;=mortTerm, -PMT(mortRate/12, mortTerm*12, C313)*12, 0)
</f>
        <v>27964.36048</v>
      </c>
      <c r="H313" s="16">
        <f>IF(D313&lt;=mortTerm, G313 - I313, 0)
</f>
        <v>21477.03467</v>
      </c>
      <c r="I313" s="16">
        <f>IF(D313&lt;=mortTerm, F313 - J313, 0)
</f>
        <v>6487.325806</v>
      </c>
      <c r="J313" s="16">
        <f>IF(D313&lt;=mortTerm,
   F313*(1+mortRate/12)^12 - (-PMT(mortRate/12, mortTerm*12, C313))*(((1+mortRate/12)^12 - 1)/(mortRate/12)),
   0
)
</f>
        <v>326867.1508</v>
      </c>
      <c r="K313" s="13">
        <f>IFERROR(__xludf.DUMMYFUNCTION("IF(A313="""","""",
   IF(F313&gt;0,
      INDEX(FILTER('RE Portfolio'!L$2:L2000,'RE Portfolio'!D$2:D2000=""BUY""), INT((ROW()-2)/amortYears)+1) - G313,
      INDEX(FILTER('RE Portfolio'!L$2:L2000,'RE Portfolio'!D$2:D2000=""BUY""), INT((ROW()-2)/amortYears)+1"&amp;")
   )
)
"),8609.558470991036)</f>
        <v>8609.558471</v>
      </c>
      <c r="L313" s="15">
        <f>IFERROR(__xludf.DUMMYFUNCTION("IF(A313="""","""",
  INDEX(FILTER('RE Portfolio'!C$2:C2000,'RE Portfolio'!D$2:D2000=""BUY""), INT((ROW()-2)/amortYears)+1)
  * (1 + VALUE(Assumptions!$B$11))^(D313-1)
)
"),646892.2343269313)</f>
        <v>646892.2343</v>
      </c>
    </row>
    <row r="314">
      <c r="A314" s="15">
        <f>IFERROR(__xludf.DUMMYFUNCTION("IFERROR(INDEX(FILTER('RE Portfolio'!A$2:A2000,'RE Portfolio'!D$2:D2000=""BUY""), INT((ROW()-2)/amortYears)+1), )
"),9.0)</f>
        <v>9</v>
      </c>
      <c r="B314" s="15">
        <f>IFERROR(__xludf.DUMMYFUNCTION("IFERROR(INDEX(FILTER('RE Portfolio'!B$2:B2000,'RE Portfolio'!D$2:D2000=""BUY""), INT((ROW()-2)/amortYears)+1), )
"),44.0)</f>
        <v>44</v>
      </c>
      <c r="C314" s="15">
        <f>IFERROR(__xludf.DUMMYFUNCTION("IFERROR(INDEX(FILTER('RE Portfolio'!G$2:G2000,'RE Portfolio'!D$2:D2000=""BUY""), INT((ROW()-2)/amortYears)+1), )
"),368688.6990653387)</f>
        <v>368688.6991</v>
      </c>
      <c r="D314" s="15">
        <f>MOD(ROW()-2, amortYears)+1</f>
        <v>9</v>
      </c>
      <c r="E314" s="15">
        <f t="shared" si="1"/>
        <v>52</v>
      </c>
      <c r="F314" s="16">
        <f t="shared" si="2"/>
        <v>326867.1508</v>
      </c>
      <c r="G314" s="16">
        <f>IF(D314&lt;=mortTerm, -PMT(mortRate/12, mortTerm*12, C314)*12, 0)
</f>
        <v>27964.36048</v>
      </c>
      <c r="H314" s="16">
        <f>IF(D314&lt;=mortTerm, G314 - I314, 0)
</f>
        <v>21042.56645</v>
      </c>
      <c r="I314" s="16">
        <f>IF(D314&lt;=mortTerm, F314 - J314, 0)
</f>
        <v>6921.79403</v>
      </c>
      <c r="J314" s="16">
        <f>IF(D314&lt;=mortTerm,
   F314*(1+mortRate/12)^12 - (-PMT(mortRate/12, mortTerm*12, C314))*(((1+mortRate/12)^12 - 1)/(mortRate/12)),
   0
)
</f>
        <v>319945.3568</v>
      </c>
      <c r="K314" s="13">
        <f>IFERROR(__xludf.DUMMYFUNCTION("IF(A314="""","""",
   IF(F314&gt;0,
      INDEX(FILTER('RE Portfolio'!L$2:L2000,'RE Portfolio'!D$2:D2000=""BUY""), INT((ROW()-2)/amortYears)+1) - G314,
      INDEX(FILTER('RE Portfolio'!L$2:L2000,'RE Portfolio'!D$2:D2000=""BUY""), INT((ROW()-2)/amortYears)+1"&amp;")
   )
)
"),8609.558470991036)</f>
        <v>8609.558471</v>
      </c>
      <c r="L314" s="15">
        <f>IFERROR(__xludf.DUMMYFUNCTION("IF(A314="""","""",
  INDEX(FILTER('RE Portfolio'!C$2:C2000,'RE Portfolio'!D$2:D2000=""BUY""), INT((ROW()-2)/amortYears)+1)
  * (1 + VALUE(Assumptions!$B$11))^(D314-1)
)
"),672767.9237000085)</f>
        <v>672767.9237</v>
      </c>
    </row>
    <row r="315">
      <c r="A315" s="15">
        <f>IFERROR(__xludf.DUMMYFUNCTION("IFERROR(INDEX(FILTER('RE Portfolio'!A$2:A2000,'RE Portfolio'!D$2:D2000=""BUY""), INT((ROW()-2)/amortYears)+1), )
"),9.0)</f>
        <v>9</v>
      </c>
      <c r="B315" s="15">
        <f>IFERROR(__xludf.DUMMYFUNCTION("IFERROR(INDEX(FILTER('RE Portfolio'!B$2:B2000,'RE Portfolio'!D$2:D2000=""BUY""), INT((ROW()-2)/amortYears)+1), )
"),44.0)</f>
        <v>44</v>
      </c>
      <c r="C315" s="15">
        <f>IFERROR(__xludf.DUMMYFUNCTION("IFERROR(INDEX(FILTER('RE Portfolio'!G$2:G2000,'RE Portfolio'!D$2:D2000=""BUY""), INT((ROW()-2)/amortYears)+1), )
"),368688.6990653387)</f>
        <v>368688.6991</v>
      </c>
      <c r="D315" s="15">
        <f>MOD(ROW()-2, amortYears)+1</f>
        <v>10</v>
      </c>
      <c r="E315" s="15">
        <f t="shared" si="1"/>
        <v>53</v>
      </c>
      <c r="F315" s="16">
        <f t="shared" si="2"/>
        <v>319945.3568</v>
      </c>
      <c r="G315" s="16">
        <f>IF(D315&lt;=mortTerm, -PMT(mortRate/12, mortTerm*12, C315)*12, 0)
</f>
        <v>27964.36048</v>
      </c>
      <c r="H315" s="16">
        <f>IF(D315&lt;=mortTerm, G315 - I315, 0)
</f>
        <v>20579.00108</v>
      </c>
      <c r="I315" s="16">
        <f>IF(D315&lt;=mortTerm, F315 - J315, 0)
</f>
        <v>7385.359395</v>
      </c>
      <c r="J315" s="16">
        <f>IF(D315&lt;=mortTerm,
   F315*(1+mortRate/12)^12 - (-PMT(mortRate/12, mortTerm*12, C315))*(((1+mortRate/12)^12 - 1)/(mortRate/12)),
   0
)
</f>
        <v>312559.9974</v>
      </c>
      <c r="K315" s="13">
        <f>IFERROR(__xludf.DUMMYFUNCTION("IF(A315="""","""",
   IF(F315&gt;0,
      INDEX(FILTER('RE Portfolio'!L$2:L2000,'RE Portfolio'!D$2:D2000=""BUY""), INT((ROW()-2)/amortYears)+1) - G315,
      INDEX(FILTER('RE Portfolio'!L$2:L2000,'RE Portfolio'!D$2:D2000=""BUY""), INT((ROW()-2)/amortYears)+1"&amp;")
   )
)
"),8609.558470991036)</f>
        <v>8609.558471</v>
      </c>
      <c r="L315" s="15">
        <f>IFERROR(__xludf.DUMMYFUNCTION("IF(A315="""","""",
  INDEX(FILTER('RE Portfolio'!C$2:C2000,'RE Portfolio'!D$2:D2000=""BUY""), INT((ROW()-2)/amortYears)+1)
  * (1 + VALUE(Assumptions!$B$11))^(D315-1)
)
"),699678.6406480089)</f>
        <v>699678.6406</v>
      </c>
    </row>
    <row r="316">
      <c r="A316" s="15">
        <f>IFERROR(__xludf.DUMMYFUNCTION("IFERROR(INDEX(FILTER('RE Portfolio'!A$2:A2000,'RE Portfolio'!D$2:D2000=""BUY""), INT((ROW()-2)/amortYears)+1), )
"),9.0)</f>
        <v>9</v>
      </c>
      <c r="B316" s="15">
        <f>IFERROR(__xludf.DUMMYFUNCTION("IFERROR(INDEX(FILTER('RE Portfolio'!B$2:B2000,'RE Portfolio'!D$2:D2000=""BUY""), INT((ROW()-2)/amortYears)+1), )
"),44.0)</f>
        <v>44</v>
      </c>
      <c r="C316" s="15">
        <f>IFERROR(__xludf.DUMMYFUNCTION("IFERROR(INDEX(FILTER('RE Portfolio'!G$2:G2000,'RE Portfolio'!D$2:D2000=""BUY""), INT((ROW()-2)/amortYears)+1), )
"),368688.6990653387)</f>
        <v>368688.6991</v>
      </c>
      <c r="D316" s="15">
        <f>MOD(ROW()-2, amortYears)+1</f>
        <v>11</v>
      </c>
      <c r="E316" s="15">
        <f t="shared" si="1"/>
        <v>54</v>
      </c>
      <c r="F316" s="16">
        <f t="shared" si="2"/>
        <v>312559.9974</v>
      </c>
      <c r="G316" s="16">
        <f>IF(D316&lt;=mortTerm, -PMT(mortRate/12, mortTerm*12, C316)*12, 0)
</f>
        <v>27964.36048</v>
      </c>
      <c r="H316" s="16">
        <f>IF(D316&lt;=mortTerm, G316 - I316, 0)
</f>
        <v>20084.38989</v>
      </c>
      <c r="I316" s="16">
        <f>IF(D316&lt;=mortTerm, F316 - J316, 0)
</f>
        <v>7879.970591</v>
      </c>
      <c r="J316" s="16">
        <f>IF(D316&lt;=mortTerm,
   F316*(1+mortRate/12)^12 - (-PMT(mortRate/12, mortTerm*12, C316))*(((1+mortRate/12)^12 - 1)/(mortRate/12)),
   0
)
</f>
        <v>304680.0268</v>
      </c>
      <c r="K316" s="13">
        <f>IFERROR(__xludf.DUMMYFUNCTION("IF(A316="""","""",
   IF(F316&gt;0,
      INDEX(FILTER('RE Portfolio'!L$2:L2000,'RE Portfolio'!D$2:D2000=""BUY""), INT((ROW()-2)/amortYears)+1) - G316,
      INDEX(FILTER('RE Portfolio'!L$2:L2000,'RE Portfolio'!D$2:D2000=""BUY""), INT((ROW()-2)/amortYears)+1"&amp;")
   )
)
"),8609.558470991036)</f>
        <v>8609.558471</v>
      </c>
      <c r="L316" s="15">
        <f>IFERROR(__xludf.DUMMYFUNCTION("IF(A316="""","""",
  INDEX(FILTER('RE Portfolio'!C$2:C2000,'RE Portfolio'!D$2:D2000=""BUY""), INT((ROW()-2)/amortYears)+1)
  * (1 + VALUE(Assumptions!$B$11))^(D316-1)
)
"),727665.7862739293)</f>
        <v>727665.7863</v>
      </c>
    </row>
    <row r="317">
      <c r="A317" s="15">
        <f>IFERROR(__xludf.DUMMYFUNCTION("IFERROR(INDEX(FILTER('RE Portfolio'!A$2:A2000,'RE Portfolio'!D$2:D2000=""BUY""), INT((ROW()-2)/amortYears)+1), )
"),9.0)</f>
        <v>9</v>
      </c>
      <c r="B317" s="15">
        <f>IFERROR(__xludf.DUMMYFUNCTION("IFERROR(INDEX(FILTER('RE Portfolio'!B$2:B2000,'RE Portfolio'!D$2:D2000=""BUY""), INT((ROW()-2)/amortYears)+1), )
"),44.0)</f>
        <v>44</v>
      </c>
      <c r="C317" s="15">
        <f>IFERROR(__xludf.DUMMYFUNCTION("IFERROR(INDEX(FILTER('RE Portfolio'!G$2:G2000,'RE Portfolio'!D$2:D2000=""BUY""), INT((ROW()-2)/amortYears)+1), )
"),368688.6990653387)</f>
        <v>368688.6991</v>
      </c>
      <c r="D317" s="15">
        <f>MOD(ROW()-2, amortYears)+1</f>
        <v>12</v>
      </c>
      <c r="E317" s="15">
        <f t="shared" si="1"/>
        <v>55</v>
      </c>
      <c r="F317" s="16">
        <f t="shared" si="2"/>
        <v>304680.0268</v>
      </c>
      <c r="G317" s="16">
        <f>IF(D317&lt;=mortTerm, -PMT(mortRate/12, mortTerm*12, C317)*12, 0)
</f>
        <v>27964.36048</v>
      </c>
      <c r="H317" s="16">
        <f>IF(D317&lt;=mortTerm, G317 - I317, 0)
</f>
        <v>19556.65366</v>
      </c>
      <c r="I317" s="16">
        <f>IF(D317&lt;=mortTerm, F317 - J317, 0)
</f>
        <v>8407.706815</v>
      </c>
      <c r="J317" s="16">
        <f>IF(D317&lt;=mortTerm,
   F317*(1+mortRate/12)^12 - (-PMT(mortRate/12, mortTerm*12, C317))*(((1+mortRate/12)^12 - 1)/(mortRate/12)),
   0
)
</f>
        <v>296272.32</v>
      </c>
      <c r="K317" s="13">
        <f>IFERROR(__xludf.DUMMYFUNCTION("IF(A317="""","""",
   IF(F317&gt;0,
      INDEX(FILTER('RE Portfolio'!L$2:L2000,'RE Portfolio'!D$2:D2000=""BUY""), INT((ROW()-2)/amortYears)+1) - G317,
      INDEX(FILTER('RE Portfolio'!L$2:L2000,'RE Portfolio'!D$2:D2000=""BUY""), INT((ROW()-2)/amortYears)+1"&amp;")
   )
)
"),8609.558470991036)</f>
        <v>8609.558471</v>
      </c>
      <c r="L317" s="15">
        <f>IFERROR(__xludf.DUMMYFUNCTION("IF(A317="""","""",
  INDEX(FILTER('RE Portfolio'!C$2:C2000,'RE Portfolio'!D$2:D2000=""BUY""), INT((ROW()-2)/amortYears)+1)
  * (1 + VALUE(Assumptions!$B$11))^(D317-1)
)
"),756772.4177248864)</f>
        <v>756772.4177</v>
      </c>
    </row>
    <row r="318">
      <c r="A318" s="15">
        <f>IFERROR(__xludf.DUMMYFUNCTION("IFERROR(INDEX(FILTER('RE Portfolio'!A$2:A2000,'RE Portfolio'!D$2:D2000=""BUY""), INT((ROW()-2)/amortYears)+1), )
"),9.0)</f>
        <v>9</v>
      </c>
      <c r="B318" s="15">
        <f>IFERROR(__xludf.DUMMYFUNCTION("IFERROR(INDEX(FILTER('RE Portfolio'!B$2:B2000,'RE Portfolio'!D$2:D2000=""BUY""), INT((ROW()-2)/amortYears)+1), )
"),44.0)</f>
        <v>44</v>
      </c>
      <c r="C318" s="15">
        <f>IFERROR(__xludf.DUMMYFUNCTION("IFERROR(INDEX(FILTER('RE Portfolio'!G$2:G2000,'RE Portfolio'!D$2:D2000=""BUY""), INT((ROW()-2)/amortYears)+1), )
"),368688.6990653387)</f>
        <v>368688.6991</v>
      </c>
      <c r="D318" s="15">
        <f>MOD(ROW()-2, amortYears)+1</f>
        <v>13</v>
      </c>
      <c r="E318" s="15">
        <f t="shared" si="1"/>
        <v>56</v>
      </c>
      <c r="F318" s="16">
        <f t="shared" si="2"/>
        <v>296272.32</v>
      </c>
      <c r="G318" s="16">
        <f>IF(D318&lt;=mortTerm, -PMT(mortRate/12, mortTerm*12, C318)*12, 0)
</f>
        <v>27964.36048</v>
      </c>
      <c r="H318" s="16">
        <f>IF(D318&lt;=mortTerm, G318 - I318, 0)
</f>
        <v>18993.57396</v>
      </c>
      <c r="I318" s="16">
        <f>IF(D318&lt;=mortTerm, F318 - J318, 0)
</f>
        <v>8970.786512</v>
      </c>
      <c r="J318" s="16">
        <f>IF(D318&lt;=mortTerm,
   F318*(1+mortRate/12)^12 - (-PMT(mortRate/12, mortTerm*12, C318))*(((1+mortRate/12)^12 - 1)/(mortRate/12)),
   0
)
</f>
        <v>287301.5335</v>
      </c>
      <c r="K318" s="13">
        <f>IFERROR(__xludf.DUMMYFUNCTION("IF(A318="""","""",
   IF(F318&gt;0,
      INDEX(FILTER('RE Portfolio'!L$2:L2000,'RE Portfolio'!D$2:D2000=""BUY""), INT((ROW()-2)/amortYears)+1) - G318,
      INDEX(FILTER('RE Portfolio'!L$2:L2000,'RE Portfolio'!D$2:D2000=""BUY""), INT((ROW()-2)/amortYears)+1"&amp;")
   )
)
"),8609.558470991036)</f>
        <v>8609.558471</v>
      </c>
      <c r="L318" s="15">
        <f>IFERROR(__xludf.DUMMYFUNCTION("IF(A318="""","""",
  INDEX(FILTER('RE Portfolio'!C$2:C2000,'RE Portfolio'!D$2:D2000=""BUY""), INT((ROW()-2)/amortYears)+1)
  * (1 + VALUE(Assumptions!$B$11))^(D318-1)
)
"),787043.314433882)</f>
        <v>787043.3144</v>
      </c>
    </row>
    <row r="319">
      <c r="A319" s="15">
        <f>IFERROR(__xludf.DUMMYFUNCTION("IFERROR(INDEX(FILTER('RE Portfolio'!A$2:A2000,'RE Portfolio'!D$2:D2000=""BUY""), INT((ROW()-2)/amortYears)+1), )
"),9.0)</f>
        <v>9</v>
      </c>
      <c r="B319" s="15">
        <f>IFERROR(__xludf.DUMMYFUNCTION("IFERROR(INDEX(FILTER('RE Portfolio'!B$2:B2000,'RE Portfolio'!D$2:D2000=""BUY""), INT((ROW()-2)/amortYears)+1), )
"),44.0)</f>
        <v>44</v>
      </c>
      <c r="C319" s="15">
        <f>IFERROR(__xludf.DUMMYFUNCTION("IFERROR(INDEX(FILTER('RE Portfolio'!G$2:G2000,'RE Portfolio'!D$2:D2000=""BUY""), INT((ROW()-2)/amortYears)+1), )
"),368688.6990653387)</f>
        <v>368688.6991</v>
      </c>
      <c r="D319" s="15">
        <f>MOD(ROW()-2, amortYears)+1</f>
        <v>14</v>
      </c>
      <c r="E319" s="15">
        <f t="shared" si="1"/>
        <v>57</v>
      </c>
      <c r="F319" s="16">
        <f t="shared" si="2"/>
        <v>287301.5335</v>
      </c>
      <c r="G319" s="16">
        <f>IF(D319&lt;=mortTerm, -PMT(mortRate/12, mortTerm*12, C319)*12, 0)
</f>
        <v>27964.36048</v>
      </c>
      <c r="H319" s="16">
        <f>IF(D319&lt;=mortTerm, G319 - I319, 0)
</f>
        <v>18392.78378</v>
      </c>
      <c r="I319" s="16">
        <f>IF(D319&lt;=mortTerm, F319 - J319, 0)
</f>
        <v>9571.576699</v>
      </c>
      <c r="J319" s="16">
        <f>IF(D319&lt;=mortTerm,
   F319*(1+mortRate/12)^12 - (-PMT(mortRate/12, mortTerm*12, C319))*(((1+mortRate/12)^12 - 1)/(mortRate/12)),
   0
)
</f>
        <v>277729.9568</v>
      </c>
      <c r="K319" s="13">
        <f>IFERROR(__xludf.DUMMYFUNCTION("IF(A319="""","""",
   IF(F319&gt;0,
      INDEX(FILTER('RE Portfolio'!L$2:L2000,'RE Portfolio'!D$2:D2000=""BUY""), INT((ROW()-2)/amortYears)+1) - G319,
      INDEX(FILTER('RE Portfolio'!L$2:L2000,'RE Portfolio'!D$2:D2000=""BUY""), INT((ROW()-2)/amortYears)+1"&amp;")
   )
)
"),8609.558470991036)</f>
        <v>8609.558471</v>
      </c>
      <c r="L319" s="15">
        <f>IFERROR(__xludf.DUMMYFUNCTION("IF(A319="""","""",
  INDEX(FILTER('RE Portfolio'!C$2:C2000,'RE Portfolio'!D$2:D2000=""BUY""), INT((ROW()-2)/amortYears)+1)
  * (1 + VALUE(Assumptions!$B$11))^(D319-1)
)
"),818525.0470112374)</f>
        <v>818525.047</v>
      </c>
    </row>
    <row r="320">
      <c r="A320" s="15">
        <f>IFERROR(__xludf.DUMMYFUNCTION("IFERROR(INDEX(FILTER('RE Portfolio'!A$2:A2000,'RE Portfolio'!D$2:D2000=""BUY""), INT((ROW()-2)/amortYears)+1), )
"),9.0)</f>
        <v>9</v>
      </c>
      <c r="B320" s="15">
        <f>IFERROR(__xludf.DUMMYFUNCTION("IFERROR(INDEX(FILTER('RE Portfolio'!B$2:B2000,'RE Portfolio'!D$2:D2000=""BUY""), INT((ROW()-2)/amortYears)+1), )
"),44.0)</f>
        <v>44</v>
      </c>
      <c r="C320" s="15">
        <f>IFERROR(__xludf.DUMMYFUNCTION("IFERROR(INDEX(FILTER('RE Portfolio'!G$2:G2000,'RE Portfolio'!D$2:D2000=""BUY""), INT((ROW()-2)/amortYears)+1), )
"),368688.6990653387)</f>
        <v>368688.6991</v>
      </c>
      <c r="D320" s="15">
        <f>MOD(ROW()-2, amortYears)+1</f>
        <v>15</v>
      </c>
      <c r="E320" s="15">
        <f t="shared" si="1"/>
        <v>58</v>
      </c>
      <c r="F320" s="16">
        <f t="shared" si="2"/>
        <v>277729.9568</v>
      </c>
      <c r="G320" s="16">
        <f>IF(D320&lt;=mortTerm, -PMT(mortRate/12, mortTerm*12, C320)*12, 0)
</f>
        <v>27964.36048</v>
      </c>
      <c r="H320" s="16">
        <f>IF(D320&lt;=mortTerm, G320 - I320, 0)
</f>
        <v>17751.75756</v>
      </c>
      <c r="I320" s="16">
        <f>IF(D320&lt;=mortTerm, F320 - J320, 0)
</f>
        <v>10212.60292</v>
      </c>
      <c r="J320" s="16">
        <f>IF(D320&lt;=mortTerm,
   F320*(1+mortRate/12)^12 - (-PMT(mortRate/12, mortTerm*12, C320))*(((1+mortRate/12)^12 - 1)/(mortRate/12)),
   0
)
</f>
        <v>267517.3539</v>
      </c>
      <c r="K320" s="13">
        <f>IFERROR(__xludf.DUMMYFUNCTION("IF(A320="""","""",
   IF(F320&gt;0,
      INDEX(FILTER('RE Portfolio'!L$2:L2000,'RE Portfolio'!D$2:D2000=""BUY""), INT((ROW()-2)/amortYears)+1) - G320,
      INDEX(FILTER('RE Portfolio'!L$2:L2000,'RE Portfolio'!D$2:D2000=""BUY""), INT((ROW()-2)/amortYears)+1"&amp;")
   )
)
"),8609.558470991036)</f>
        <v>8609.558471</v>
      </c>
      <c r="L320" s="15">
        <f>IFERROR(__xludf.DUMMYFUNCTION("IF(A320="""","""",
  INDEX(FILTER('RE Portfolio'!C$2:C2000,'RE Portfolio'!D$2:D2000=""BUY""), INT((ROW()-2)/amortYears)+1)
  * (1 + VALUE(Assumptions!$B$11))^(D320-1)
)
"),851266.0488916868)</f>
        <v>851266.0489</v>
      </c>
    </row>
    <row r="321">
      <c r="A321" s="15">
        <f>IFERROR(__xludf.DUMMYFUNCTION("IFERROR(INDEX(FILTER('RE Portfolio'!A$2:A2000,'RE Portfolio'!D$2:D2000=""BUY""), INT((ROW()-2)/amortYears)+1), )
"),9.0)</f>
        <v>9</v>
      </c>
      <c r="B321" s="15">
        <f>IFERROR(__xludf.DUMMYFUNCTION("IFERROR(INDEX(FILTER('RE Portfolio'!B$2:B2000,'RE Portfolio'!D$2:D2000=""BUY""), INT((ROW()-2)/amortYears)+1), )
"),44.0)</f>
        <v>44</v>
      </c>
      <c r="C321" s="15">
        <f>IFERROR(__xludf.DUMMYFUNCTION("IFERROR(INDEX(FILTER('RE Portfolio'!G$2:G2000,'RE Portfolio'!D$2:D2000=""BUY""), INT((ROW()-2)/amortYears)+1), )
"),368688.6990653387)</f>
        <v>368688.6991</v>
      </c>
      <c r="D321" s="15">
        <f>MOD(ROW()-2, amortYears)+1</f>
        <v>16</v>
      </c>
      <c r="E321" s="15">
        <f t="shared" si="1"/>
        <v>59</v>
      </c>
      <c r="F321" s="16">
        <f t="shared" si="2"/>
        <v>267517.3539</v>
      </c>
      <c r="G321" s="16">
        <f>IF(D321&lt;=mortTerm, -PMT(mortRate/12, mortTerm*12, C321)*12, 0)
</f>
        <v>27964.36048</v>
      </c>
      <c r="H321" s="16">
        <f>IF(D321&lt;=mortTerm, G321 - I321, 0)
</f>
        <v>17067.80063</v>
      </c>
      <c r="I321" s="16">
        <f>IF(D321&lt;=mortTerm, F321 - J321, 0)
</f>
        <v>10896.55985</v>
      </c>
      <c r="J321" s="16">
        <f>IF(D321&lt;=mortTerm,
   F321*(1+mortRate/12)^12 - (-PMT(mortRate/12, mortTerm*12, C321))*(((1+mortRate/12)^12 - 1)/(mortRate/12)),
   0
)
</f>
        <v>256620.794</v>
      </c>
      <c r="K321" s="13">
        <f>IFERROR(__xludf.DUMMYFUNCTION("IF(A321="""","""",
   IF(F321&gt;0,
      INDEX(FILTER('RE Portfolio'!L$2:L2000,'RE Portfolio'!D$2:D2000=""BUY""), INT((ROW()-2)/amortYears)+1) - G321,
      INDEX(FILTER('RE Portfolio'!L$2:L2000,'RE Portfolio'!D$2:D2000=""BUY""), INT((ROW()-2)/amortYears)+1"&amp;")
   )
)
"),8609.558470991036)</f>
        <v>8609.558471</v>
      </c>
      <c r="L321" s="15">
        <f>IFERROR(__xludf.DUMMYFUNCTION("IF(A321="""","""",
  INDEX(FILTER('RE Portfolio'!C$2:C2000,'RE Portfolio'!D$2:D2000=""BUY""), INT((ROW()-2)/amortYears)+1)
  * (1 + VALUE(Assumptions!$B$11))^(D321-1)
)
"),885316.6908473542)</f>
        <v>885316.6908</v>
      </c>
    </row>
    <row r="322">
      <c r="A322" s="15">
        <f>IFERROR(__xludf.DUMMYFUNCTION("IFERROR(INDEX(FILTER('RE Portfolio'!A$2:A2000,'RE Portfolio'!D$2:D2000=""BUY""), INT((ROW()-2)/amortYears)+1), )
"),9.0)</f>
        <v>9</v>
      </c>
      <c r="B322" s="15">
        <f>IFERROR(__xludf.DUMMYFUNCTION("IFERROR(INDEX(FILTER('RE Portfolio'!B$2:B2000,'RE Portfolio'!D$2:D2000=""BUY""), INT((ROW()-2)/amortYears)+1), )
"),44.0)</f>
        <v>44</v>
      </c>
      <c r="C322" s="15">
        <f>IFERROR(__xludf.DUMMYFUNCTION("IFERROR(INDEX(FILTER('RE Portfolio'!G$2:G2000,'RE Portfolio'!D$2:D2000=""BUY""), INT((ROW()-2)/amortYears)+1), )
"),368688.6990653387)</f>
        <v>368688.6991</v>
      </c>
      <c r="D322" s="15">
        <f>MOD(ROW()-2, amortYears)+1</f>
        <v>17</v>
      </c>
      <c r="E322" s="15">
        <f t="shared" si="1"/>
        <v>60</v>
      </c>
      <c r="F322" s="16">
        <f t="shared" si="2"/>
        <v>256620.794</v>
      </c>
      <c r="G322" s="16">
        <f>IF(D322&lt;=mortTerm, -PMT(mortRate/12, mortTerm*12, C322)*12, 0)
</f>
        <v>27964.36048</v>
      </c>
      <c r="H322" s="16">
        <f>IF(D322&lt;=mortTerm, G322 - I322, 0)
</f>
        <v>16338.03783</v>
      </c>
      <c r="I322" s="16">
        <f>IF(D322&lt;=mortTerm, F322 - J322, 0)
</f>
        <v>11626.32264</v>
      </c>
      <c r="J322" s="16">
        <f>IF(D322&lt;=mortTerm,
   F322*(1+mortRate/12)^12 - (-PMT(mortRate/12, mortTerm*12, C322))*(((1+mortRate/12)^12 - 1)/(mortRate/12)),
   0
)
</f>
        <v>244994.4714</v>
      </c>
      <c r="K322" s="13">
        <f>IFERROR(__xludf.DUMMYFUNCTION("IF(A322="""","""",
   IF(F322&gt;0,
      INDEX(FILTER('RE Portfolio'!L$2:L2000,'RE Portfolio'!D$2:D2000=""BUY""), INT((ROW()-2)/amortYears)+1) - G322,
      INDEX(FILTER('RE Portfolio'!L$2:L2000,'RE Portfolio'!D$2:D2000=""BUY""), INT((ROW()-2)/amortYears)+1"&amp;")
   )
)
"),8609.558470991036)</f>
        <v>8609.558471</v>
      </c>
      <c r="L322" s="15">
        <f>IFERROR(__xludf.DUMMYFUNCTION("IF(A322="""","""",
  INDEX(FILTER('RE Portfolio'!C$2:C2000,'RE Portfolio'!D$2:D2000=""BUY""), INT((ROW()-2)/amortYears)+1)
  * (1 + VALUE(Assumptions!$B$11))^(D322-1)
)
"),920729.3584812485)</f>
        <v>920729.3585</v>
      </c>
    </row>
    <row r="323">
      <c r="A323" s="15">
        <f>IFERROR(__xludf.DUMMYFUNCTION("IFERROR(INDEX(FILTER('RE Portfolio'!A$2:A2000,'RE Portfolio'!D$2:D2000=""BUY""), INT((ROW()-2)/amortYears)+1), )
"),9.0)</f>
        <v>9</v>
      </c>
      <c r="B323" s="15">
        <f>IFERROR(__xludf.DUMMYFUNCTION("IFERROR(INDEX(FILTER('RE Portfolio'!B$2:B2000,'RE Portfolio'!D$2:D2000=""BUY""), INT((ROW()-2)/amortYears)+1), )
"),44.0)</f>
        <v>44</v>
      </c>
      <c r="C323" s="15">
        <f>IFERROR(__xludf.DUMMYFUNCTION("IFERROR(INDEX(FILTER('RE Portfolio'!G$2:G2000,'RE Portfolio'!D$2:D2000=""BUY""), INT((ROW()-2)/amortYears)+1), )
"),368688.6990653387)</f>
        <v>368688.6991</v>
      </c>
      <c r="D323" s="15">
        <f>MOD(ROW()-2, amortYears)+1</f>
        <v>18</v>
      </c>
      <c r="E323" s="15">
        <f t="shared" si="1"/>
        <v>61</v>
      </c>
      <c r="F323" s="16">
        <f t="shared" si="2"/>
        <v>244994.4714</v>
      </c>
      <c r="G323" s="16">
        <f>IF(D323&lt;=mortTerm, -PMT(mortRate/12, mortTerm*12, C323)*12, 0)
</f>
        <v>27964.36048</v>
      </c>
      <c r="H323" s="16">
        <f>IF(D323&lt;=mortTerm, G323 - I323, 0)
</f>
        <v>15559.40148</v>
      </c>
      <c r="I323" s="16">
        <f>IF(D323&lt;=mortTerm, F323 - J323, 0)
</f>
        <v>12404.959</v>
      </c>
      <c r="J323" s="16">
        <f>IF(D323&lt;=mortTerm,
   F323*(1+mortRate/12)^12 - (-PMT(mortRate/12, mortTerm*12, C323))*(((1+mortRate/12)^12 - 1)/(mortRate/12)),
   0
)
</f>
        <v>232589.5124</v>
      </c>
      <c r="K323" s="13">
        <f>IFERROR(__xludf.DUMMYFUNCTION("IF(A323="""","""",
   IF(F323&gt;0,
      INDEX(FILTER('RE Portfolio'!L$2:L2000,'RE Portfolio'!D$2:D2000=""BUY""), INT((ROW()-2)/amortYears)+1) - G323,
      INDEX(FILTER('RE Portfolio'!L$2:L2000,'RE Portfolio'!D$2:D2000=""BUY""), INT((ROW()-2)/amortYears)+1"&amp;")
   )
)
"),8609.558470991036)</f>
        <v>8609.558471</v>
      </c>
      <c r="L323" s="15">
        <f>IFERROR(__xludf.DUMMYFUNCTION("IF(A323="""","""",
  INDEX(FILTER('RE Portfolio'!C$2:C2000,'RE Portfolio'!D$2:D2000=""BUY""), INT((ROW()-2)/amortYears)+1)
  * (1 + VALUE(Assumptions!$B$11))^(D323-1)
)
"),957558.5328204985)</f>
        <v>957558.5328</v>
      </c>
    </row>
    <row r="324">
      <c r="A324" s="15">
        <f>IFERROR(__xludf.DUMMYFUNCTION("IFERROR(INDEX(FILTER('RE Portfolio'!A$2:A2000,'RE Portfolio'!D$2:D2000=""BUY""), INT((ROW()-2)/amortYears)+1), )
"),9.0)</f>
        <v>9</v>
      </c>
      <c r="B324" s="15">
        <f>IFERROR(__xludf.DUMMYFUNCTION("IFERROR(INDEX(FILTER('RE Portfolio'!B$2:B2000,'RE Portfolio'!D$2:D2000=""BUY""), INT((ROW()-2)/amortYears)+1), )
"),44.0)</f>
        <v>44</v>
      </c>
      <c r="C324" s="15">
        <f>IFERROR(__xludf.DUMMYFUNCTION("IFERROR(INDEX(FILTER('RE Portfolio'!G$2:G2000,'RE Portfolio'!D$2:D2000=""BUY""), INT((ROW()-2)/amortYears)+1), )
"),368688.6990653387)</f>
        <v>368688.6991</v>
      </c>
      <c r="D324" s="15">
        <f>MOD(ROW()-2, amortYears)+1</f>
        <v>19</v>
      </c>
      <c r="E324" s="15">
        <f t="shared" si="1"/>
        <v>62</v>
      </c>
      <c r="F324" s="16">
        <f t="shared" si="2"/>
        <v>232589.5124</v>
      </c>
      <c r="G324" s="16">
        <f>IF(D324&lt;=mortTerm, -PMT(mortRate/12, mortTerm*12, C324)*12, 0)
</f>
        <v>27964.36048</v>
      </c>
      <c r="H324" s="16">
        <f>IF(D324&lt;=mortTerm, G324 - I324, 0)
</f>
        <v>14728.6184</v>
      </c>
      <c r="I324" s="16">
        <f>IF(D324&lt;=mortTerm, F324 - J324, 0)
</f>
        <v>13235.74208</v>
      </c>
      <c r="J324" s="16">
        <f>IF(D324&lt;=mortTerm,
   F324*(1+mortRate/12)^12 - (-PMT(mortRate/12, mortTerm*12, C324))*(((1+mortRate/12)^12 - 1)/(mortRate/12)),
   0
)
</f>
        <v>219353.7703</v>
      </c>
      <c r="K324" s="13">
        <f>IFERROR(__xludf.DUMMYFUNCTION("IF(A324="""","""",
   IF(F324&gt;0,
      INDEX(FILTER('RE Portfolio'!L$2:L2000,'RE Portfolio'!D$2:D2000=""BUY""), INT((ROW()-2)/amortYears)+1) - G324,
      INDEX(FILTER('RE Portfolio'!L$2:L2000,'RE Portfolio'!D$2:D2000=""BUY""), INT((ROW()-2)/amortYears)+1"&amp;")
   )
)
"),8609.558470991036)</f>
        <v>8609.558471</v>
      </c>
      <c r="L324" s="15">
        <f>IFERROR(__xludf.DUMMYFUNCTION("IF(A324="""","""",
  INDEX(FILTER('RE Portfolio'!C$2:C2000,'RE Portfolio'!D$2:D2000=""BUY""), INT((ROW()-2)/amortYears)+1)
  * (1 + VALUE(Assumptions!$B$11))^(D324-1)
)
"),995860.8741333185)</f>
        <v>995860.8741</v>
      </c>
    </row>
    <row r="325">
      <c r="A325" s="15">
        <f>IFERROR(__xludf.DUMMYFUNCTION("IFERROR(INDEX(FILTER('RE Portfolio'!A$2:A2000,'RE Portfolio'!D$2:D2000=""BUY""), INT((ROW()-2)/amortYears)+1), )
"),9.0)</f>
        <v>9</v>
      </c>
      <c r="B325" s="15">
        <f>IFERROR(__xludf.DUMMYFUNCTION("IFERROR(INDEX(FILTER('RE Portfolio'!B$2:B2000,'RE Portfolio'!D$2:D2000=""BUY""), INT((ROW()-2)/amortYears)+1), )
"),44.0)</f>
        <v>44</v>
      </c>
      <c r="C325" s="15">
        <f>IFERROR(__xludf.DUMMYFUNCTION("IFERROR(INDEX(FILTER('RE Portfolio'!G$2:G2000,'RE Portfolio'!D$2:D2000=""BUY""), INT((ROW()-2)/amortYears)+1), )
"),368688.6990653387)</f>
        <v>368688.6991</v>
      </c>
      <c r="D325" s="15">
        <f>MOD(ROW()-2, amortYears)+1</f>
        <v>20</v>
      </c>
      <c r="E325" s="15">
        <f t="shared" si="1"/>
        <v>63</v>
      </c>
      <c r="F325" s="16">
        <f t="shared" si="2"/>
        <v>219353.7703</v>
      </c>
      <c r="G325" s="16">
        <f>IF(D325&lt;=mortTerm, -PMT(mortRate/12, mortTerm*12, C325)*12, 0)
</f>
        <v>27964.36048</v>
      </c>
      <c r="H325" s="16">
        <f>IF(D325&lt;=mortTerm, G325 - I325, 0)
</f>
        <v>13842.19624</v>
      </c>
      <c r="I325" s="16">
        <f>IF(D325&lt;=mortTerm, F325 - J325, 0)
</f>
        <v>14122.16424</v>
      </c>
      <c r="J325" s="16">
        <f>IF(D325&lt;=mortTerm,
   F325*(1+mortRate/12)^12 - (-PMT(mortRate/12, mortTerm*12, C325))*(((1+mortRate/12)^12 - 1)/(mortRate/12)),
   0
)
</f>
        <v>205231.6061</v>
      </c>
      <c r="K325" s="13">
        <f>IFERROR(__xludf.DUMMYFUNCTION("IF(A325="""","""",
   IF(F325&gt;0,
      INDEX(FILTER('RE Portfolio'!L$2:L2000,'RE Portfolio'!D$2:D2000=""BUY""), INT((ROW()-2)/amortYears)+1) - G325,
      INDEX(FILTER('RE Portfolio'!L$2:L2000,'RE Portfolio'!D$2:D2000=""BUY""), INT((ROW()-2)/amortYears)+1"&amp;")
   )
)
"),8609.558470991036)</f>
        <v>8609.558471</v>
      </c>
      <c r="L325" s="15">
        <f>IFERROR(__xludf.DUMMYFUNCTION("IF(A325="""","""",
  INDEX(FILTER('RE Portfolio'!C$2:C2000,'RE Portfolio'!D$2:D2000=""BUY""), INT((ROW()-2)/amortYears)+1)
  * (1 + VALUE(Assumptions!$B$11))^(D325-1)
)
"),1035695.3090986513)</f>
        <v>1035695.309</v>
      </c>
    </row>
    <row r="326">
      <c r="A326" s="15">
        <f>IFERROR(__xludf.DUMMYFUNCTION("IFERROR(INDEX(FILTER('RE Portfolio'!A$2:A2000,'RE Portfolio'!D$2:D2000=""BUY""), INT((ROW()-2)/amortYears)+1), )
"),9.0)</f>
        <v>9</v>
      </c>
      <c r="B326" s="15">
        <f>IFERROR(__xludf.DUMMYFUNCTION("IFERROR(INDEX(FILTER('RE Portfolio'!B$2:B2000,'RE Portfolio'!D$2:D2000=""BUY""), INT((ROW()-2)/amortYears)+1), )
"),44.0)</f>
        <v>44</v>
      </c>
      <c r="C326" s="15">
        <f>IFERROR(__xludf.DUMMYFUNCTION("IFERROR(INDEX(FILTER('RE Portfolio'!G$2:G2000,'RE Portfolio'!D$2:D2000=""BUY""), INT((ROW()-2)/amortYears)+1), )
"),368688.6990653387)</f>
        <v>368688.6991</v>
      </c>
      <c r="D326" s="15">
        <f>MOD(ROW()-2, amortYears)+1</f>
        <v>21</v>
      </c>
      <c r="E326" s="15">
        <f t="shared" si="1"/>
        <v>64</v>
      </c>
      <c r="F326" s="16">
        <f t="shared" si="2"/>
        <v>205231.6061</v>
      </c>
      <c r="G326" s="16">
        <f>IF(D326&lt;=mortTerm, -PMT(mortRate/12, mortTerm*12, C326)*12, 0)
</f>
        <v>27964.36048</v>
      </c>
      <c r="H326" s="16">
        <f>IF(D326&lt;=mortTerm, G326 - I326, 0)
</f>
        <v>12896.40874</v>
      </c>
      <c r="I326" s="16">
        <f>IF(D326&lt;=mortTerm, F326 - J326, 0)
</f>
        <v>15067.95173</v>
      </c>
      <c r="J326" s="16">
        <f>IF(D326&lt;=mortTerm,
   F326*(1+mortRate/12)^12 - (-PMT(mortRate/12, mortTerm*12, C326))*(((1+mortRate/12)^12 - 1)/(mortRate/12)),
   0
)
</f>
        <v>190163.6543</v>
      </c>
      <c r="K326" s="13">
        <f>IFERROR(__xludf.DUMMYFUNCTION("IF(A326="""","""",
   IF(F326&gt;0,
      INDEX(FILTER('RE Portfolio'!L$2:L2000,'RE Portfolio'!D$2:D2000=""BUY""), INT((ROW()-2)/amortYears)+1) - G326,
      INDEX(FILTER('RE Portfolio'!L$2:L2000,'RE Portfolio'!D$2:D2000=""BUY""), INT((ROW()-2)/amortYears)+1"&amp;")
   )
)
"),8609.558470991036)</f>
        <v>8609.558471</v>
      </c>
      <c r="L326" s="15">
        <f>IFERROR(__xludf.DUMMYFUNCTION("IF(A326="""","""",
  INDEX(FILTER('RE Portfolio'!C$2:C2000,'RE Portfolio'!D$2:D2000=""BUY""), INT((ROW()-2)/amortYears)+1)
  * (1 + VALUE(Assumptions!$B$11))^(D326-1)
)
"),1077123.1214625973)</f>
        <v>1077123.121</v>
      </c>
    </row>
    <row r="327">
      <c r="A327" s="15">
        <f>IFERROR(__xludf.DUMMYFUNCTION("IFERROR(INDEX(FILTER('RE Portfolio'!A$2:A2000,'RE Portfolio'!D$2:D2000=""BUY""), INT((ROW()-2)/amortYears)+1), )
"),9.0)</f>
        <v>9</v>
      </c>
      <c r="B327" s="15">
        <f>IFERROR(__xludf.DUMMYFUNCTION("IFERROR(INDEX(FILTER('RE Portfolio'!B$2:B2000,'RE Portfolio'!D$2:D2000=""BUY""), INT((ROW()-2)/amortYears)+1), )
"),44.0)</f>
        <v>44</v>
      </c>
      <c r="C327" s="15">
        <f>IFERROR(__xludf.DUMMYFUNCTION("IFERROR(INDEX(FILTER('RE Portfolio'!G$2:G2000,'RE Portfolio'!D$2:D2000=""BUY""), INT((ROW()-2)/amortYears)+1), )
"),368688.6990653387)</f>
        <v>368688.6991</v>
      </c>
      <c r="D327" s="15">
        <f>MOD(ROW()-2, amortYears)+1</f>
        <v>22</v>
      </c>
      <c r="E327" s="15">
        <f t="shared" si="1"/>
        <v>65</v>
      </c>
      <c r="F327" s="16">
        <f t="shared" si="2"/>
        <v>190163.6543</v>
      </c>
      <c r="G327" s="16">
        <f>IF(D327&lt;=mortTerm, -PMT(mortRate/12, mortTerm*12, C327)*12, 0)
</f>
        <v>27964.36048</v>
      </c>
      <c r="H327" s="16">
        <f>IF(D327&lt;=mortTerm, G327 - I327, 0)
</f>
        <v>11887.28011</v>
      </c>
      <c r="I327" s="16">
        <f>IF(D327&lt;=mortTerm, F327 - J327, 0)
</f>
        <v>16077.08037</v>
      </c>
      <c r="J327" s="16">
        <f>IF(D327&lt;=mortTerm,
   F327*(1+mortRate/12)^12 - (-PMT(mortRate/12, mortTerm*12, C327))*(((1+mortRate/12)^12 - 1)/(mortRate/12)),
   0
)
</f>
        <v>174086.574</v>
      </c>
      <c r="K327" s="13">
        <f>IFERROR(__xludf.DUMMYFUNCTION("IF(A327="""","""",
   IF(F327&gt;0,
      INDEX(FILTER('RE Portfolio'!L$2:L2000,'RE Portfolio'!D$2:D2000=""BUY""), INT((ROW()-2)/amortYears)+1) - G327,
      INDEX(FILTER('RE Portfolio'!L$2:L2000,'RE Portfolio'!D$2:D2000=""BUY""), INT((ROW()-2)/amortYears)+1"&amp;")
   )
)
"),8609.558470991036)</f>
        <v>8609.558471</v>
      </c>
      <c r="L327" s="15">
        <f>IFERROR(__xludf.DUMMYFUNCTION("IF(A327="""","""",
  INDEX(FILTER('RE Portfolio'!C$2:C2000,'RE Portfolio'!D$2:D2000=""BUY""), INT((ROW()-2)/amortYears)+1)
  * (1 + VALUE(Assumptions!$B$11))^(D327-1)
)
"),1120208.0463211013)</f>
        <v>1120208.046</v>
      </c>
    </row>
    <row r="328">
      <c r="A328" s="15">
        <f>IFERROR(__xludf.DUMMYFUNCTION("IFERROR(INDEX(FILTER('RE Portfolio'!A$2:A2000,'RE Portfolio'!D$2:D2000=""BUY""), INT((ROW()-2)/amortYears)+1), )
"),9.0)</f>
        <v>9</v>
      </c>
      <c r="B328" s="15">
        <f>IFERROR(__xludf.DUMMYFUNCTION("IFERROR(INDEX(FILTER('RE Portfolio'!B$2:B2000,'RE Portfolio'!D$2:D2000=""BUY""), INT((ROW()-2)/amortYears)+1), )
"),44.0)</f>
        <v>44</v>
      </c>
      <c r="C328" s="15">
        <f>IFERROR(__xludf.DUMMYFUNCTION("IFERROR(INDEX(FILTER('RE Portfolio'!G$2:G2000,'RE Portfolio'!D$2:D2000=""BUY""), INT((ROW()-2)/amortYears)+1), )
"),368688.6990653387)</f>
        <v>368688.6991</v>
      </c>
      <c r="D328" s="15">
        <f>MOD(ROW()-2, amortYears)+1</f>
        <v>23</v>
      </c>
      <c r="E328" s="15">
        <f t="shared" si="1"/>
        <v>66</v>
      </c>
      <c r="F328" s="16">
        <f t="shared" si="2"/>
        <v>174086.574</v>
      </c>
      <c r="G328" s="16">
        <f>IF(D328&lt;=mortTerm, -PMT(mortRate/12, mortTerm*12, C328)*12, 0)
</f>
        <v>27964.36048</v>
      </c>
      <c r="H328" s="16">
        <f>IF(D328&lt;=mortTerm, G328 - I328, 0)
</f>
        <v>10810.56826</v>
      </c>
      <c r="I328" s="16">
        <f>IF(D328&lt;=mortTerm, F328 - J328, 0)
</f>
        <v>17153.79221</v>
      </c>
      <c r="J328" s="16">
        <f>IF(D328&lt;=mortTerm,
   F328*(1+mortRate/12)^12 - (-PMT(mortRate/12, mortTerm*12, C328))*(((1+mortRate/12)^12 - 1)/(mortRate/12)),
   0
)
</f>
        <v>156932.7818</v>
      </c>
      <c r="K328" s="13">
        <f>IFERROR(__xludf.DUMMYFUNCTION("IF(A328="""","""",
   IF(F328&gt;0,
      INDEX(FILTER('RE Portfolio'!L$2:L2000,'RE Portfolio'!D$2:D2000=""BUY""), INT((ROW()-2)/amortYears)+1) - G328,
      INDEX(FILTER('RE Portfolio'!L$2:L2000,'RE Portfolio'!D$2:D2000=""BUY""), INT((ROW()-2)/amortYears)+1"&amp;")
   )
)
"),8609.558470991036)</f>
        <v>8609.558471</v>
      </c>
      <c r="L328" s="15">
        <f>IFERROR(__xludf.DUMMYFUNCTION("IF(A328="""","""",
  INDEX(FILTER('RE Portfolio'!C$2:C2000,'RE Portfolio'!D$2:D2000=""BUY""), INT((ROW()-2)/amortYears)+1)
  * (1 + VALUE(Assumptions!$B$11))^(D328-1)
)
"),1165016.3681739452)</f>
        <v>1165016.368</v>
      </c>
    </row>
    <row r="329">
      <c r="A329" s="15">
        <f>IFERROR(__xludf.DUMMYFUNCTION("IFERROR(INDEX(FILTER('RE Portfolio'!A$2:A2000,'RE Portfolio'!D$2:D2000=""BUY""), INT((ROW()-2)/amortYears)+1), )
"),9.0)</f>
        <v>9</v>
      </c>
      <c r="B329" s="15">
        <f>IFERROR(__xludf.DUMMYFUNCTION("IFERROR(INDEX(FILTER('RE Portfolio'!B$2:B2000,'RE Portfolio'!D$2:D2000=""BUY""), INT((ROW()-2)/amortYears)+1), )
"),44.0)</f>
        <v>44</v>
      </c>
      <c r="C329" s="15">
        <f>IFERROR(__xludf.DUMMYFUNCTION("IFERROR(INDEX(FILTER('RE Portfolio'!G$2:G2000,'RE Portfolio'!D$2:D2000=""BUY""), INT((ROW()-2)/amortYears)+1), )
"),368688.6990653387)</f>
        <v>368688.6991</v>
      </c>
      <c r="D329" s="15">
        <f>MOD(ROW()-2, amortYears)+1</f>
        <v>24</v>
      </c>
      <c r="E329" s="15">
        <f t="shared" si="1"/>
        <v>67</v>
      </c>
      <c r="F329" s="16">
        <f t="shared" si="2"/>
        <v>156932.7818</v>
      </c>
      <c r="G329" s="16">
        <f>IF(D329&lt;=mortTerm, -PMT(mortRate/12, mortTerm*12, C329)*12, 0)
</f>
        <v>27964.36048</v>
      </c>
      <c r="H329" s="16">
        <f>IF(D329&lt;=mortTerm, G329 - I329, 0)
</f>
        <v>9661.747031</v>
      </c>
      <c r="I329" s="16">
        <f>IF(D329&lt;=mortTerm, F329 - J329, 0)
</f>
        <v>18302.61345</v>
      </c>
      <c r="J329" s="16">
        <f>IF(D329&lt;=mortTerm,
   F329*(1+mortRate/12)^12 - (-PMT(mortRate/12, mortTerm*12, C329))*(((1+mortRate/12)^12 - 1)/(mortRate/12)),
   0
)
</f>
        <v>138630.1683</v>
      </c>
      <c r="K329" s="13">
        <f>IFERROR(__xludf.DUMMYFUNCTION("IF(A329="""","""",
   IF(F329&gt;0,
      INDEX(FILTER('RE Portfolio'!L$2:L2000,'RE Portfolio'!D$2:D2000=""BUY""), INT((ROW()-2)/amortYears)+1) - G329,
      INDEX(FILTER('RE Portfolio'!L$2:L2000,'RE Portfolio'!D$2:D2000=""BUY""), INT((ROW()-2)/amortYears)+1"&amp;")
   )
)
"),8609.558470991036)</f>
        <v>8609.558471</v>
      </c>
      <c r="L329" s="15">
        <f>IFERROR(__xludf.DUMMYFUNCTION("IF(A329="""","""",
  INDEX(FILTER('RE Portfolio'!C$2:C2000,'RE Portfolio'!D$2:D2000=""BUY""), INT((ROW()-2)/amortYears)+1)
  * (1 + VALUE(Assumptions!$B$11))^(D329-1)
)
"),1211617.0229009031)</f>
        <v>1211617.023</v>
      </c>
    </row>
    <row r="330">
      <c r="A330" s="15">
        <f>IFERROR(__xludf.DUMMYFUNCTION("IFERROR(INDEX(FILTER('RE Portfolio'!A$2:A2000,'RE Portfolio'!D$2:D2000=""BUY""), INT((ROW()-2)/amortYears)+1), )
"),9.0)</f>
        <v>9</v>
      </c>
      <c r="B330" s="15">
        <f>IFERROR(__xludf.DUMMYFUNCTION("IFERROR(INDEX(FILTER('RE Portfolio'!B$2:B2000,'RE Portfolio'!D$2:D2000=""BUY""), INT((ROW()-2)/amortYears)+1), )
"),44.0)</f>
        <v>44</v>
      </c>
      <c r="C330" s="15">
        <f>IFERROR(__xludf.DUMMYFUNCTION("IFERROR(INDEX(FILTER('RE Portfolio'!G$2:G2000,'RE Portfolio'!D$2:D2000=""BUY""), INT((ROW()-2)/amortYears)+1), )
"),368688.6990653387)</f>
        <v>368688.6991</v>
      </c>
      <c r="D330" s="15">
        <f>MOD(ROW()-2, amortYears)+1</f>
        <v>25</v>
      </c>
      <c r="E330" s="15">
        <f t="shared" si="1"/>
        <v>68</v>
      </c>
      <c r="F330" s="16">
        <f t="shared" si="2"/>
        <v>138630.1683</v>
      </c>
      <c r="G330" s="16">
        <f>IF(D330&lt;=mortTerm, -PMT(mortRate/12, mortTerm*12, C330)*12, 0)
</f>
        <v>27964.36048</v>
      </c>
      <c r="H330" s="16">
        <f>IF(D330&lt;=mortTerm, G330 - I330, 0)
</f>
        <v>8435.987112</v>
      </c>
      <c r="I330" s="16">
        <f>IF(D330&lt;=mortTerm, F330 - J330, 0)
</f>
        <v>19528.37336</v>
      </c>
      <c r="J330" s="16">
        <f>IF(D330&lt;=mortTerm,
   F330*(1+mortRate/12)^12 - (-PMT(mortRate/12, mortTerm*12, C330))*(((1+mortRate/12)^12 - 1)/(mortRate/12)),
   0
)
</f>
        <v>119101.7949</v>
      </c>
      <c r="K330" s="13">
        <f>IFERROR(__xludf.DUMMYFUNCTION("IF(A330="""","""",
   IF(F330&gt;0,
      INDEX(FILTER('RE Portfolio'!L$2:L2000,'RE Portfolio'!D$2:D2000=""BUY""), INT((ROW()-2)/amortYears)+1) - G330,
      INDEX(FILTER('RE Portfolio'!L$2:L2000,'RE Portfolio'!D$2:D2000=""BUY""), INT((ROW()-2)/amortYears)+1"&amp;")
   )
)
"),8609.558470991036)</f>
        <v>8609.558471</v>
      </c>
      <c r="L330" s="15">
        <f>IFERROR(__xludf.DUMMYFUNCTION("IF(A330="""","""",
  INDEX(FILTER('RE Portfolio'!C$2:C2000,'RE Portfolio'!D$2:D2000=""BUY""), INT((ROW()-2)/amortYears)+1)
  * (1 + VALUE(Assumptions!$B$11))^(D330-1)
)
"),1260081.7038169394)</f>
        <v>1260081.704</v>
      </c>
    </row>
    <row r="331">
      <c r="A331" s="15">
        <f>IFERROR(__xludf.DUMMYFUNCTION("IFERROR(INDEX(FILTER('RE Portfolio'!A$2:A2000,'RE Portfolio'!D$2:D2000=""BUY""), INT((ROW()-2)/amortYears)+1), )
"),9.0)</f>
        <v>9</v>
      </c>
      <c r="B331" s="15">
        <f>IFERROR(__xludf.DUMMYFUNCTION("IFERROR(INDEX(FILTER('RE Portfolio'!B$2:B2000,'RE Portfolio'!D$2:D2000=""BUY""), INT((ROW()-2)/amortYears)+1), )
"),44.0)</f>
        <v>44</v>
      </c>
      <c r="C331" s="15">
        <f>IFERROR(__xludf.DUMMYFUNCTION("IFERROR(INDEX(FILTER('RE Portfolio'!G$2:G2000,'RE Portfolio'!D$2:D2000=""BUY""), INT((ROW()-2)/amortYears)+1), )
"),368688.6990653387)</f>
        <v>368688.6991</v>
      </c>
      <c r="D331" s="15">
        <f>MOD(ROW()-2, amortYears)+1</f>
        <v>26</v>
      </c>
      <c r="E331" s="15">
        <f t="shared" si="1"/>
        <v>69</v>
      </c>
      <c r="F331" s="16">
        <f t="shared" si="2"/>
        <v>119101.7949</v>
      </c>
      <c r="G331" s="16">
        <f>IF(D331&lt;=mortTerm, -PMT(mortRate/12, mortTerm*12, C331)*12, 0)
</f>
        <v>27964.36048</v>
      </c>
      <c r="H331" s="16">
        <f>IF(D331&lt;=mortTerm, G331 - I331, 0)
</f>
        <v>7128.135781</v>
      </c>
      <c r="I331" s="16">
        <f>IF(D331&lt;=mortTerm, F331 - J331, 0)
</f>
        <v>20836.2247</v>
      </c>
      <c r="J331" s="16">
        <f>IF(D331&lt;=mortTerm,
   F331*(1+mortRate/12)^12 - (-PMT(mortRate/12, mortTerm*12, C331))*(((1+mortRate/12)^12 - 1)/(mortRate/12)),
   0
)
</f>
        <v>98265.57025</v>
      </c>
      <c r="K331" s="13">
        <f>IFERROR(__xludf.DUMMYFUNCTION("IF(A331="""","""",
   IF(F331&gt;0,
      INDEX(FILTER('RE Portfolio'!L$2:L2000,'RE Portfolio'!D$2:D2000=""BUY""), INT((ROW()-2)/amortYears)+1) - G331,
      INDEX(FILTER('RE Portfolio'!L$2:L2000,'RE Portfolio'!D$2:D2000=""BUY""), INT((ROW()-2)/amortYears)+1"&amp;")
   )
)
"),8609.558470991036)</f>
        <v>8609.558471</v>
      </c>
      <c r="L331" s="15">
        <f>IFERROR(__xludf.DUMMYFUNCTION("IF(A331="""","""",
  INDEX(FILTER('RE Portfolio'!C$2:C2000,'RE Portfolio'!D$2:D2000=""BUY""), INT((ROW()-2)/amortYears)+1)
  * (1 + VALUE(Assumptions!$B$11))^(D331-1)
)
"),1310484.9719696168)</f>
        <v>1310484.972</v>
      </c>
    </row>
    <row r="332">
      <c r="A332" s="15">
        <f>IFERROR(__xludf.DUMMYFUNCTION("IFERROR(INDEX(FILTER('RE Portfolio'!A$2:A2000,'RE Portfolio'!D$2:D2000=""BUY""), INT((ROW()-2)/amortYears)+1), )
"),9.0)</f>
        <v>9</v>
      </c>
      <c r="B332" s="15">
        <f>IFERROR(__xludf.DUMMYFUNCTION("IFERROR(INDEX(FILTER('RE Portfolio'!B$2:B2000,'RE Portfolio'!D$2:D2000=""BUY""), INT((ROW()-2)/amortYears)+1), )
"),44.0)</f>
        <v>44</v>
      </c>
      <c r="C332" s="15">
        <f>IFERROR(__xludf.DUMMYFUNCTION("IFERROR(INDEX(FILTER('RE Portfolio'!G$2:G2000,'RE Portfolio'!D$2:D2000=""BUY""), INT((ROW()-2)/amortYears)+1), )
"),368688.6990653387)</f>
        <v>368688.6991</v>
      </c>
      <c r="D332" s="15">
        <f>MOD(ROW()-2, amortYears)+1</f>
        <v>27</v>
      </c>
      <c r="E332" s="15">
        <f t="shared" si="1"/>
        <v>70</v>
      </c>
      <c r="F332" s="16">
        <f t="shared" si="2"/>
        <v>98265.57025</v>
      </c>
      <c r="G332" s="16">
        <f>IF(D332&lt;=mortTerm, -PMT(mortRate/12, mortTerm*12, C332)*12, 0)
</f>
        <v>27964.36048</v>
      </c>
      <c r="H332" s="16">
        <f>IF(D332&lt;=mortTerm, G332 - I332, 0)
</f>
        <v>5732.695225</v>
      </c>
      <c r="I332" s="16">
        <f>IF(D332&lt;=mortTerm, F332 - J332, 0)
</f>
        <v>22231.66525</v>
      </c>
      <c r="J332" s="16">
        <f>IF(D332&lt;=mortTerm,
   F332*(1+mortRate/12)^12 - (-PMT(mortRate/12, mortTerm*12, C332))*(((1+mortRate/12)^12 - 1)/(mortRate/12)),
   0
)
</f>
        <v>76033.905</v>
      </c>
      <c r="K332" s="13">
        <f>IFERROR(__xludf.DUMMYFUNCTION("IF(A332="""","""",
   IF(F332&gt;0,
      INDEX(FILTER('RE Portfolio'!L$2:L2000,'RE Portfolio'!D$2:D2000=""BUY""), INT((ROW()-2)/amortYears)+1) - G332,
      INDEX(FILTER('RE Portfolio'!L$2:L2000,'RE Portfolio'!D$2:D2000=""BUY""), INT((ROW()-2)/amortYears)+1"&amp;")
   )
)
"),8609.558470991036)</f>
        <v>8609.558471</v>
      </c>
      <c r="L332" s="15">
        <f>IFERROR(__xludf.DUMMYFUNCTION("IF(A332="""","""",
  INDEX(FILTER('RE Portfolio'!C$2:C2000,'RE Portfolio'!D$2:D2000=""BUY""), INT((ROW()-2)/amortYears)+1)
  * (1 + VALUE(Assumptions!$B$11))^(D332-1)
)
"),1362904.3708484017)</f>
        <v>1362904.371</v>
      </c>
    </row>
    <row r="333">
      <c r="A333" s="15">
        <f>IFERROR(__xludf.DUMMYFUNCTION("IFERROR(INDEX(FILTER('RE Portfolio'!A$2:A2000,'RE Portfolio'!D$2:D2000=""BUY""), INT((ROW()-2)/amortYears)+1), )
"),9.0)</f>
        <v>9</v>
      </c>
      <c r="B333" s="15">
        <f>IFERROR(__xludf.DUMMYFUNCTION("IFERROR(INDEX(FILTER('RE Portfolio'!B$2:B2000,'RE Portfolio'!D$2:D2000=""BUY""), INT((ROW()-2)/amortYears)+1), )
"),44.0)</f>
        <v>44</v>
      </c>
      <c r="C333" s="15">
        <f>IFERROR(__xludf.DUMMYFUNCTION("IFERROR(INDEX(FILTER('RE Portfolio'!G$2:G2000,'RE Portfolio'!D$2:D2000=""BUY""), INT((ROW()-2)/amortYears)+1), )
"),368688.6990653387)</f>
        <v>368688.6991</v>
      </c>
      <c r="D333" s="15">
        <f>MOD(ROW()-2, amortYears)+1</f>
        <v>28</v>
      </c>
      <c r="E333" s="15">
        <f t="shared" si="1"/>
        <v>71</v>
      </c>
      <c r="F333" s="16">
        <f t="shared" si="2"/>
        <v>76033.905</v>
      </c>
      <c r="G333" s="16">
        <f>IF(D333&lt;=mortTerm, -PMT(mortRate/12, mortTerm*12, C333)*12, 0)
</f>
        <v>27964.36048</v>
      </c>
      <c r="H333" s="16">
        <f>IF(D333&lt;=mortTerm, G333 - I333, 0)
</f>
        <v>4243.79943</v>
      </c>
      <c r="I333" s="16">
        <f>IF(D333&lt;=mortTerm, F333 - J333, 0)
</f>
        <v>23720.56105</v>
      </c>
      <c r="J333" s="16">
        <f>IF(D333&lt;=mortTerm,
   F333*(1+mortRate/12)^12 - (-PMT(mortRate/12, mortTerm*12, C333))*(((1+mortRate/12)^12 - 1)/(mortRate/12)),
   0
)
</f>
        <v>52313.34395</v>
      </c>
      <c r="K333" s="13">
        <f>IFERROR(__xludf.DUMMYFUNCTION("IF(A333="""","""",
   IF(F333&gt;0,
      INDEX(FILTER('RE Portfolio'!L$2:L2000,'RE Portfolio'!D$2:D2000=""BUY""), INT((ROW()-2)/amortYears)+1) - G333,
      INDEX(FILTER('RE Portfolio'!L$2:L2000,'RE Portfolio'!D$2:D2000=""BUY""), INT((ROW()-2)/amortYears)+1"&amp;")
   )
)
"),8609.558470991036)</f>
        <v>8609.558471</v>
      </c>
      <c r="L333" s="15">
        <f>IFERROR(__xludf.DUMMYFUNCTION("IF(A333="""","""",
  INDEX(FILTER('RE Portfolio'!C$2:C2000,'RE Portfolio'!D$2:D2000=""BUY""), INT((ROW()-2)/amortYears)+1)
  * (1 + VALUE(Assumptions!$B$11))^(D333-1)
)
"),1417420.5456823378)</f>
        <v>1417420.546</v>
      </c>
    </row>
    <row r="334">
      <c r="A334" s="15">
        <f>IFERROR(__xludf.DUMMYFUNCTION("IFERROR(INDEX(FILTER('RE Portfolio'!A$2:A2000,'RE Portfolio'!D$2:D2000=""BUY""), INT((ROW()-2)/amortYears)+1), )
"),9.0)</f>
        <v>9</v>
      </c>
      <c r="B334" s="15">
        <f>IFERROR(__xludf.DUMMYFUNCTION("IFERROR(INDEX(FILTER('RE Portfolio'!B$2:B2000,'RE Portfolio'!D$2:D2000=""BUY""), INT((ROW()-2)/amortYears)+1), )
"),44.0)</f>
        <v>44</v>
      </c>
      <c r="C334" s="15">
        <f>IFERROR(__xludf.DUMMYFUNCTION("IFERROR(INDEX(FILTER('RE Portfolio'!G$2:G2000,'RE Portfolio'!D$2:D2000=""BUY""), INT((ROW()-2)/amortYears)+1), )
"),368688.6990653387)</f>
        <v>368688.6991</v>
      </c>
      <c r="D334" s="15">
        <f>MOD(ROW()-2, amortYears)+1</f>
        <v>29</v>
      </c>
      <c r="E334" s="15">
        <f t="shared" si="1"/>
        <v>72</v>
      </c>
      <c r="F334" s="16">
        <f t="shared" si="2"/>
        <v>52313.34395</v>
      </c>
      <c r="G334" s="16">
        <f>IF(D334&lt;=mortTerm, -PMT(mortRate/12, mortTerm*12, C334)*12, 0)
</f>
        <v>27964.36048</v>
      </c>
      <c r="H334" s="16">
        <f>IF(D334&lt;=mortTerm, G334 - I334, 0)
</f>
        <v>2655.189526</v>
      </c>
      <c r="I334" s="16">
        <f>IF(D334&lt;=mortTerm, F334 - J334, 0)
</f>
        <v>25309.17095</v>
      </c>
      <c r="J334" s="16">
        <f>IF(D334&lt;=mortTerm,
   F334*(1+mortRate/12)^12 - (-PMT(mortRate/12, mortTerm*12, C334))*(((1+mortRate/12)^12 - 1)/(mortRate/12)),
   0
)
</f>
        <v>27004.173</v>
      </c>
      <c r="K334" s="13">
        <f>IFERROR(__xludf.DUMMYFUNCTION("IF(A334="""","""",
   IF(F334&gt;0,
      INDEX(FILTER('RE Portfolio'!L$2:L2000,'RE Portfolio'!D$2:D2000=""BUY""), INT((ROW()-2)/amortYears)+1) - G334,
      INDEX(FILTER('RE Portfolio'!L$2:L2000,'RE Portfolio'!D$2:D2000=""BUY""), INT((ROW()-2)/amortYears)+1"&amp;")
   )
)
"),8609.558470991036)</f>
        <v>8609.558471</v>
      </c>
      <c r="L334" s="15">
        <f>IFERROR(__xludf.DUMMYFUNCTION("IF(A334="""","""",
  INDEX(FILTER('RE Portfolio'!C$2:C2000,'RE Portfolio'!D$2:D2000=""BUY""), INT((ROW()-2)/amortYears)+1)
  * (1 + VALUE(Assumptions!$B$11))^(D334-1)
)
"),1474117.3675096314)</f>
        <v>1474117.368</v>
      </c>
    </row>
    <row r="335">
      <c r="A335" s="15">
        <f>IFERROR(__xludf.DUMMYFUNCTION("IFERROR(INDEX(FILTER('RE Portfolio'!A$2:A2000,'RE Portfolio'!D$2:D2000=""BUY""), INT((ROW()-2)/amortYears)+1), )
"),9.0)</f>
        <v>9</v>
      </c>
      <c r="B335" s="15">
        <f>IFERROR(__xludf.DUMMYFUNCTION("IFERROR(INDEX(FILTER('RE Portfolio'!B$2:B2000,'RE Portfolio'!D$2:D2000=""BUY""), INT((ROW()-2)/amortYears)+1), )
"),44.0)</f>
        <v>44</v>
      </c>
      <c r="C335" s="15">
        <f>IFERROR(__xludf.DUMMYFUNCTION("IFERROR(INDEX(FILTER('RE Portfolio'!G$2:G2000,'RE Portfolio'!D$2:D2000=""BUY""), INT((ROW()-2)/amortYears)+1), )
"),368688.6990653387)</f>
        <v>368688.6991</v>
      </c>
      <c r="D335" s="15">
        <f>MOD(ROW()-2, amortYears)+1</f>
        <v>30</v>
      </c>
      <c r="E335" s="15">
        <f t="shared" si="1"/>
        <v>73</v>
      </c>
      <c r="F335" s="16">
        <f t="shared" si="2"/>
        <v>27004.173</v>
      </c>
      <c r="G335" s="16">
        <f>IF(D335&lt;=mortTerm, -PMT(mortRate/12, mortTerm*12, C335)*12, 0)
</f>
        <v>27964.36048</v>
      </c>
      <c r="H335" s="16">
        <f>IF(D335&lt;=mortTerm, G335 - I335, 0)
</f>
        <v>960.1874746</v>
      </c>
      <c r="I335" s="16">
        <f>IF(D335&lt;=mortTerm, F335 - J335, 0)
</f>
        <v>27004.173</v>
      </c>
      <c r="J335" s="16">
        <f>IF(D335&lt;=mortTerm,
   F335*(1+mortRate/12)^12 - (-PMT(mortRate/12, mortTerm*12, C335))*(((1+mortRate/12)^12 - 1)/(mortRate/12)),
   0
)
</f>
        <v>-0.000000001313310349</v>
      </c>
      <c r="K335" s="13">
        <f>IFERROR(__xludf.DUMMYFUNCTION("IF(A335="""","""",
   IF(F335&gt;0,
      INDEX(FILTER('RE Portfolio'!L$2:L2000,'RE Portfolio'!D$2:D2000=""BUY""), INT((ROW()-2)/amortYears)+1) - G335,
      INDEX(FILTER('RE Portfolio'!L$2:L2000,'RE Portfolio'!D$2:D2000=""BUY""), INT((ROW()-2)/amortYears)+1"&amp;")
   )
)
"),8609.558470991036)</f>
        <v>8609.558471</v>
      </c>
      <c r="L335" s="15">
        <f>IFERROR(__xludf.DUMMYFUNCTION("IF(A335="""","""",
  INDEX(FILTER('RE Portfolio'!C$2:C2000,'RE Portfolio'!D$2:D2000=""BUY""), INT((ROW()-2)/amortYears)+1)
  * (1 + VALUE(Assumptions!$B$11))^(D335-1)
)
"),1533082.0622100167)</f>
        <v>1533082.062</v>
      </c>
    </row>
    <row r="336">
      <c r="A336" s="15">
        <f>IFERROR(__xludf.DUMMYFUNCTION("IFERROR(INDEX(FILTER('RE Portfolio'!A$2:A2000,'RE Portfolio'!D$2:D2000=""BUY""), INT((ROW()-2)/amortYears)+1), )
"),9.0)</f>
        <v>9</v>
      </c>
      <c r="B336" s="15">
        <f>IFERROR(__xludf.DUMMYFUNCTION("IFERROR(INDEX(FILTER('RE Portfolio'!B$2:B2000,'RE Portfolio'!D$2:D2000=""BUY""), INT((ROW()-2)/amortYears)+1), )
"),44.0)</f>
        <v>44</v>
      </c>
      <c r="C336" s="15">
        <f>IFERROR(__xludf.DUMMYFUNCTION("IFERROR(INDEX(FILTER('RE Portfolio'!G$2:G2000,'RE Portfolio'!D$2:D2000=""BUY""), INT((ROW()-2)/amortYears)+1), )
"),368688.6990653387)</f>
        <v>368688.6991</v>
      </c>
      <c r="D336" s="15">
        <f>MOD(ROW()-2, amortYears)+1</f>
        <v>31</v>
      </c>
      <c r="E336" s="15">
        <f t="shared" si="1"/>
        <v>74</v>
      </c>
      <c r="F336" s="16">
        <f t="shared" si="2"/>
        <v>-0.000000001313310349</v>
      </c>
      <c r="G336" s="15">
        <f>IF(D336&lt;=mortTerm, -PMT(mortRate/12, mortTerm*12, C336)*12, 0)
</f>
        <v>0</v>
      </c>
      <c r="H336" s="15">
        <f>IF(D336&lt;=mortTerm, G336 - I336, 0)
</f>
        <v>0</v>
      </c>
      <c r="I336" s="15">
        <f>IF(D336&lt;=mortTerm, F336 - J336, 0)
</f>
        <v>0</v>
      </c>
      <c r="J336" s="15">
        <f>IF(D336&lt;=mortTerm,
   F336*(1+mortRate/12)^12 - (-PMT(mortRate/12, mortTerm*12, C336))*(((1+mortRate/12)^12 - 1)/(mortRate/12)),
   0
)
</f>
        <v>0</v>
      </c>
      <c r="K336" s="13">
        <f>IFERROR(__xludf.DUMMYFUNCTION("IF(A336="""","""",
   IF(F336&gt;0,
      INDEX(FILTER('RE Portfolio'!L$2:L2000,'RE Portfolio'!D$2:D2000=""BUY""), INT((ROW()-2)/amortYears)+1) - G336,
      INDEX(FILTER('RE Portfolio'!L$2:L2000,'RE Portfolio'!D$2:D2000=""BUY""), INT((ROW()-2)/amortYears)+1"&amp;")
   )
)
"),36573.9189472816)</f>
        <v>36573.91895</v>
      </c>
      <c r="L336" s="15">
        <f>IFERROR(__xludf.DUMMYFUNCTION("IF(A336="""","""",
  INDEX(FILTER('RE Portfolio'!C$2:C2000,'RE Portfolio'!D$2:D2000=""BUY""), INT((ROW()-2)/amortYears)+1)
  * (1 + VALUE(Assumptions!$B$11))^(D336-1)
)
"),1594405.3446984175)</f>
        <v>1594405.345</v>
      </c>
    </row>
    <row r="337">
      <c r="A337" s="15">
        <f>IFERROR(__xludf.DUMMYFUNCTION("IFERROR(INDEX(FILTER('RE Portfolio'!A$2:A2000,'RE Portfolio'!D$2:D2000=""BUY""), INT((ROW()-2)/amortYears)+1), )
"),9.0)</f>
        <v>9</v>
      </c>
      <c r="B337" s="15">
        <f>IFERROR(__xludf.DUMMYFUNCTION("IFERROR(INDEX(FILTER('RE Portfolio'!B$2:B2000,'RE Portfolio'!D$2:D2000=""BUY""), INT((ROW()-2)/amortYears)+1), )
"),44.0)</f>
        <v>44</v>
      </c>
      <c r="C337" s="15">
        <f>IFERROR(__xludf.DUMMYFUNCTION("IFERROR(INDEX(FILTER('RE Portfolio'!G$2:G2000,'RE Portfolio'!D$2:D2000=""BUY""), INT((ROW()-2)/amortYears)+1), )
"),368688.6990653387)</f>
        <v>368688.6991</v>
      </c>
      <c r="D337" s="15">
        <f>MOD(ROW()-2, amortYears)+1</f>
        <v>32</v>
      </c>
      <c r="E337" s="15">
        <f t="shared" si="1"/>
        <v>75</v>
      </c>
      <c r="F337" s="15">
        <f t="shared" si="2"/>
        <v>0</v>
      </c>
      <c r="G337" s="15">
        <f>IF(D337&lt;=mortTerm, -PMT(mortRate/12, mortTerm*12, C337)*12, 0)
</f>
        <v>0</v>
      </c>
      <c r="H337" s="15">
        <f>IF(D337&lt;=mortTerm, G337 - I337, 0)
</f>
        <v>0</v>
      </c>
      <c r="I337" s="15">
        <f>IF(D337&lt;=mortTerm, F337 - J337, 0)
</f>
        <v>0</v>
      </c>
      <c r="J337" s="15">
        <f>IF(D337&lt;=mortTerm,
   F337*(1+mortRate/12)^12 - (-PMT(mortRate/12, mortTerm*12, C337))*(((1+mortRate/12)^12 - 1)/(mortRate/12)),
   0
)
</f>
        <v>0</v>
      </c>
      <c r="K337" s="13">
        <f>IFERROR(__xludf.DUMMYFUNCTION("IF(A337="""","""",
   IF(F337&gt;0,
      INDEX(FILTER('RE Portfolio'!L$2:L2000,'RE Portfolio'!D$2:D2000=""BUY""), INT((ROW()-2)/amortYears)+1) - G337,
      INDEX(FILTER('RE Portfolio'!L$2:L2000,'RE Portfolio'!D$2:D2000=""BUY""), INT((ROW()-2)/amortYears)+1"&amp;")
   )
)
"),36573.9189472816)</f>
        <v>36573.91895</v>
      </c>
      <c r="L337" s="15">
        <f>IFERROR(__xludf.DUMMYFUNCTION("IF(A337="""","""",
  INDEX(FILTER('RE Portfolio'!C$2:C2000,'RE Portfolio'!D$2:D2000=""BUY""), INT((ROW()-2)/amortYears)+1)
  * (1 + VALUE(Assumptions!$B$11))^(D337-1)
)
"),1658181.5584863543)</f>
        <v>1658181.558</v>
      </c>
    </row>
    <row r="338">
      <c r="A338" s="15">
        <f>IFERROR(__xludf.DUMMYFUNCTION("IFERROR(INDEX(FILTER('RE Portfolio'!A$2:A2000,'RE Portfolio'!D$2:D2000=""BUY""), INT((ROW()-2)/amortYears)+1), )
"),9.0)</f>
        <v>9</v>
      </c>
      <c r="B338" s="15">
        <f>IFERROR(__xludf.DUMMYFUNCTION("IFERROR(INDEX(FILTER('RE Portfolio'!B$2:B2000,'RE Portfolio'!D$2:D2000=""BUY""), INT((ROW()-2)/amortYears)+1), )
"),44.0)</f>
        <v>44</v>
      </c>
      <c r="C338" s="15">
        <f>IFERROR(__xludf.DUMMYFUNCTION("IFERROR(INDEX(FILTER('RE Portfolio'!G$2:G2000,'RE Portfolio'!D$2:D2000=""BUY""), INT((ROW()-2)/amortYears)+1), )
"),368688.6990653387)</f>
        <v>368688.6991</v>
      </c>
      <c r="D338" s="15">
        <f>MOD(ROW()-2, amortYears)+1</f>
        <v>33</v>
      </c>
      <c r="E338" s="15">
        <f t="shared" si="1"/>
        <v>76</v>
      </c>
      <c r="F338" s="15">
        <f t="shared" si="2"/>
        <v>0</v>
      </c>
      <c r="G338" s="15">
        <f>IF(D338&lt;=mortTerm, -PMT(mortRate/12, mortTerm*12, C338)*12, 0)
</f>
        <v>0</v>
      </c>
      <c r="H338" s="15">
        <f>IF(D338&lt;=mortTerm, G338 - I338, 0)
</f>
        <v>0</v>
      </c>
      <c r="I338" s="15">
        <f>IF(D338&lt;=mortTerm, F338 - J338, 0)
</f>
        <v>0</v>
      </c>
      <c r="J338" s="15">
        <f>IF(D338&lt;=mortTerm,
   F338*(1+mortRate/12)^12 - (-PMT(mortRate/12, mortTerm*12, C338))*(((1+mortRate/12)^12 - 1)/(mortRate/12)),
   0
)
</f>
        <v>0</v>
      </c>
      <c r="K338" s="13">
        <f>IFERROR(__xludf.DUMMYFUNCTION("IF(A338="""","""",
   IF(F338&gt;0,
      INDEX(FILTER('RE Portfolio'!L$2:L2000,'RE Portfolio'!D$2:D2000=""BUY""), INT((ROW()-2)/amortYears)+1) - G338,
      INDEX(FILTER('RE Portfolio'!L$2:L2000,'RE Portfolio'!D$2:D2000=""BUY""), INT((ROW()-2)/amortYears)+1"&amp;")
   )
)
"),36573.9189472816)</f>
        <v>36573.91895</v>
      </c>
      <c r="L338" s="15">
        <f>IFERROR(__xludf.DUMMYFUNCTION("IF(A338="""","""",
  INDEX(FILTER('RE Portfolio'!C$2:C2000,'RE Portfolio'!D$2:D2000=""BUY""), INT((ROW()-2)/amortYears)+1)
  * (1 + VALUE(Assumptions!$B$11))^(D338-1)
)
"),1724508.8208258084)</f>
        <v>1724508.821</v>
      </c>
    </row>
    <row r="339">
      <c r="A339" s="15">
        <f>IFERROR(__xludf.DUMMYFUNCTION("IFERROR(INDEX(FILTER('RE Portfolio'!A$2:A2000,'RE Portfolio'!D$2:D2000=""BUY""), INT((ROW()-2)/amortYears)+1), )
"),9.0)</f>
        <v>9</v>
      </c>
      <c r="B339" s="15">
        <f>IFERROR(__xludf.DUMMYFUNCTION("IFERROR(INDEX(FILTER('RE Portfolio'!B$2:B2000,'RE Portfolio'!D$2:D2000=""BUY""), INT((ROW()-2)/amortYears)+1), )
"),44.0)</f>
        <v>44</v>
      </c>
      <c r="C339" s="15">
        <f>IFERROR(__xludf.DUMMYFUNCTION("IFERROR(INDEX(FILTER('RE Portfolio'!G$2:G2000,'RE Portfolio'!D$2:D2000=""BUY""), INT((ROW()-2)/amortYears)+1), )
"),368688.6990653387)</f>
        <v>368688.6991</v>
      </c>
      <c r="D339" s="15">
        <f>MOD(ROW()-2, amortYears)+1</f>
        <v>34</v>
      </c>
      <c r="E339" s="15">
        <f t="shared" si="1"/>
        <v>77</v>
      </c>
      <c r="F339" s="15">
        <f t="shared" si="2"/>
        <v>0</v>
      </c>
      <c r="G339" s="15">
        <f>IF(D339&lt;=mortTerm, -PMT(mortRate/12, mortTerm*12, C339)*12, 0)
</f>
        <v>0</v>
      </c>
      <c r="H339" s="15">
        <f>IF(D339&lt;=mortTerm, G339 - I339, 0)
</f>
        <v>0</v>
      </c>
      <c r="I339" s="15">
        <f>IF(D339&lt;=mortTerm, F339 - J339, 0)
</f>
        <v>0</v>
      </c>
      <c r="J339" s="15">
        <f>IF(D339&lt;=mortTerm,
   F339*(1+mortRate/12)^12 - (-PMT(mortRate/12, mortTerm*12, C339))*(((1+mortRate/12)^12 - 1)/(mortRate/12)),
   0
)
</f>
        <v>0</v>
      </c>
      <c r="K339" s="13">
        <f>IFERROR(__xludf.DUMMYFUNCTION("IF(A339="""","""",
   IF(F339&gt;0,
      INDEX(FILTER('RE Portfolio'!L$2:L2000,'RE Portfolio'!D$2:D2000=""BUY""), INT((ROW()-2)/amortYears)+1) - G339,
      INDEX(FILTER('RE Portfolio'!L$2:L2000,'RE Portfolio'!D$2:D2000=""BUY""), INT((ROW()-2)/amortYears)+1"&amp;")
   )
)
"),36573.9189472816)</f>
        <v>36573.91895</v>
      </c>
      <c r="L339" s="15">
        <f>IFERROR(__xludf.DUMMYFUNCTION("IF(A339="""","""",
  INDEX(FILTER('RE Portfolio'!C$2:C2000,'RE Portfolio'!D$2:D2000=""BUY""), INT((ROW()-2)/amortYears)+1)
  * (1 + VALUE(Assumptions!$B$11))^(D339-1)
)
"),1793489.1736588408)</f>
        <v>1793489.174</v>
      </c>
    </row>
    <row r="340">
      <c r="A340" s="15">
        <f>IFERROR(__xludf.DUMMYFUNCTION("IFERROR(INDEX(FILTER('RE Portfolio'!A$2:A2000,'RE Portfolio'!D$2:D2000=""BUY""), INT((ROW()-2)/amortYears)+1), )
"),9.0)</f>
        <v>9</v>
      </c>
      <c r="B340" s="15">
        <f>IFERROR(__xludf.DUMMYFUNCTION("IFERROR(INDEX(FILTER('RE Portfolio'!B$2:B2000,'RE Portfolio'!D$2:D2000=""BUY""), INT((ROW()-2)/amortYears)+1), )
"),44.0)</f>
        <v>44</v>
      </c>
      <c r="C340" s="15">
        <f>IFERROR(__xludf.DUMMYFUNCTION("IFERROR(INDEX(FILTER('RE Portfolio'!G$2:G2000,'RE Portfolio'!D$2:D2000=""BUY""), INT((ROW()-2)/amortYears)+1), )
"),368688.6990653387)</f>
        <v>368688.6991</v>
      </c>
      <c r="D340" s="15">
        <f>MOD(ROW()-2, amortYears)+1</f>
        <v>35</v>
      </c>
      <c r="E340" s="15">
        <f t="shared" si="1"/>
        <v>78</v>
      </c>
      <c r="F340" s="15">
        <f t="shared" si="2"/>
        <v>0</v>
      </c>
      <c r="G340" s="15">
        <f>IF(D340&lt;=mortTerm, -PMT(mortRate/12, mortTerm*12, C340)*12, 0)
</f>
        <v>0</v>
      </c>
      <c r="H340" s="15">
        <f>IF(D340&lt;=mortTerm, G340 - I340, 0)
</f>
        <v>0</v>
      </c>
      <c r="I340" s="15">
        <f>IF(D340&lt;=mortTerm, F340 - J340, 0)
</f>
        <v>0</v>
      </c>
      <c r="J340" s="15">
        <f>IF(D340&lt;=mortTerm,
   F340*(1+mortRate/12)^12 - (-PMT(mortRate/12, mortTerm*12, C340))*(((1+mortRate/12)^12 - 1)/(mortRate/12)),
   0
)
</f>
        <v>0</v>
      </c>
      <c r="K340" s="13">
        <f>IFERROR(__xludf.DUMMYFUNCTION("IF(A340="""","""",
   IF(F340&gt;0,
      INDEX(FILTER('RE Portfolio'!L$2:L2000,'RE Portfolio'!D$2:D2000=""BUY""), INT((ROW()-2)/amortYears)+1) - G340,
      INDEX(FILTER('RE Portfolio'!L$2:L2000,'RE Portfolio'!D$2:D2000=""BUY""), INT((ROW()-2)/amortYears)+1"&amp;")
   )
)
"),36573.9189472816)</f>
        <v>36573.91895</v>
      </c>
      <c r="L340" s="15">
        <f>IFERROR(__xludf.DUMMYFUNCTION("IF(A340="""","""",
  INDEX(FILTER('RE Portfolio'!C$2:C2000,'RE Portfolio'!D$2:D2000=""BUY""), INT((ROW()-2)/amortYears)+1)
  * (1 + VALUE(Assumptions!$B$11))^(D340-1)
)
"),1865228.7406051946)</f>
        <v>1865228.741</v>
      </c>
    </row>
    <row r="341">
      <c r="A341" s="15">
        <f>IFERROR(__xludf.DUMMYFUNCTION("IFERROR(INDEX(FILTER('RE Portfolio'!A$2:A2000,'RE Portfolio'!D$2:D2000=""BUY""), INT((ROW()-2)/amortYears)+1), )
"),9.0)</f>
        <v>9</v>
      </c>
      <c r="B341" s="15">
        <f>IFERROR(__xludf.DUMMYFUNCTION("IFERROR(INDEX(FILTER('RE Portfolio'!B$2:B2000,'RE Portfolio'!D$2:D2000=""BUY""), INT((ROW()-2)/amortYears)+1), )
"),44.0)</f>
        <v>44</v>
      </c>
      <c r="C341" s="15">
        <f>IFERROR(__xludf.DUMMYFUNCTION("IFERROR(INDEX(FILTER('RE Portfolio'!G$2:G2000,'RE Portfolio'!D$2:D2000=""BUY""), INT((ROW()-2)/amortYears)+1), )
"),368688.6990653387)</f>
        <v>368688.6991</v>
      </c>
      <c r="D341" s="15">
        <f>MOD(ROW()-2, amortYears)+1</f>
        <v>36</v>
      </c>
      <c r="E341" s="15">
        <f t="shared" si="1"/>
        <v>79</v>
      </c>
      <c r="F341" s="15">
        <f t="shared" si="2"/>
        <v>0</v>
      </c>
      <c r="G341" s="15">
        <f>IF(D341&lt;=mortTerm, -PMT(mortRate/12, mortTerm*12, C341)*12, 0)
</f>
        <v>0</v>
      </c>
      <c r="H341" s="15">
        <f>IF(D341&lt;=mortTerm, G341 - I341, 0)
</f>
        <v>0</v>
      </c>
      <c r="I341" s="15">
        <f>IF(D341&lt;=mortTerm, F341 - J341, 0)
</f>
        <v>0</v>
      </c>
      <c r="J341" s="15">
        <f>IF(D341&lt;=mortTerm,
   F341*(1+mortRate/12)^12 - (-PMT(mortRate/12, mortTerm*12, C341))*(((1+mortRate/12)^12 - 1)/(mortRate/12)),
   0
)
</f>
        <v>0</v>
      </c>
      <c r="K341" s="13">
        <f>IFERROR(__xludf.DUMMYFUNCTION("IF(A341="""","""",
   IF(F341&gt;0,
      INDEX(FILTER('RE Portfolio'!L$2:L2000,'RE Portfolio'!D$2:D2000=""BUY""), INT((ROW()-2)/amortYears)+1) - G341,
      INDEX(FILTER('RE Portfolio'!L$2:L2000,'RE Portfolio'!D$2:D2000=""BUY""), INT((ROW()-2)/amortYears)+1"&amp;")
   )
)
"),36573.9189472816)</f>
        <v>36573.91895</v>
      </c>
      <c r="L341" s="15">
        <f>IFERROR(__xludf.DUMMYFUNCTION("IF(A341="""","""",
  INDEX(FILTER('RE Portfolio'!C$2:C2000,'RE Portfolio'!D$2:D2000=""BUY""), INT((ROW()-2)/amortYears)+1)
  * (1 + VALUE(Assumptions!$B$11))^(D341-1)
)
"),1939837.8902294023)</f>
        <v>1939837.89</v>
      </c>
    </row>
    <row r="342">
      <c r="A342" s="15">
        <f>IFERROR(__xludf.DUMMYFUNCTION("IFERROR(INDEX(FILTER('RE Portfolio'!A$2:A2000,'RE Portfolio'!D$2:D2000=""BUY""), INT((ROW()-2)/amortYears)+1), )
"),9.0)</f>
        <v>9</v>
      </c>
      <c r="B342" s="15">
        <f>IFERROR(__xludf.DUMMYFUNCTION("IFERROR(INDEX(FILTER('RE Portfolio'!B$2:B2000,'RE Portfolio'!D$2:D2000=""BUY""), INT((ROW()-2)/amortYears)+1), )
"),44.0)</f>
        <v>44</v>
      </c>
      <c r="C342" s="15">
        <f>IFERROR(__xludf.DUMMYFUNCTION("IFERROR(INDEX(FILTER('RE Portfolio'!G$2:G2000,'RE Portfolio'!D$2:D2000=""BUY""), INT((ROW()-2)/amortYears)+1), )
"),368688.6990653387)</f>
        <v>368688.6991</v>
      </c>
      <c r="D342" s="15">
        <f>MOD(ROW()-2, amortYears)+1</f>
        <v>37</v>
      </c>
      <c r="E342" s="15">
        <f t="shared" si="1"/>
        <v>80</v>
      </c>
      <c r="F342" s="15">
        <f t="shared" si="2"/>
        <v>0</v>
      </c>
      <c r="G342" s="15">
        <f>IF(D342&lt;=mortTerm, -PMT(mortRate/12, mortTerm*12, C342)*12, 0)
</f>
        <v>0</v>
      </c>
      <c r="H342" s="15">
        <f>IF(D342&lt;=mortTerm, G342 - I342, 0)
</f>
        <v>0</v>
      </c>
      <c r="I342" s="15">
        <f>IF(D342&lt;=mortTerm, F342 - J342, 0)
</f>
        <v>0</v>
      </c>
      <c r="J342" s="15">
        <f>IF(D342&lt;=mortTerm,
   F342*(1+mortRate/12)^12 - (-PMT(mortRate/12, mortTerm*12, C342))*(((1+mortRate/12)^12 - 1)/(mortRate/12)),
   0
)
</f>
        <v>0</v>
      </c>
      <c r="K342" s="13">
        <f>IFERROR(__xludf.DUMMYFUNCTION("IF(A342="""","""",
   IF(F342&gt;0,
      INDEX(FILTER('RE Portfolio'!L$2:L2000,'RE Portfolio'!D$2:D2000=""BUY""), INT((ROW()-2)/amortYears)+1) - G342,
      INDEX(FILTER('RE Portfolio'!L$2:L2000,'RE Portfolio'!D$2:D2000=""BUY""), INT((ROW()-2)/amortYears)+1"&amp;")
   )
)
"),36573.9189472816)</f>
        <v>36573.91895</v>
      </c>
      <c r="L342" s="15">
        <f>IFERROR(__xludf.DUMMYFUNCTION("IF(A342="""","""",
  INDEX(FILTER('RE Portfolio'!C$2:C2000,'RE Portfolio'!D$2:D2000=""BUY""), INT((ROW()-2)/amortYears)+1)
  * (1 + VALUE(Assumptions!$B$11))^(D342-1)
)
"),2017431.4058385787)</f>
        <v>2017431.406</v>
      </c>
    </row>
    <row r="343">
      <c r="A343" s="15">
        <f>IFERROR(__xludf.DUMMYFUNCTION("IFERROR(INDEX(FILTER('RE Portfolio'!A$2:A2000,'RE Portfolio'!D$2:D2000=""BUY""), INT((ROW()-2)/amortYears)+1), )
"),9.0)</f>
        <v>9</v>
      </c>
      <c r="B343" s="15">
        <f>IFERROR(__xludf.DUMMYFUNCTION("IFERROR(INDEX(FILTER('RE Portfolio'!B$2:B2000,'RE Portfolio'!D$2:D2000=""BUY""), INT((ROW()-2)/amortYears)+1), )
"),44.0)</f>
        <v>44</v>
      </c>
      <c r="C343" s="15">
        <f>IFERROR(__xludf.DUMMYFUNCTION("IFERROR(INDEX(FILTER('RE Portfolio'!G$2:G2000,'RE Portfolio'!D$2:D2000=""BUY""), INT((ROW()-2)/amortYears)+1), )
"),368688.6990653387)</f>
        <v>368688.6991</v>
      </c>
      <c r="D343" s="15">
        <f>MOD(ROW()-2, amortYears)+1</f>
        <v>38</v>
      </c>
      <c r="E343" s="15">
        <f t="shared" si="1"/>
        <v>81</v>
      </c>
      <c r="F343" s="15">
        <f t="shared" si="2"/>
        <v>0</v>
      </c>
      <c r="G343" s="15">
        <f>IF(D343&lt;=mortTerm, -PMT(mortRate/12, mortTerm*12, C343)*12, 0)
</f>
        <v>0</v>
      </c>
      <c r="H343" s="15">
        <f>IF(D343&lt;=mortTerm, G343 - I343, 0)
</f>
        <v>0</v>
      </c>
      <c r="I343" s="15">
        <f>IF(D343&lt;=mortTerm, F343 - J343, 0)
</f>
        <v>0</v>
      </c>
      <c r="J343" s="15">
        <f>IF(D343&lt;=mortTerm,
   F343*(1+mortRate/12)^12 - (-PMT(mortRate/12, mortTerm*12, C343))*(((1+mortRate/12)^12 - 1)/(mortRate/12)),
   0
)
</f>
        <v>0</v>
      </c>
      <c r="K343" s="13">
        <f>IFERROR(__xludf.DUMMYFUNCTION("IF(A343="""","""",
   IF(F343&gt;0,
      INDEX(FILTER('RE Portfolio'!L$2:L2000,'RE Portfolio'!D$2:D2000=""BUY""), INT((ROW()-2)/amortYears)+1) - G343,
      INDEX(FILTER('RE Portfolio'!L$2:L2000,'RE Portfolio'!D$2:D2000=""BUY""), INT((ROW()-2)/amortYears)+1"&amp;")
   )
)
"),36573.9189472816)</f>
        <v>36573.91895</v>
      </c>
      <c r="L343" s="15">
        <f>IFERROR(__xludf.DUMMYFUNCTION("IF(A343="""","""",
  INDEX(FILTER('RE Portfolio'!C$2:C2000,'RE Portfolio'!D$2:D2000=""BUY""), INT((ROW()-2)/amortYears)+1)
  * (1 + VALUE(Assumptions!$B$11))^(D343-1)
)
"),2098128.6620721216)</f>
        <v>2098128.662</v>
      </c>
    </row>
    <row r="344">
      <c r="A344" s="15">
        <f>IFERROR(__xludf.DUMMYFUNCTION("IFERROR(INDEX(FILTER('RE Portfolio'!A$2:A2000,'RE Portfolio'!D$2:D2000=""BUY""), INT((ROW()-2)/amortYears)+1), )
"),10.0)</f>
        <v>10</v>
      </c>
      <c r="B344" s="15">
        <f>IFERROR(__xludf.DUMMYFUNCTION("IFERROR(INDEX(FILTER('RE Portfolio'!B$2:B2000,'RE Portfolio'!D$2:D2000=""BUY""), INT((ROW()-2)/amortYears)+1), )
"),46.0)</f>
        <v>46</v>
      </c>
      <c r="C344" s="15">
        <f>IFERROR(__xludf.DUMMYFUNCTION("IFERROR(INDEX(FILTER('RE Portfolio'!G$2:G2000,'RE Portfolio'!D$2:D2000=""BUY""), INT((ROW()-2)/amortYears)+1), )
"),387353.5644555214)</f>
        <v>387353.5645</v>
      </c>
      <c r="D344" s="15">
        <f>MOD(ROW()-2, amortYears)+1</f>
        <v>1</v>
      </c>
      <c r="E344" s="15">
        <f t="shared" si="1"/>
        <v>46</v>
      </c>
      <c r="F344" s="15">
        <f t="shared" si="2"/>
        <v>387353.5645</v>
      </c>
      <c r="G344" s="16">
        <f>IF(D344&lt;=mortTerm, -PMT(mortRate/12, mortTerm*12, C344)*12, 0)
</f>
        <v>29380.05623</v>
      </c>
      <c r="H344" s="16">
        <f>IF(D344&lt;=mortTerm, G344 - I344, 0)
</f>
        <v>25050.50678</v>
      </c>
      <c r="I344" s="16">
        <f>IF(D344&lt;=mortTerm, F344 - J344, 0)
</f>
        <v>4329.549445</v>
      </c>
      <c r="J344" s="16">
        <f>IF(D344&lt;=mortTerm,
   F344*(1+mortRate/12)^12 - (-PMT(mortRate/12, mortTerm*12, C344))*(((1+mortRate/12)^12 - 1)/(mortRate/12)),
   0
)
</f>
        <v>383024.015</v>
      </c>
      <c r="K344" s="13">
        <f>IFERROR(__xludf.DUMMYFUNCTION("IF(A344="""","""",
   IF(F344&gt;0,
      INDEX(FILTER('RE Portfolio'!L$2:L2000,'RE Portfolio'!D$2:D2000=""BUY""), INT((ROW()-2)/amortYears)+1) - G344,
      INDEX(FILTER('RE Portfolio'!L$2:L2000,'RE Portfolio'!D$2:D2000=""BUY""), INT((ROW()-2)/amortYears)+1"&amp;")
   )
)
"),9045.417368584964)</f>
        <v>9045.417369</v>
      </c>
      <c r="L344" s="15">
        <f>IFERROR(__xludf.DUMMYFUNCTION("IF(A344="""","""",
  INDEX(FILTER('RE Portfolio'!C$2:C2000,'RE Portfolio'!D$2:D2000=""BUY""), INT((ROW()-2)/amortYears)+1)
  * (1 + VALUE(Assumptions!$B$11))^(D344-1)
)
"),516471.41927402857)</f>
        <v>516471.4193</v>
      </c>
    </row>
    <row r="345">
      <c r="A345" s="15">
        <f>IFERROR(__xludf.DUMMYFUNCTION("IFERROR(INDEX(FILTER('RE Portfolio'!A$2:A2000,'RE Portfolio'!D$2:D2000=""BUY""), INT((ROW()-2)/amortYears)+1), )
"),10.0)</f>
        <v>10</v>
      </c>
      <c r="B345" s="15">
        <f>IFERROR(__xludf.DUMMYFUNCTION("IFERROR(INDEX(FILTER('RE Portfolio'!B$2:B2000,'RE Portfolio'!D$2:D2000=""BUY""), INT((ROW()-2)/amortYears)+1), )
"),46.0)</f>
        <v>46</v>
      </c>
      <c r="C345" s="15">
        <f>IFERROR(__xludf.DUMMYFUNCTION("IFERROR(INDEX(FILTER('RE Portfolio'!G$2:G2000,'RE Portfolio'!D$2:D2000=""BUY""), INT((ROW()-2)/amortYears)+1), )
"),387353.5644555214)</f>
        <v>387353.5645</v>
      </c>
      <c r="D345" s="15">
        <f>MOD(ROW()-2, amortYears)+1</f>
        <v>2</v>
      </c>
      <c r="E345" s="15">
        <f t="shared" si="1"/>
        <v>47</v>
      </c>
      <c r="F345" s="16">
        <f t="shared" si="2"/>
        <v>383024.015</v>
      </c>
      <c r="G345" s="16">
        <f>IF(D345&lt;=mortTerm, -PMT(mortRate/12, mortTerm*12, C345)*12, 0)
</f>
        <v>29380.05623</v>
      </c>
      <c r="H345" s="16">
        <f>IF(D345&lt;=mortTerm, G345 - I345, 0)
</f>
        <v>24760.54884</v>
      </c>
      <c r="I345" s="16">
        <f>IF(D345&lt;=mortTerm, F345 - J345, 0)
</f>
        <v>4619.50739</v>
      </c>
      <c r="J345" s="16">
        <f>IF(D345&lt;=mortTerm,
   F345*(1+mortRate/12)^12 - (-PMT(mortRate/12, mortTerm*12, C345))*(((1+mortRate/12)^12 - 1)/(mortRate/12)),
   0
)
</f>
        <v>378404.5076</v>
      </c>
      <c r="K345" s="13">
        <f>IFERROR(__xludf.DUMMYFUNCTION("IF(A345="""","""",
   IF(F345&gt;0,
      INDEX(FILTER('RE Portfolio'!L$2:L2000,'RE Portfolio'!D$2:D2000=""BUY""), INT((ROW()-2)/amortYears)+1) - G345,
      INDEX(FILTER('RE Portfolio'!L$2:L2000,'RE Portfolio'!D$2:D2000=""BUY""), INT((ROW()-2)/amortYears)+1"&amp;")
   )
)
"),9045.417368584964)</f>
        <v>9045.417369</v>
      </c>
      <c r="L345" s="15">
        <f>IFERROR(__xludf.DUMMYFUNCTION("IF(A345="""","""",
  INDEX(FILTER('RE Portfolio'!C$2:C2000,'RE Portfolio'!D$2:D2000=""BUY""), INT((ROW()-2)/amortYears)+1)
  * (1 + VALUE(Assumptions!$B$11))^(D345-1)
)
"),537130.2760449897)</f>
        <v>537130.276</v>
      </c>
    </row>
    <row r="346">
      <c r="A346" s="15">
        <f>IFERROR(__xludf.DUMMYFUNCTION("IFERROR(INDEX(FILTER('RE Portfolio'!A$2:A2000,'RE Portfolio'!D$2:D2000=""BUY""), INT((ROW()-2)/amortYears)+1), )
"),10.0)</f>
        <v>10</v>
      </c>
      <c r="B346" s="15">
        <f>IFERROR(__xludf.DUMMYFUNCTION("IFERROR(INDEX(FILTER('RE Portfolio'!B$2:B2000,'RE Portfolio'!D$2:D2000=""BUY""), INT((ROW()-2)/amortYears)+1), )
"),46.0)</f>
        <v>46</v>
      </c>
      <c r="C346" s="15">
        <f>IFERROR(__xludf.DUMMYFUNCTION("IFERROR(INDEX(FILTER('RE Portfolio'!G$2:G2000,'RE Portfolio'!D$2:D2000=""BUY""), INT((ROW()-2)/amortYears)+1), )
"),387353.5644555214)</f>
        <v>387353.5645</v>
      </c>
      <c r="D346" s="15">
        <f>MOD(ROW()-2, amortYears)+1</f>
        <v>3</v>
      </c>
      <c r="E346" s="15">
        <f t="shared" si="1"/>
        <v>48</v>
      </c>
      <c r="F346" s="16">
        <f t="shared" si="2"/>
        <v>378404.5076</v>
      </c>
      <c r="G346" s="16">
        <f>IF(D346&lt;=mortTerm, -PMT(mortRate/12, mortTerm*12, C346)*12, 0)
</f>
        <v>29380.05623</v>
      </c>
      <c r="H346" s="16">
        <f>IF(D346&lt;=mortTerm, G346 - I346, 0)
</f>
        <v>24451.17187</v>
      </c>
      <c r="I346" s="16">
        <f>IF(D346&lt;=mortTerm, F346 - J346, 0)
</f>
        <v>4928.884355</v>
      </c>
      <c r="J346" s="16">
        <f>IF(D346&lt;=mortTerm,
   F346*(1+mortRate/12)^12 - (-PMT(mortRate/12, mortTerm*12, C346))*(((1+mortRate/12)^12 - 1)/(mortRate/12)),
   0
)
</f>
        <v>373475.6233</v>
      </c>
      <c r="K346" s="13">
        <f>IFERROR(__xludf.DUMMYFUNCTION("IF(A346="""","""",
   IF(F346&gt;0,
      INDEX(FILTER('RE Portfolio'!L$2:L2000,'RE Portfolio'!D$2:D2000=""BUY""), INT((ROW()-2)/amortYears)+1) - G346,
      INDEX(FILTER('RE Portfolio'!L$2:L2000,'RE Portfolio'!D$2:D2000=""BUY""), INT((ROW()-2)/amortYears)+1"&amp;")
   )
)
"),9045.417368584964)</f>
        <v>9045.417369</v>
      </c>
      <c r="L346" s="15">
        <f>IFERROR(__xludf.DUMMYFUNCTION("IF(A346="""","""",
  INDEX(FILTER('RE Portfolio'!C$2:C2000,'RE Portfolio'!D$2:D2000=""BUY""), INT((ROW()-2)/amortYears)+1)
  * (1 + VALUE(Assumptions!$B$11))^(D346-1)
)
"),558615.4870867893)</f>
        <v>558615.4871</v>
      </c>
    </row>
    <row r="347">
      <c r="A347" s="15">
        <f>IFERROR(__xludf.DUMMYFUNCTION("IFERROR(INDEX(FILTER('RE Portfolio'!A$2:A2000,'RE Portfolio'!D$2:D2000=""BUY""), INT((ROW()-2)/amortYears)+1), )
"),10.0)</f>
        <v>10</v>
      </c>
      <c r="B347" s="15">
        <f>IFERROR(__xludf.DUMMYFUNCTION("IFERROR(INDEX(FILTER('RE Portfolio'!B$2:B2000,'RE Portfolio'!D$2:D2000=""BUY""), INT((ROW()-2)/amortYears)+1), )
"),46.0)</f>
        <v>46</v>
      </c>
      <c r="C347" s="15">
        <f>IFERROR(__xludf.DUMMYFUNCTION("IFERROR(INDEX(FILTER('RE Portfolio'!G$2:G2000,'RE Portfolio'!D$2:D2000=""BUY""), INT((ROW()-2)/amortYears)+1), )
"),387353.5644555214)</f>
        <v>387353.5645</v>
      </c>
      <c r="D347" s="15">
        <f>MOD(ROW()-2, amortYears)+1</f>
        <v>4</v>
      </c>
      <c r="E347" s="15">
        <f t="shared" si="1"/>
        <v>49</v>
      </c>
      <c r="F347" s="16">
        <f t="shared" si="2"/>
        <v>373475.6233</v>
      </c>
      <c r="G347" s="16">
        <f>IF(D347&lt;=mortTerm, -PMT(mortRate/12, mortTerm*12, C347)*12, 0)
</f>
        <v>29380.05623</v>
      </c>
      <c r="H347" s="16">
        <f>IF(D347&lt;=mortTerm, G347 - I347, 0)
</f>
        <v>24121.07536</v>
      </c>
      <c r="I347" s="16">
        <f>IF(D347&lt;=mortTerm, F347 - J347, 0)
</f>
        <v>5258.980868</v>
      </c>
      <c r="J347" s="16">
        <f>IF(D347&lt;=mortTerm,
   F347*(1+mortRate/12)^12 - (-PMT(mortRate/12, mortTerm*12, C347))*(((1+mortRate/12)^12 - 1)/(mortRate/12)),
   0
)
</f>
        <v>368216.6424</v>
      </c>
      <c r="K347" s="13">
        <f>IFERROR(__xludf.DUMMYFUNCTION("IF(A347="""","""",
   IF(F347&gt;0,
      INDEX(FILTER('RE Portfolio'!L$2:L2000,'RE Portfolio'!D$2:D2000=""BUY""), INT((ROW()-2)/amortYears)+1) - G347,
      INDEX(FILTER('RE Portfolio'!L$2:L2000,'RE Portfolio'!D$2:D2000=""BUY""), INT((ROW()-2)/amortYears)+1"&amp;")
   )
)
"),9045.417368584964)</f>
        <v>9045.417369</v>
      </c>
      <c r="L347" s="15">
        <f>IFERROR(__xludf.DUMMYFUNCTION("IF(A347="""","""",
  INDEX(FILTER('RE Portfolio'!C$2:C2000,'RE Portfolio'!D$2:D2000=""BUY""), INT((ROW()-2)/amortYears)+1)
  * (1 + VALUE(Assumptions!$B$11))^(D347-1)
)
"),580960.106570261)</f>
        <v>580960.1066</v>
      </c>
    </row>
    <row r="348">
      <c r="A348" s="15">
        <f>IFERROR(__xludf.DUMMYFUNCTION("IFERROR(INDEX(FILTER('RE Portfolio'!A$2:A2000,'RE Portfolio'!D$2:D2000=""BUY""), INT((ROW()-2)/amortYears)+1), )
"),10.0)</f>
        <v>10</v>
      </c>
      <c r="B348" s="15">
        <f>IFERROR(__xludf.DUMMYFUNCTION("IFERROR(INDEX(FILTER('RE Portfolio'!B$2:B2000,'RE Portfolio'!D$2:D2000=""BUY""), INT((ROW()-2)/amortYears)+1), )
"),46.0)</f>
        <v>46</v>
      </c>
      <c r="C348" s="15">
        <f>IFERROR(__xludf.DUMMYFUNCTION("IFERROR(INDEX(FILTER('RE Portfolio'!G$2:G2000,'RE Portfolio'!D$2:D2000=""BUY""), INT((ROW()-2)/amortYears)+1), )
"),387353.5644555214)</f>
        <v>387353.5645</v>
      </c>
      <c r="D348" s="15">
        <f>MOD(ROW()-2, amortYears)+1</f>
        <v>5</v>
      </c>
      <c r="E348" s="15">
        <f t="shared" si="1"/>
        <v>50</v>
      </c>
      <c r="F348" s="16">
        <f t="shared" si="2"/>
        <v>368216.6424</v>
      </c>
      <c r="G348" s="16">
        <f>IF(D348&lt;=mortTerm, -PMT(mortRate/12, mortTerm*12, C348)*12, 0)
</f>
        <v>29380.05623</v>
      </c>
      <c r="H348" s="16">
        <f>IF(D348&lt;=mortTerm, G348 - I348, 0)
</f>
        <v>23768.87167</v>
      </c>
      <c r="I348" s="16">
        <f>IF(D348&lt;=mortTerm, F348 - J348, 0)
</f>
        <v>5611.184557</v>
      </c>
      <c r="J348" s="16">
        <f>IF(D348&lt;=mortTerm,
   F348*(1+mortRate/12)^12 - (-PMT(mortRate/12, mortTerm*12, C348))*(((1+mortRate/12)^12 - 1)/(mortRate/12)),
   0
)
</f>
        <v>362605.4578</v>
      </c>
      <c r="K348" s="13">
        <f>IFERROR(__xludf.DUMMYFUNCTION("IF(A348="""","""",
   IF(F348&gt;0,
      INDEX(FILTER('RE Portfolio'!L$2:L2000,'RE Portfolio'!D$2:D2000=""BUY""), INT((ROW()-2)/amortYears)+1) - G348,
      INDEX(FILTER('RE Portfolio'!L$2:L2000,'RE Portfolio'!D$2:D2000=""BUY""), INT((ROW()-2)/amortYears)+1"&amp;")
   )
)
"),9045.417368584964)</f>
        <v>9045.417369</v>
      </c>
      <c r="L348" s="15">
        <f>IFERROR(__xludf.DUMMYFUNCTION("IF(A348="""","""",
  INDEX(FILTER('RE Portfolio'!C$2:C2000,'RE Portfolio'!D$2:D2000=""BUY""), INT((ROW()-2)/amortYears)+1)
  * (1 + VALUE(Assumptions!$B$11))^(D348-1)
)
"),604198.5108330714)</f>
        <v>604198.5108</v>
      </c>
    </row>
    <row r="349">
      <c r="A349" s="15">
        <f>IFERROR(__xludf.DUMMYFUNCTION("IFERROR(INDEX(FILTER('RE Portfolio'!A$2:A2000,'RE Portfolio'!D$2:D2000=""BUY""), INT((ROW()-2)/amortYears)+1), )
"),10.0)</f>
        <v>10</v>
      </c>
      <c r="B349" s="15">
        <f>IFERROR(__xludf.DUMMYFUNCTION("IFERROR(INDEX(FILTER('RE Portfolio'!B$2:B2000,'RE Portfolio'!D$2:D2000=""BUY""), INT((ROW()-2)/amortYears)+1), )
"),46.0)</f>
        <v>46</v>
      </c>
      <c r="C349" s="15">
        <f>IFERROR(__xludf.DUMMYFUNCTION("IFERROR(INDEX(FILTER('RE Portfolio'!G$2:G2000,'RE Portfolio'!D$2:D2000=""BUY""), INT((ROW()-2)/amortYears)+1), )
"),387353.5644555214)</f>
        <v>387353.5645</v>
      </c>
      <c r="D349" s="15">
        <f>MOD(ROW()-2, amortYears)+1</f>
        <v>6</v>
      </c>
      <c r="E349" s="15">
        <f t="shared" si="1"/>
        <v>51</v>
      </c>
      <c r="F349" s="16">
        <f t="shared" si="2"/>
        <v>362605.4578</v>
      </c>
      <c r="G349" s="16">
        <f>IF(D349&lt;=mortTerm, -PMT(mortRate/12, mortTerm*12, C349)*12, 0)
</f>
        <v>29380.05623</v>
      </c>
      <c r="H349" s="16">
        <f>IF(D349&lt;=mortTerm, G349 - I349, 0)
</f>
        <v>23393.08025</v>
      </c>
      <c r="I349" s="16">
        <f>IF(D349&lt;=mortTerm, F349 - J349, 0)
</f>
        <v>5986.975978</v>
      </c>
      <c r="J349" s="16">
        <f>IF(D349&lt;=mortTerm,
   F349*(1+mortRate/12)^12 - (-PMT(mortRate/12, mortTerm*12, C349))*(((1+mortRate/12)^12 - 1)/(mortRate/12)),
   0
)
</f>
        <v>356618.4819</v>
      </c>
      <c r="K349" s="13">
        <f>IFERROR(__xludf.DUMMYFUNCTION("IF(A349="""","""",
   IF(F349&gt;0,
      INDEX(FILTER('RE Portfolio'!L$2:L2000,'RE Portfolio'!D$2:D2000=""BUY""), INT((ROW()-2)/amortYears)+1) - G349,
      INDEX(FILTER('RE Portfolio'!L$2:L2000,'RE Portfolio'!D$2:D2000=""BUY""), INT((ROW()-2)/amortYears)+1"&amp;")
   )
)
"),9045.417368584964)</f>
        <v>9045.417369</v>
      </c>
      <c r="L349" s="15">
        <f>IFERROR(__xludf.DUMMYFUNCTION("IF(A349="""","""",
  INDEX(FILTER('RE Portfolio'!C$2:C2000,'RE Portfolio'!D$2:D2000=""BUY""), INT((ROW()-2)/amortYears)+1)
  * (1 + VALUE(Assumptions!$B$11))^(D349-1)
)
"),628366.4512663942)</f>
        <v>628366.4513</v>
      </c>
    </row>
    <row r="350">
      <c r="A350" s="15">
        <f>IFERROR(__xludf.DUMMYFUNCTION("IFERROR(INDEX(FILTER('RE Portfolio'!A$2:A2000,'RE Portfolio'!D$2:D2000=""BUY""), INT((ROW()-2)/amortYears)+1), )
"),10.0)</f>
        <v>10</v>
      </c>
      <c r="B350" s="15">
        <f>IFERROR(__xludf.DUMMYFUNCTION("IFERROR(INDEX(FILTER('RE Portfolio'!B$2:B2000,'RE Portfolio'!D$2:D2000=""BUY""), INT((ROW()-2)/amortYears)+1), )
"),46.0)</f>
        <v>46</v>
      </c>
      <c r="C350" s="15">
        <f>IFERROR(__xludf.DUMMYFUNCTION("IFERROR(INDEX(FILTER('RE Portfolio'!G$2:G2000,'RE Portfolio'!D$2:D2000=""BUY""), INT((ROW()-2)/amortYears)+1), )
"),387353.5644555214)</f>
        <v>387353.5645</v>
      </c>
      <c r="D350" s="15">
        <f>MOD(ROW()-2, amortYears)+1</f>
        <v>7</v>
      </c>
      <c r="E350" s="15">
        <f t="shared" si="1"/>
        <v>52</v>
      </c>
      <c r="F350" s="16">
        <f t="shared" si="2"/>
        <v>356618.4819</v>
      </c>
      <c r="G350" s="16">
        <f>IF(D350&lt;=mortTerm, -PMT(mortRate/12, mortTerm*12, C350)*12, 0)
</f>
        <v>29380.05623</v>
      </c>
      <c r="H350" s="16">
        <f>IF(D350&lt;=mortTerm, G350 - I350, 0)
</f>
        <v>22992.12138</v>
      </c>
      <c r="I350" s="16">
        <f>IF(D350&lt;=mortTerm, F350 - J350, 0)
</f>
        <v>6387.934848</v>
      </c>
      <c r="J350" s="16">
        <f>IF(D350&lt;=mortTerm,
   F350*(1+mortRate/12)^12 - (-PMT(mortRate/12, mortTerm*12, C350))*(((1+mortRate/12)^12 - 1)/(mortRate/12)),
   0
)
</f>
        <v>350230.547</v>
      </c>
      <c r="K350" s="13">
        <f>IFERROR(__xludf.DUMMYFUNCTION("IF(A350="""","""",
   IF(F350&gt;0,
      INDEX(FILTER('RE Portfolio'!L$2:L2000,'RE Portfolio'!D$2:D2000=""BUY""), INT((ROW()-2)/amortYears)+1) - G350,
      INDEX(FILTER('RE Portfolio'!L$2:L2000,'RE Portfolio'!D$2:D2000=""BUY""), INT((ROW()-2)/amortYears)+1"&amp;")
   )
)
"),9045.417368584964)</f>
        <v>9045.417369</v>
      </c>
      <c r="L350" s="15">
        <f>IFERROR(__xludf.DUMMYFUNCTION("IF(A350="""","""",
  INDEX(FILTER('RE Portfolio'!C$2:C2000,'RE Portfolio'!D$2:D2000=""BUY""), INT((ROW()-2)/amortYears)+1)
  * (1 + VALUE(Assumptions!$B$11))^(D350-1)
)
"),653501.1093170501)</f>
        <v>653501.1093</v>
      </c>
    </row>
    <row r="351">
      <c r="A351" s="15">
        <f>IFERROR(__xludf.DUMMYFUNCTION("IFERROR(INDEX(FILTER('RE Portfolio'!A$2:A2000,'RE Portfolio'!D$2:D2000=""BUY""), INT((ROW()-2)/amortYears)+1), )
"),10.0)</f>
        <v>10</v>
      </c>
      <c r="B351" s="15">
        <f>IFERROR(__xludf.DUMMYFUNCTION("IFERROR(INDEX(FILTER('RE Portfolio'!B$2:B2000,'RE Portfolio'!D$2:D2000=""BUY""), INT((ROW()-2)/amortYears)+1), )
"),46.0)</f>
        <v>46</v>
      </c>
      <c r="C351" s="15">
        <f>IFERROR(__xludf.DUMMYFUNCTION("IFERROR(INDEX(FILTER('RE Portfolio'!G$2:G2000,'RE Portfolio'!D$2:D2000=""BUY""), INT((ROW()-2)/amortYears)+1), )
"),387353.5644555214)</f>
        <v>387353.5645</v>
      </c>
      <c r="D351" s="15">
        <f>MOD(ROW()-2, amortYears)+1</f>
        <v>8</v>
      </c>
      <c r="E351" s="15">
        <f t="shared" si="1"/>
        <v>53</v>
      </c>
      <c r="F351" s="16">
        <f t="shared" si="2"/>
        <v>350230.547</v>
      </c>
      <c r="G351" s="16">
        <f>IF(D351&lt;=mortTerm, -PMT(mortRate/12, mortTerm*12, C351)*12, 0)
</f>
        <v>29380.05623</v>
      </c>
      <c r="H351" s="16">
        <f>IF(D351&lt;=mortTerm, G351 - I351, 0)
</f>
        <v>22564.30955</v>
      </c>
      <c r="I351" s="16">
        <f>IF(D351&lt;=mortTerm, F351 - J351, 0)
</f>
        <v>6815.746675</v>
      </c>
      <c r="J351" s="16">
        <f>IF(D351&lt;=mortTerm,
   F351*(1+mortRate/12)^12 - (-PMT(mortRate/12, mortTerm*12, C351))*(((1+mortRate/12)^12 - 1)/(mortRate/12)),
   0
)
</f>
        <v>343414.8003</v>
      </c>
      <c r="K351" s="13">
        <f>IFERROR(__xludf.DUMMYFUNCTION("IF(A351="""","""",
   IF(F351&gt;0,
      INDEX(FILTER('RE Portfolio'!L$2:L2000,'RE Portfolio'!D$2:D2000=""BUY""), INT((ROW()-2)/amortYears)+1) - G351,
      INDEX(FILTER('RE Portfolio'!L$2:L2000,'RE Portfolio'!D$2:D2000=""BUY""), INT((ROW()-2)/amortYears)+1"&amp;")
   )
)
"),9045.417368584964)</f>
        <v>9045.417369</v>
      </c>
      <c r="L351" s="15">
        <f>IFERROR(__xludf.DUMMYFUNCTION("IF(A351="""","""",
  INDEX(FILTER('RE Portfolio'!C$2:C2000,'RE Portfolio'!D$2:D2000=""BUY""), INT((ROW()-2)/amortYears)+1)
  * (1 + VALUE(Assumptions!$B$11))^(D351-1)
)
"),679641.1536897321)</f>
        <v>679641.1537</v>
      </c>
    </row>
    <row r="352">
      <c r="A352" s="15">
        <f>IFERROR(__xludf.DUMMYFUNCTION("IFERROR(INDEX(FILTER('RE Portfolio'!A$2:A2000,'RE Portfolio'!D$2:D2000=""BUY""), INT((ROW()-2)/amortYears)+1), )
"),10.0)</f>
        <v>10</v>
      </c>
      <c r="B352" s="15">
        <f>IFERROR(__xludf.DUMMYFUNCTION("IFERROR(INDEX(FILTER('RE Portfolio'!B$2:B2000,'RE Portfolio'!D$2:D2000=""BUY""), INT((ROW()-2)/amortYears)+1), )
"),46.0)</f>
        <v>46</v>
      </c>
      <c r="C352" s="15">
        <f>IFERROR(__xludf.DUMMYFUNCTION("IFERROR(INDEX(FILTER('RE Portfolio'!G$2:G2000,'RE Portfolio'!D$2:D2000=""BUY""), INT((ROW()-2)/amortYears)+1), )
"),387353.5644555214)</f>
        <v>387353.5645</v>
      </c>
      <c r="D352" s="15">
        <f>MOD(ROW()-2, amortYears)+1</f>
        <v>9</v>
      </c>
      <c r="E352" s="15">
        <f t="shared" si="1"/>
        <v>54</v>
      </c>
      <c r="F352" s="16">
        <f t="shared" si="2"/>
        <v>343414.8003</v>
      </c>
      <c r="G352" s="16">
        <f>IF(D352&lt;=mortTerm, -PMT(mortRate/12, mortTerm*12, C352)*12, 0)
</f>
        <v>29380.05623</v>
      </c>
      <c r="H352" s="16">
        <f>IF(D352&lt;=mortTerm, G352 - I352, 0)
</f>
        <v>22107.84637</v>
      </c>
      <c r="I352" s="16">
        <f>IF(D352&lt;=mortTerm, F352 - J352, 0)
</f>
        <v>7272.209852</v>
      </c>
      <c r="J352" s="16">
        <f>IF(D352&lt;=mortTerm,
   F352*(1+mortRate/12)^12 - (-PMT(mortRate/12, mortTerm*12, C352))*(((1+mortRate/12)^12 - 1)/(mortRate/12)),
   0
)
</f>
        <v>336142.5905</v>
      </c>
      <c r="K352" s="13">
        <f>IFERROR(__xludf.DUMMYFUNCTION("IF(A352="""","""",
   IF(F352&gt;0,
      INDEX(FILTER('RE Portfolio'!L$2:L2000,'RE Portfolio'!D$2:D2000=""BUY""), INT((ROW()-2)/amortYears)+1) - G352,
      INDEX(FILTER('RE Portfolio'!L$2:L2000,'RE Portfolio'!D$2:D2000=""BUY""), INT((ROW()-2)/amortYears)+1"&amp;")
   )
)
"),9045.417368584964)</f>
        <v>9045.417369</v>
      </c>
      <c r="L352" s="15">
        <f>IFERROR(__xludf.DUMMYFUNCTION("IF(A352="""","""",
  INDEX(FILTER('RE Portfolio'!C$2:C2000,'RE Portfolio'!D$2:D2000=""BUY""), INT((ROW()-2)/amortYears)+1)
  * (1 + VALUE(Assumptions!$B$11))^(D352-1)
)
"),706826.7998373214)</f>
        <v>706826.7998</v>
      </c>
    </row>
    <row r="353">
      <c r="A353" s="15">
        <f>IFERROR(__xludf.DUMMYFUNCTION("IFERROR(INDEX(FILTER('RE Portfolio'!A$2:A2000,'RE Portfolio'!D$2:D2000=""BUY""), INT((ROW()-2)/amortYears)+1), )
"),10.0)</f>
        <v>10</v>
      </c>
      <c r="B353" s="15">
        <f>IFERROR(__xludf.DUMMYFUNCTION("IFERROR(INDEX(FILTER('RE Portfolio'!B$2:B2000,'RE Portfolio'!D$2:D2000=""BUY""), INT((ROW()-2)/amortYears)+1), )
"),46.0)</f>
        <v>46</v>
      </c>
      <c r="C353" s="15">
        <f>IFERROR(__xludf.DUMMYFUNCTION("IFERROR(INDEX(FILTER('RE Portfolio'!G$2:G2000,'RE Portfolio'!D$2:D2000=""BUY""), INT((ROW()-2)/amortYears)+1), )
"),387353.5644555214)</f>
        <v>387353.5645</v>
      </c>
      <c r="D353" s="15">
        <f>MOD(ROW()-2, amortYears)+1</f>
        <v>10</v>
      </c>
      <c r="E353" s="15">
        <f t="shared" si="1"/>
        <v>55</v>
      </c>
      <c r="F353" s="16">
        <f t="shared" si="2"/>
        <v>336142.5905</v>
      </c>
      <c r="G353" s="16">
        <f>IF(D353&lt;=mortTerm, -PMT(mortRate/12, mortTerm*12, C353)*12, 0)
</f>
        <v>29380.05623</v>
      </c>
      <c r="H353" s="16">
        <f>IF(D353&lt;=mortTerm, G353 - I353, 0)
</f>
        <v>21620.81301</v>
      </c>
      <c r="I353" s="16">
        <f>IF(D353&lt;=mortTerm, F353 - J353, 0)
</f>
        <v>7759.243214</v>
      </c>
      <c r="J353" s="16">
        <f>IF(D353&lt;=mortTerm,
   F353*(1+mortRate/12)^12 - (-PMT(mortRate/12, mortTerm*12, C353))*(((1+mortRate/12)^12 - 1)/(mortRate/12)),
   0
)
</f>
        <v>328383.3473</v>
      </c>
      <c r="K353" s="13">
        <f>IFERROR(__xludf.DUMMYFUNCTION("IF(A353="""","""",
   IF(F353&gt;0,
      INDEX(FILTER('RE Portfolio'!L$2:L2000,'RE Portfolio'!D$2:D2000=""BUY""), INT((ROW()-2)/amortYears)+1) - G353,
      INDEX(FILTER('RE Portfolio'!L$2:L2000,'RE Portfolio'!D$2:D2000=""BUY""), INT((ROW()-2)/amortYears)+1"&amp;")
   )
)
"),9045.417368584964)</f>
        <v>9045.417369</v>
      </c>
      <c r="L353" s="15">
        <f>IFERROR(__xludf.DUMMYFUNCTION("IF(A353="""","""",
  INDEX(FILTER('RE Portfolio'!C$2:C2000,'RE Portfolio'!D$2:D2000=""BUY""), INT((ROW()-2)/amortYears)+1)
  * (1 + VALUE(Assumptions!$B$11))^(D353-1)
)
"),735099.8718308143)</f>
        <v>735099.8718</v>
      </c>
    </row>
    <row r="354">
      <c r="A354" s="15">
        <f>IFERROR(__xludf.DUMMYFUNCTION("IFERROR(INDEX(FILTER('RE Portfolio'!A$2:A2000,'RE Portfolio'!D$2:D2000=""BUY""), INT((ROW()-2)/amortYears)+1), )
"),10.0)</f>
        <v>10</v>
      </c>
      <c r="B354" s="15">
        <f>IFERROR(__xludf.DUMMYFUNCTION("IFERROR(INDEX(FILTER('RE Portfolio'!B$2:B2000,'RE Portfolio'!D$2:D2000=""BUY""), INT((ROW()-2)/amortYears)+1), )
"),46.0)</f>
        <v>46</v>
      </c>
      <c r="C354" s="15">
        <f>IFERROR(__xludf.DUMMYFUNCTION("IFERROR(INDEX(FILTER('RE Portfolio'!G$2:G2000,'RE Portfolio'!D$2:D2000=""BUY""), INT((ROW()-2)/amortYears)+1), )
"),387353.5644555214)</f>
        <v>387353.5645</v>
      </c>
      <c r="D354" s="15">
        <f>MOD(ROW()-2, amortYears)+1</f>
        <v>11</v>
      </c>
      <c r="E354" s="15">
        <f t="shared" si="1"/>
        <v>56</v>
      </c>
      <c r="F354" s="16">
        <f t="shared" si="2"/>
        <v>328383.3473</v>
      </c>
      <c r="G354" s="16">
        <f>IF(D354&lt;=mortTerm, -PMT(mortRate/12, mortTerm*12, C354)*12, 0)
</f>
        <v>29380.05623</v>
      </c>
      <c r="H354" s="16">
        <f>IF(D354&lt;=mortTerm, G354 - I354, 0)
</f>
        <v>21101.16212</v>
      </c>
      <c r="I354" s="16">
        <f>IF(D354&lt;=mortTerm, F354 - J354, 0)
</f>
        <v>8278.894102</v>
      </c>
      <c r="J354" s="16">
        <f>IF(D354&lt;=mortTerm,
   F354*(1+mortRate/12)^12 - (-PMT(mortRate/12, mortTerm*12, C354))*(((1+mortRate/12)^12 - 1)/(mortRate/12)),
   0
)
</f>
        <v>320104.4532</v>
      </c>
      <c r="K354" s="13">
        <f>IFERROR(__xludf.DUMMYFUNCTION("IF(A354="""","""",
   IF(F354&gt;0,
      INDEX(FILTER('RE Portfolio'!L$2:L2000,'RE Portfolio'!D$2:D2000=""BUY""), INT((ROW()-2)/amortYears)+1) - G354,
      INDEX(FILTER('RE Portfolio'!L$2:L2000,'RE Portfolio'!D$2:D2000=""BUY""), INT((ROW()-2)/amortYears)+1"&amp;")
   )
)
"),9045.417368584964)</f>
        <v>9045.417369</v>
      </c>
      <c r="L354" s="15">
        <f>IFERROR(__xludf.DUMMYFUNCTION("IF(A354="""","""",
  INDEX(FILTER('RE Portfolio'!C$2:C2000,'RE Portfolio'!D$2:D2000=""BUY""), INT((ROW()-2)/amortYears)+1)
  * (1 + VALUE(Assumptions!$B$11))^(D354-1)
)
"),764503.8667040468)</f>
        <v>764503.8667</v>
      </c>
    </row>
    <row r="355">
      <c r="A355" s="15">
        <f>IFERROR(__xludf.DUMMYFUNCTION("IFERROR(INDEX(FILTER('RE Portfolio'!A$2:A2000,'RE Portfolio'!D$2:D2000=""BUY""), INT((ROW()-2)/amortYears)+1), )
"),10.0)</f>
        <v>10</v>
      </c>
      <c r="B355" s="15">
        <f>IFERROR(__xludf.DUMMYFUNCTION("IFERROR(INDEX(FILTER('RE Portfolio'!B$2:B2000,'RE Portfolio'!D$2:D2000=""BUY""), INT((ROW()-2)/amortYears)+1), )
"),46.0)</f>
        <v>46</v>
      </c>
      <c r="C355" s="15">
        <f>IFERROR(__xludf.DUMMYFUNCTION("IFERROR(INDEX(FILTER('RE Portfolio'!G$2:G2000,'RE Portfolio'!D$2:D2000=""BUY""), INT((ROW()-2)/amortYears)+1), )
"),387353.5644555214)</f>
        <v>387353.5645</v>
      </c>
      <c r="D355" s="15">
        <f>MOD(ROW()-2, amortYears)+1</f>
        <v>12</v>
      </c>
      <c r="E355" s="15">
        <f t="shared" si="1"/>
        <v>57</v>
      </c>
      <c r="F355" s="16">
        <f t="shared" si="2"/>
        <v>320104.4532</v>
      </c>
      <c r="G355" s="16">
        <f>IF(D355&lt;=mortTerm, -PMT(mortRate/12, mortTerm*12, C355)*12, 0)
</f>
        <v>29380.05623</v>
      </c>
      <c r="H355" s="16">
        <f>IF(D355&lt;=mortTerm, G355 - I355, 0)
</f>
        <v>20546.70925</v>
      </c>
      <c r="I355" s="16">
        <f>IF(D355&lt;=mortTerm, F355 - J355, 0)
</f>
        <v>8833.346973</v>
      </c>
      <c r="J355" s="16">
        <f>IF(D355&lt;=mortTerm,
   F355*(1+mortRate/12)^12 - (-PMT(mortRate/12, mortTerm*12, C355))*(((1+mortRate/12)^12 - 1)/(mortRate/12)),
   0
)
</f>
        <v>311271.1062</v>
      </c>
      <c r="K355" s="13">
        <f>IFERROR(__xludf.DUMMYFUNCTION("IF(A355="""","""",
   IF(F355&gt;0,
      INDEX(FILTER('RE Portfolio'!L$2:L2000,'RE Portfolio'!D$2:D2000=""BUY""), INT((ROW()-2)/amortYears)+1) - G355,
      INDEX(FILTER('RE Portfolio'!L$2:L2000,'RE Portfolio'!D$2:D2000=""BUY""), INT((ROW()-2)/amortYears)+1"&amp;")
   )
)
"),9045.417368584964)</f>
        <v>9045.417369</v>
      </c>
      <c r="L355" s="15">
        <f>IFERROR(__xludf.DUMMYFUNCTION("IF(A355="""","""",
  INDEX(FILTER('RE Portfolio'!C$2:C2000,'RE Portfolio'!D$2:D2000=""BUY""), INT((ROW()-2)/amortYears)+1)
  * (1 + VALUE(Assumptions!$B$11))^(D355-1)
)
"),795084.0213722087)</f>
        <v>795084.0214</v>
      </c>
    </row>
    <row r="356">
      <c r="A356" s="15">
        <f>IFERROR(__xludf.DUMMYFUNCTION("IFERROR(INDEX(FILTER('RE Portfolio'!A$2:A2000,'RE Portfolio'!D$2:D2000=""BUY""), INT((ROW()-2)/amortYears)+1), )
"),10.0)</f>
        <v>10</v>
      </c>
      <c r="B356" s="15">
        <f>IFERROR(__xludf.DUMMYFUNCTION("IFERROR(INDEX(FILTER('RE Portfolio'!B$2:B2000,'RE Portfolio'!D$2:D2000=""BUY""), INT((ROW()-2)/amortYears)+1), )
"),46.0)</f>
        <v>46</v>
      </c>
      <c r="C356" s="15">
        <f>IFERROR(__xludf.DUMMYFUNCTION("IFERROR(INDEX(FILTER('RE Portfolio'!G$2:G2000,'RE Portfolio'!D$2:D2000=""BUY""), INT((ROW()-2)/amortYears)+1), )
"),387353.5644555214)</f>
        <v>387353.5645</v>
      </c>
      <c r="D356" s="15">
        <f>MOD(ROW()-2, amortYears)+1</f>
        <v>13</v>
      </c>
      <c r="E356" s="15">
        <f t="shared" si="1"/>
        <v>58</v>
      </c>
      <c r="F356" s="16">
        <f t="shared" si="2"/>
        <v>311271.1062</v>
      </c>
      <c r="G356" s="16">
        <f>IF(D356&lt;=mortTerm, -PMT(mortRate/12, mortTerm*12, C356)*12, 0)
</f>
        <v>29380.05623</v>
      </c>
      <c r="H356" s="16">
        <f>IF(D356&lt;=mortTerm, G356 - I356, 0)
</f>
        <v>19955.12365</v>
      </c>
      <c r="I356" s="16">
        <f>IF(D356&lt;=mortTerm, F356 - J356, 0)
</f>
        <v>9424.932579</v>
      </c>
      <c r="J356" s="16">
        <f>IF(D356&lt;=mortTerm,
   F356*(1+mortRate/12)^12 - (-PMT(mortRate/12, mortTerm*12, C356))*(((1+mortRate/12)^12 - 1)/(mortRate/12)),
   0
)
</f>
        <v>301846.1736</v>
      </c>
      <c r="K356" s="13">
        <f>IFERROR(__xludf.DUMMYFUNCTION("IF(A356="""","""",
   IF(F356&gt;0,
      INDEX(FILTER('RE Portfolio'!L$2:L2000,'RE Portfolio'!D$2:D2000=""BUY""), INT((ROW()-2)/amortYears)+1) - G356,
      INDEX(FILTER('RE Portfolio'!L$2:L2000,'RE Portfolio'!D$2:D2000=""BUY""), INT((ROW()-2)/amortYears)+1"&amp;")
   )
)
"),9045.417368584964)</f>
        <v>9045.417369</v>
      </c>
      <c r="L356" s="15">
        <f>IFERROR(__xludf.DUMMYFUNCTION("IF(A356="""","""",
  INDEX(FILTER('RE Portfolio'!C$2:C2000,'RE Portfolio'!D$2:D2000=""BUY""), INT((ROW()-2)/amortYears)+1)
  * (1 + VALUE(Assumptions!$B$11))^(D356-1)
)
"),826887.3822270972)</f>
        <v>826887.3822</v>
      </c>
    </row>
    <row r="357">
      <c r="A357" s="15">
        <f>IFERROR(__xludf.DUMMYFUNCTION("IFERROR(INDEX(FILTER('RE Portfolio'!A$2:A2000,'RE Portfolio'!D$2:D2000=""BUY""), INT((ROW()-2)/amortYears)+1), )
"),10.0)</f>
        <v>10</v>
      </c>
      <c r="B357" s="15">
        <f>IFERROR(__xludf.DUMMYFUNCTION("IFERROR(INDEX(FILTER('RE Portfolio'!B$2:B2000,'RE Portfolio'!D$2:D2000=""BUY""), INT((ROW()-2)/amortYears)+1), )
"),46.0)</f>
        <v>46</v>
      </c>
      <c r="C357" s="15">
        <f>IFERROR(__xludf.DUMMYFUNCTION("IFERROR(INDEX(FILTER('RE Portfolio'!G$2:G2000,'RE Portfolio'!D$2:D2000=""BUY""), INT((ROW()-2)/amortYears)+1), )
"),387353.5644555214)</f>
        <v>387353.5645</v>
      </c>
      <c r="D357" s="15">
        <f>MOD(ROW()-2, amortYears)+1</f>
        <v>14</v>
      </c>
      <c r="E357" s="15">
        <f t="shared" si="1"/>
        <v>59</v>
      </c>
      <c r="F357" s="16">
        <f t="shared" si="2"/>
        <v>301846.1736</v>
      </c>
      <c r="G357" s="16">
        <f>IF(D357&lt;=mortTerm, -PMT(mortRate/12, mortTerm*12, C357)*12, 0)
</f>
        <v>29380.05623</v>
      </c>
      <c r="H357" s="16">
        <f>IF(D357&lt;=mortTerm, G357 - I357, 0)
</f>
        <v>19323.91846</v>
      </c>
      <c r="I357" s="16">
        <f>IF(D357&lt;=mortTerm, F357 - J357, 0)
</f>
        <v>10056.13777</v>
      </c>
      <c r="J357" s="16">
        <f>IF(D357&lt;=mortTerm,
   F357*(1+mortRate/12)^12 - (-PMT(mortRate/12, mortTerm*12, C357))*(((1+mortRate/12)^12 - 1)/(mortRate/12)),
   0
)
</f>
        <v>291790.0359</v>
      </c>
      <c r="K357" s="13">
        <f>IFERROR(__xludf.DUMMYFUNCTION("IF(A357="""","""",
   IF(F357&gt;0,
      INDEX(FILTER('RE Portfolio'!L$2:L2000,'RE Portfolio'!D$2:D2000=""BUY""), INT((ROW()-2)/amortYears)+1) - G357,
      INDEX(FILTER('RE Portfolio'!L$2:L2000,'RE Portfolio'!D$2:D2000=""BUY""), INT((ROW()-2)/amortYears)+1"&amp;")
   )
)
"),9045.417368584964)</f>
        <v>9045.417369</v>
      </c>
      <c r="L357" s="15">
        <f>IFERROR(__xludf.DUMMYFUNCTION("IF(A357="""","""",
  INDEX(FILTER('RE Portfolio'!C$2:C2000,'RE Portfolio'!D$2:D2000=""BUY""), INT((ROW()-2)/amortYears)+1)
  * (1 + VALUE(Assumptions!$B$11))^(D357-1)
)
"),859962.8775161811)</f>
        <v>859962.8775</v>
      </c>
    </row>
    <row r="358">
      <c r="A358" s="15">
        <f>IFERROR(__xludf.DUMMYFUNCTION("IFERROR(INDEX(FILTER('RE Portfolio'!A$2:A2000,'RE Portfolio'!D$2:D2000=""BUY""), INT((ROW()-2)/amortYears)+1), )
"),10.0)</f>
        <v>10</v>
      </c>
      <c r="B358" s="15">
        <f>IFERROR(__xludf.DUMMYFUNCTION("IFERROR(INDEX(FILTER('RE Portfolio'!B$2:B2000,'RE Portfolio'!D$2:D2000=""BUY""), INT((ROW()-2)/amortYears)+1), )
"),46.0)</f>
        <v>46</v>
      </c>
      <c r="C358" s="15">
        <f>IFERROR(__xludf.DUMMYFUNCTION("IFERROR(INDEX(FILTER('RE Portfolio'!G$2:G2000,'RE Portfolio'!D$2:D2000=""BUY""), INT((ROW()-2)/amortYears)+1), )
"),387353.5644555214)</f>
        <v>387353.5645</v>
      </c>
      <c r="D358" s="15">
        <f>MOD(ROW()-2, amortYears)+1</f>
        <v>15</v>
      </c>
      <c r="E358" s="15">
        <f t="shared" si="1"/>
        <v>60</v>
      </c>
      <c r="F358" s="16">
        <f t="shared" si="2"/>
        <v>291790.0359</v>
      </c>
      <c r="G358" s="16">
        <f>IF(D358&lt;=mortTerm, -PMT(mortRate/12, mortTerm*12, C358)*12, 0)
</f>
        <v>29380.05623</v>
      </c>
      <c r="H358" s="16">
        <f>IF(D358&lt;=mortTerm, G358 - I358, 0)
</f>
        <v>18650.44029</v>
      </c>
      <c r="I358" s="16">
        <f>IF(D358&lt;=mortTerm, F358 - J358, 0)
</f>
        <v>10729.61594</v>
      </c>
      <c r="J358" s="16">
        <f>IF(D358&lt;=mortTerm,
   F358*(1+mortRate/12)^12 - (-PMT(mortRate/12, mortTerm*12, C358))*(((1+mortRate/12)^12 - 1)/(mortRate/12)),
   0
)
</f>
        <v>281060.4199</v>
      </c>
      <c r="K358" s="13">
        <f>IFERROR(__xludf.DUMMYFUNCTION("IF(A358="""","""",
   IF(F358&gt;0,
      INDEX(FILTER('RE Portfolio'!L$2:L2000,'RE Portfolio'!D$2:D2000=""BUY""), INT((ROW()-2)/amortYears)+1) - G358,
      INDEX(FILTER('RE Portfolio'!L$2:L2000,'RE Portfolio'!D$2:D2000=""BUY""), INT((ROW()-2)/amortYears)+1"&amp;")
   )
)
"),9045.417368584964)</f>
        <v>9045.417369</v>
      </c>
      <c r="L358" s="15">
        <f>IFERROR(__xludf.DUMMYFUNCTION("IF(A358="""","""",
  INDEX(FILTER('RE Portfolio'!C$2:C2000,'RE Portfolio'!D$2:D2000=""BUY""), INT((ROW()-2)/amortYears)+1)
  * (1 + VALUE(Assumptions!$B$11))^(D358-1)
)
"),894361.3926168283)</f>
        <v>894361.3926</v>
      </c>
    </row>
    <row r="359">
      <c r="A359" s="15">
        <f>IFERROR(__xludf.DUMMYFUNCTION("IFERROR(INDEX(FILTER('RE Portfolio'!A$2:A2000,'RE Portfolio'!D$2:D2000=""BUY""), INT((ROW()-2)/amortYears)+1), )
"),10.0)</f>
        <v>10</v>
      </c>
      <c r="B359" s="15">
        <f>IFERROR(__xludf.DUMMYFUNCTION("IFERROR(INDEX(FILTER('RE Portfolio'!B$2:B2000,'RE Portfolio'!D$2:D2000=""BUY""), INT((ROW()-2)/amortYears)+1), )
"),46.0)</f>
        <v>46</v>
      </c>
      <c r="C359" s="15">
        <f>IFERROR(__xludf.DUMMYFUNCTION("IFERROR(INDEX(FILTER('RE Portfolio'!G$2:G2000,'RE Portfolio'!D$2:D2000=""BUY""), INT((ROW()-2)/amortYears)+1), )
"),387353.5644555214)</f>
        <v>387353.5645</v>
      </c>
      <c r="D359" s="15">
        <f>MOD(ROW()-2, amortYears)+1</f>
        <v>16</v>
      </c>
      <c r="E359" s="15">
        <f t="shared" si="1"/>
        <v>61</v>
      </c>
      <c r="F359" s="16">
        <f t="shared" si="2"/>
        <v>281060.4199</v>
      </c>
      <c r="G359" s="16">
        <f>IF(D359&lt;=mortTerm, -PMT(mortRate/12, mortTerm*12, C359)*12, 0)
</f>
        <v>29380.05623</v>
      </c>
      <c r="H359" s="16">
        <f>IF(D359&lt;=mortTerm, G359 - I359, 0)
</f>
        <v>17931.85804</v>
      </c>
      <c r="I359" s="16">
        <f>IF(D359&lt;=mortTerm, F359 - J359, 0)
</f>
        <v>11448.19819</v>
      </c>
      <c r="J359" s="16">
        <f>IF(D359&lt;=mortTerm,
   F359*(1+mortRate/12)^12 - (-PMT(mortRate/12, mortTerm*12, C359))*(((1+mortRate/12)^12 - 1)/(mortRate/12)),
   0
)
</f>
        <v>269612.2217</v>
      </c>
      <c r="K359" s="13">
        <f>IFERROR(__xludf.DUMMYFUNCTION("IF(A359="""","""",
   IF(F359&gt;0,
      INDEX(FILTER('RE Portfolio'!L$2:L2000,'RE Portfolio'!D$2:D2000=""BUY""), INT((ROW()-2)/amortYears)+1) - G359,
      INDEX(FILTER('RE Portfolio'!L$2:L2000,'RE Portfolio'!D$2:D2000=""BUY""), INT((ROW()-2)/amortYears)+1"&amp;")
   )
)
"),9045.417368584964)</f>
        <v>9045.417369</v>
      </c>
      <c r="L359" s="15">
        <f>IFERROR(__xludf.DUMMYFUNCTION("IF(A359="""","""",
  INDEX(FILTER('RE Portfolio'!C$2:C2000,'RE Portfolio'!D$2:D2000=""BUY""), INT((ROW()-2)/amortYears)+1)
  * (1 + VALUE(Assumptions!$B$11))^(D359-1)
)
"),930135.8483215014)</f>
        <v>930135.8483</v>
      </c>
    </row>
    <row r="360">
      <c r="A360" s="15">
        <f>IFERROR(__xludf.DUMMYFUNCTION("IFERROR(INDEX(FILTER('RE Portfolio'!A$2:A2000,'RE Portfolio'!D$2:D2000=""BUY""), INT((ROW()-2)/amortYears)+1), )
"),10.0)</f>
        <v>10</v>
      </c>
      <c r="B360" s="15">
        <f>IFERROR(__xludf.DUMMYFUNCTION("IFERROR(INDEX(FILTER('RE Portfolio'!B$2:B2000,'RE Portfolio'!D$2:D2000=""BUY""), INT((ROW()-2)/amortYears)+1), )
"),46.0)</f>
        <v>46</v>
      </c>
      <c r="C360" s="15">
        <f>IFERROR(__xludf.DUMMYFUNCTION("IFERROR(INDEX(FILTER('RE Portfolio'!G$2:G2000,'RE Portfolio'!D$2:D2000=""BUY""), INT((ROW()-2)/amortYears)+1), )
"),387353.5644555214)</f>
        <v>387353.5645</v>
      </c>
      <c r="D360" s="15">
        <f>MOD(ROW()-2, amortYears)+1</f>
        <v>17</v>
      </c>
      <c r="E360" s="15">
        <f t="shared" si="1"/>
        <v>62</v>
      </c>
      <c r="F360" s="16">
        <f t="shared" si="2"/>
        <v>269612.2217</v>
      </c>
      <c r="G360" s="16">
        <f>IF(D360&lt;=mortTerm, -PMT(mortRate/12, mortTerm*12, C360)*12, 0)
</f>
        <v>29380.05623</v>
      </c>
      <c r="H360" s="16">
        <f>IF(D360&lt;=mortTerm, G360 - I360, 0)
</f>
        <v>17165.151</v>
      </c>
      <c r="I360" s="16">
        <f>IF(D360&lt;=mortTerm, F360 - J360, 0)
</f>
        <v>12214.90523</v>
      </c>
      <c r="J360" s="16">
        <f>IF(D360&lt;=mortTerm,
   F360*(1+mortRate/12)^12 - (-PMT(mortRate/12, mortTerm*12, C360))*(((1+mortRate/12)^12 - 1)/(mortRate/12)),
   0
)
</f>
        <v>257397.3165</v>
      </c>
      <c r="K360" s="13">
        <f>IFERROR(__xludf.DUMMYFUNCTION("IF(A360="""","""",
   IF(F360&gt;0,
      INDEX(FILTER('RE Portfolio'!L$2:L2000,'RE Portfolio'!D$2:D2000=""BUY""), INT((ROW()-2)/amortYears)+1) - G360,
      INDEX(FILTER('RE Portfolio'!L$2:L2000,'RE Portfolio'!D$2:D2000=""BUY""), INT((ROW()-2)/amortYears)+1"&amp;")
   )
)
"),9045.417368584964)</f>
        <v>9045.417369</v>
      </c>
      <c r="L360" s="15">
        <f>IFERROR(__xludf.DUMMYFUNCTION("IF(A360="""","""",
  INDEX(FILTER('RE Portfolio'!C$2:C2000,'RE Portfolio'!D$2:D2000=""BUY""), INT((ROW()-2)/amortYears)+1)
  * (1 + VALUE(Assumptions!$B$11))^(D360-1)
)
"),967341.2822543615)</f>
        <v>967341.2823</v>
      </c>
    </row>
    <row r="361">
      <c r="A361" s="15">
        <f>IFERROR(__xludf.DUMMYFUNCTION("IFERROR(INDEX(FILTER('RE Portfolio'!A$2:A2000,'RE Portfolio'!D$2:D2000=""BUY""), INT((ROW()-2)/amortYears)+1), )
"),10.0)</f>
        <v>10</v>
      </c>
      <c r="B361" s="15">
        <f>IFERROR(__xludf.DUMMYFUNCTION("IFERROR(INDEX(FILTER('RE Portfolio'!B$2:B2000,'RE Portfolio'!D$2:D2000=""BUY""), INT((ROW()-2)/amortYears)+1), )
"),46.0)</f>
        <v>46</v>
      </c>
      <c r="C361" s="15">
        <f>IFERROR(__xludf.DUMMYFUNCTION("IFERROR(INDEX(FILTER('RE Portfolio'!G$2:G2000,'RE Portfolio'!D$2:D2000=""BUY""), INT((ROW()-2)/amortYears)+1), )
"),387353.5644555214)</f>
        <v>387353.5645</v>
      </c>
      <c r="D361" s="15">
        <f>MOD(ROW()-2, amortYears)+1</f>
        <v>18</v>
      </c>
      <c r="E361" s="15">
        <f t="shared" si="1"/>
        <v>63</v>
      </c>
      <c r="F361" s="16">
        <f t="shared" si="2"/>
        <v>257397.3165</v>
      </c>
      <c r="G361" s="16">
        <f>IF(D361&lt;=mortTerm, -PMT(mortRate/12, mortTerm*12, C361)*12, 0)
</f>
        <v>29380.05623</v>
      </c>
      <c r="H361" s="16">
        <f>IF(D361&lt;=mortTerm, G361 - I361, 0)
</f>
        <v>16347.09618</v>
      </c>
      <c r="I361" s="16">
        <f>IF(D361&lt;=mortTerm, F361 - J361, 0)
</f>
        <v>13032.96005</v>
      </c>
      <c r="J361" s="16">
        <f>IF(D361&lt;=mortTerm,
   F361*(1+mortRate/12)^12 - (-PMT(mortRate/12, mortTerm*12, C361))*(((1+mortRate/12)^12 - 1)/(mortRate/12)),
   0
)
</f>
        <v>244364.3564</v>
      </c>
      <c r="K361" s="13">
        <f>IFERROR(__xludf.DUMMYFUNCTION("IF(A361="""","""",
   IF(F361&gt;0,
      INDEX(FILTER('RE Portfolio'!L$2:L2000,'RE Portfolio'!D$2:D2000=""BUY""), INT((ROW()-2)/amortYears)+1) - G361,
      INDEX(FILTER('RE Portfolio'!L$2:L2000,'RE Portfolio'!D$2:D2000=""BUY""), INT((ROW()-2)/amortYears)+1"&amp;")
   )
)
"),9045.417368584964)</f>
        <v>9045.417369</v>
      </c>
      <c r="L361" s="15">
        <f>IFERROR(__xludf.DUMMYFUNCTION("IF(A361="""","""",
  INDEX(FILTER('RE Portfolio'!C$2:C2000,'RE Portfolio'!D$2:D2000=""BUY""), INT((ROW()-2)/amortYears)+1)
  * (1 + VALUE(Assumptions!$B$11))^(D361-1)
)
"),1006034.9335445361)</f>
        <v>1006034.934</v>
      </c>
    </row>
    <row r="362">
      <c r="A362" s="15">
        <f>IFERROR(__xludf.DUMMYFUNCTION("IFERROR(INDEX(FILTER('RE Portfolio'!A$2:A2000,'RE Portfolio'!D$2:D2000=""BUY""), INT((ROW()-2)/amortYears)+1), )
"),10.0)</f>
        <v>10</v>
      </c>
      <c r="B362" s="15">
        <f>IFERROR(__xludf.DUMMYFUNCTION("IFERROR(INDEX(FILTER('RE Portfolio'!B$2:B2000,'RE Portfolio'!D$2:D2000=""BUY""), INT((ROW()-2)/amortYears)+1), )
"),46.0)</f>
        <v>46</v>
      </c>
      <c r="C362" s="15">
        <f>IFERROR(__xludf.DUMMYFUNCTION("IFERROR(INDEX(FILTER('RE Portfolio'!G$2:G2000,'RE Portfolio'!D$2:D2000=""BUY""), INT((ROW()-2)/amortYears)+1), )
"),387353.5644555214)</f>
        <v>387353.5645</v>
      </c>
      <c r="D362" s="15">
        <f>MOD(ROW()-2, amortYears)+1</f>
        <v>19</v>
      </c>
      <c r="E362" s="15">
        <f t="shared" si="1"/>
        <v>64</v>
      </c>
      <c r="F362" s="16">
        <f t="shared" si="2"/>
        <v>244364.3564</v>
      </c>
      <c r="G362" s="16">
        <f>IF(D362&lt;=mortTerm, -PMT(mortRate/12, mortTerm*12, C362)*12, 0)
</f>
        <v>29380.05623</v>
      </c>
      <c r="H362" s="16">
        <f>IF(D362&lt;=mortTerm, G362 - I362, 0)
</f>
        <v>15474.2547</v>
      </c>
      <c r="I362" s="16">
        <f>IF(D362&lt;=mortTerm, F362 - J362, 0)
</f>
        <v>13905.80152</v>
      </c>
      <c r="J362" s="16">
        <f>IF(D362&lt;=mortTerm,
   F362*(1+mortRate/12)^12 - (-PMT(mortRate/12, mortTerm*12, C362))*(((1+mortRate/12)^12 - 1)/(mortRate/12)),
   0
)
</f>
        <v>230458.5549</v>
      </c>
      <c r="K362" s="13">
        <f>IFERROR(__xludf.DUMMYFUNCTION("IF(A362="""","""",
   IF(F362&gt;0,
      INDEX(FILTER('RE Portfolio'!L$2:L2000,'RE Portfolio'!D$2:D2000=""BUY""), INT((ROW()-2)/amortYears)+1) - G362,
      INDEX(FILTER('RE Portfolio'!L$2:L2000,'RE Portfolio'!D$2:D2000=""BUY""), INT((ROW()-2)/amortYears)+1"&amp;")
   )
)
"),9045.417368584964)</f>
        <v>9045.417369</v>
      </c>
      <c r="L362" s="15">
        <f>IFERROR(__xludf.DUMMYFUNCTION("IF(A362="""","""",
  INDEX(FILTER('RE Portfolio'!C$2:C2000,'RE Portfolio'!D$2:D2000=""BUY""), INT((ROW()-2)/amortYears)+1)
  * (1 + VALUE(Assumptions!$B$11))^(D362-1)
)
"),1046276.3308863176)</f>
        <v>1046276.331</v>
      </c>
    </row>
    <row r="363">
      <c r="A363" s="15">
        <f>IFERROR(__xludf.DUMMYFUNCTION("IFERROR(INDEX(FILTER('RE Portfolio'!A$2:A2000,'RE Portfolio'!D$2:D2000=""BUY""), INT((ROW()-2)/amortYears)+1), )
"),10.0)</f>
        <v>10</v>
      </c>
      <c r="B363" s="15">
        <f>IFERROR(__xludf.DUMMYFUNCTION("IFERROR(INDEX(FILTER('RE Portfolio'!B$2:B2000,'RE Portfolio'!D$2:D2000=""BUY""), INT((ROW()-2)/amortYears)+1), )
"),46.0)</f>
        <v>46</v>
      </c>
      <c r="C363" s="15">
        <f>IFERROR(__xludf.DUMMYFUNCTION("IFERROR(INDEX(FILTER('RE Portfolio'!G$2:G2000,'RE Portfolio'!D$2:D2000=""BUY""), INT((ROW()-2)/amortYears)+1), )
"),387353.5644555214)</f>
        <v>387353.5645</v>
      </c>
      <c r="D363" s="15">
        <f>MOD(ROW()-2, amortYears)+1</f>
        <v>20</v>
      </c>
      <c r="E363" s="15">
        <f t="shared" si="1"/>
        <v>65</v>
      </c>
      <c r="F363" s="16">
        <f t="shared" si="2"/>
        <v>230458.5549</v>
      </c>
      <c r="G363" s="16">
        <f>IF(D363&lt;=mortTerm, -PMT(mortRate/12, mortTerm*12, C363)*12, 0)
</f>
        <v>29380.05623</v>
      </c>
      <c r="H363" s="16">
        <f>IF(D363&lt;=mortTerm, G363 - I363, 0)
</f>
        <v>14542.95742</v>
      </c>
      <c r="I363" s="16">
        <f>IF(D363&lt;=mortTerm, F363 - J363, 0)
</f>
        <v>14837.0988</v>
      </c>
      <c r="J363" s="16">
        <f>IF(D363&lt;=mortTerm,
   F363*(1+mortRate/12)^12 - (-PMT(mortRate/12, mortTerm*12, C363))*(((1+mortRate/12)^12 - 1)/(mortRate/12)),
   0
)
</f>
        <v>215621.4561</v>
      </c>
      <c r="K363" s="13">
        <f>IFERROR(__xludf.DUMMYFUNCTION("IF(A363="""","""",
   IF(F363&gt;0,
      INDEX(FILTER('RE Portfolio'!L$2:L2000,'RE Portfolio'!D$2:D2000=""BUY""), INT((ROW()-2)/amortYears)+1) - G363,
      INDEX(FILTER('RE Portfolio'!L$2:L2000,'RE Portfolio'!D$2:D2000=""BUY""), INT((ROW()-2)/amortYears)+1"&amp;")
   )
)
"),9045.417368584964)</f>
        <v>9045.417369</v>
      </c>
      <c r="L363" s="15">
        <f>IFERROR(__xludf.DUMMYFUNCTION("IF(A363="""","""",
  INDEX(FILTER('RE Portfolio'!C$2:C2000,'RE Portfolio'!D$2:D2000=""BUY""), INT((ROW()-2)/amortYears)+1)
  * (1 + VALUE(Assumptions!$B$11))^(D363-1)
)
"),1088127.3841217703)</f>
        <v>1088127.384</v>
      </c>
    </row>
    <row r="364">
      <c r="A364" s="15">
        <f>IFERROR(__xludf.DUMMYFUNCTION("IFERROR(INDEX(FILTER('RE Portfolio'!A$2:A2000,'RE Portfolio'!D$2:D2000=""BUY""), INT((ROW()-2)/amortYears)+1), )
"),10.0)</f>
        <v>10</v>
      </c>
      <c r="B364" s="15">
        <f>IFERROR(__xludf.DUMMYFUNCTION("IFERROR(INDEX(FILTER('RE Portfolio'!B$2:B2000,'RE Portfolio'!D$2:D2000=""BUY""), INT((ROW()-2)/amortYears)+1), )
"),46.0)</f>
        <v>46</v>
      </c>
      <c r="C364" s="15">
        <f>IFERROR(__xludf.DUMMYFUNCTION("IFERROR(INDEX(FILTER('RE Portfolio'!G$2:G2000,'RE Portfolio'!D$2:D2000=""BUY""), INT((ROW()-2)/amortYears)+1), )
"),387353.5644555214)</f>
        <v>387353.5645</v>
      </c>
      <c r="D364" s="15">
        <f>MOD(ROW()-2, amortYears)+1</f>
        <v>21</v>
      </c>
      <c r="E364" s="15">
        <f t="shared" si="1"/>
        <v>66</v>
      </c>
      <c r="F364" s="16">
        <f t="shared" si="2"/>
        <v>215621.4561</v>
      </c>
      <c r="G364" s="16">
        <f>IF(D364&lt;=mortTerm, -PMT(mortRate/12, mortTerm*12, C364)*12, 0)
</f>
        <v>29380.05623</v>
      </c>
      <c r="H364" s="16">
        <f>IF(D364&lt;=mortTerm, G364 - I364, 0)
</f>
        <v>13549.28944</v>
      </c>
      <c r="I364" s="16">
        <f>IF(D364&lt;=mortTerm, F364 - J364, 0)
</f>
        <v>15830.76679</v>
      </c>
      <c r="J364" s="16">
        <f>IF(D364&lt;=mortTerm,
   F364*(1+mortRate/12)^12 - (-PMT(mortRate/12, mortTerm*12, C364))*(((1+mortRate/12)^12 - 1)/(mortRate/12)),
   0
)
</f>
        <v>199790.6893</v>
      </c>
      <c r="K364" s="13">
        <f>IFERROR(__xludf.DUMMYFUNCTION("IF(A364="""","""",
   IF(F364&gt;0,
      INDEX(FILTER('RE Portfolio'!L$2:L2000,'RE Portfolio'!D$2:D2000=""BUY""), INT((ROW()-2)/amortYears)+1) - G364,
      INDEX(FILTER('RE Portfolio'!L$2:L2000,'RE Portfolio'!D$2:D2000=""BUY""), INT((ROW()-2)/amortYears)+1"&amp;")
   )
)
"),9045.417368584964)</f>
        <v>9045.417369</v>
      </c>
      <c r="L364" s="15">
        <f>IFERROR(__xludf.DUMMYFUNCTION("IF(A364="""","""",
  INDEX(FILTER('RE Portfolio'!C$2:C2000,'RE Portfolio'!D$2:D2000=""BUY""), INT((ROW()-2)/amortYears)+1)
  * (1 + VALUE(Assumptions!$B$11))^(D364-1)
)
"),1131652.4794866412)</f>
        <v>1131652.479</v>
      </c>
    </row>
    <row r="365">
      <c r="A365" s="15">
        <f>IFERROR(__xludf.DUMMYFUNCTION("IFERROR(INDEX(FILTER('RE Portfolio'!A$2:A2000,'RE Portfolio'!D$2:D2000=""BUY""), INT((ROW()-2)/amortYears)+1), )
"),10.0)</f>
        <v>10</v>
      </c>
      <c r="B365" s="15">
        <f>IFERROR(__xludf.DUMMYFUNCTION("IFERROR(INDEX(FILTER('RE Portfolio'!B$2:B2000,'RE Portfolio'!D$2:D2000=""BUY""), INT((ROW()-2)/amortYears)+1), )
"),46.0)</f>
        <v>46</v>
      </c>
      <c r="C365" s="15">
        <f>IFERROR(__xludf.DUMMYFUNCTION("IFERROR(INDEX(FILTER('RE Portfolio'!G$2:G2000,'RE Portfolio'!D$2:D2000=""BUY""), INT((ROW()-2)/amortYears)+1), )
"),387353.5644555214)</f>
        <v>387353.5645</v>
      </c>
      <c r="D365" s="15">
        <f>MOD(ROW()-2, amortYears)+1</f>
        <v>22</v>
      </c>
      <c r="E365" s="15">
        <f t="shared" si="1"/>
        <v>67</v>
      </c>
      <c r="F365" s="16">
        <f t="shared" si="2"/>
        <v>199790.6893</v>
      </c>
      <c r="G365" s="16">
        <f>IF(D365&lt;=mortTerm, -PMT(mortRate/12, mortTerm*12, C365)*12, 0)
</f>
        <v>29380.05623</v>
      </c>
      <c r="H365" s="16">
        <f>IF(D365&lt;=mortTerm, G365 - I365, 0)
</f>
        <v>12489.07367</v>
      </c>
      <c r="I365" s="16">
        <f>IF(D365&lt;=mortTerm, F365 - J365, 0)
</f>
        <v>16890.98256</v>
      </c>
      <c r="J365" s="16">
        <f>IF(D365&lt;=mortTerm,
   F365*(1+mortRate/12)^12 - (-PMT(mortRate/12, mortTerm*12, C365))*(((1+mortRate/12)^12 - 1)/(mortRate/12)),
   0
)
</f>
        <v>182899.7068</v>
      </c>
      <c r="K365" s="13">
        <f>IFERROR(__xludf.DUMMYFUNCTION("IF(A365="""","""",
   IF(F365&gt;0,
      INDEX(FILTER('RE Portfolio'!L$2:L2000,'RE Portfolio'!D$2:D2000=""BUY""), INT((ROW()-2)/amortYears)+1) - G365,
      INDEX(FILTER('RE Portfolio'!L$2:L2000,'RE Portfolio'!D$2:D2000=""BUY""), INT((ROW()-2)/amortYears)+1"&amp;")
   )
)
"),9045.417368584964)</f>
        <v>9045.417369</v>
      </c>
      <c r="L365" s="15">
        <f>IFERROR(__xludf.DUMMYFUNCTION("IF(A365="""","""",
  INDEX(FILTER('RE Portfolio'!C$2:C2000,'RE Portfolio'!D$2:D2000=""BUY""), INT((ROW()-2)/amortYears)+1)
  * (1 + VALUE(Assumptions!$B$11))^(D365-1)
)
"),1176918.5786661068)</f>
        <v>1176918.579</v>
      </c>
    </row>
    <row r="366">
      <c r="A366" s="15">
        <f>IFERROR(__xludf.DUMMYFUNCTION("IFERROR(INDEX(FILTER('RE Portfolio'!A$2:A2000,'RE Portfolio'!D$2:D2000=""BUY""), INT((ROW()-2)/amortYears)+1), )
"),10.0)</f>
        <v>10</v>
      </c>
      <c r="B366" s="15">
        <f>IFERROR(__xludf.DUMMYFUNCTION("IFERROR(INDEX(FILTER('RE Portfolio'!B$2:B2000,'RE Portfolio'!D$2:D2000=""BUY""), INT((ROW()-2)/amortYears)+1), )
"),46.0)</f>
        <v>46</v>
      </c>
      <c r="C366" s="15">
        <f>IFERROR(__xludf.DUMMYFUNCTION("IFERROR(INDEX(FILTER('RE Portfolio'!G$2:G2000,'RE Portfolio'!D$2:D2000=""BUY""), INT((ROW()-2)/amortYears)+1), )
"),387353.5644555214)</f>
        <v>387353.5645</v>
      </c>
      <c r="D366" s="15">
        <f>MOD(ROW()-2, amortYears)+1</f>
        <v>23</v>
      </c>
      <c r="E366" s="15">
        <f t="shared" si="1"/>
        <v>68</v>
      </c>
      <c r="F366" s="16">
        <f t="shared" si="2"/>
        <v>182899.7068</v>
      </c>
      <c r="G366" s="16">
        <f>IF(D366&lt;=mortTerm, -PMT(mortRate/12, mortTerm*12, C366)*12, 0)
</f>
        <v>29380.05623</v>
      </c>
      <c r="H366" s="16">
        <f>IF(D366&lt;=mortTerm, G366 - I366, 0)
</f>
        <v>11357.85328</v>
      </c>
      <c r="I366" s="16">
        <f>IF(D366&lt;=mortTerm, F366 - J366, 0)
</f>
        <v>18022.20294</v>
      </c>
      <c r="J366" s="16">
        <f>IF(D366&lt;=mortTerm,
   F366*(1+mortRate/12)^12 - (-PMT(mortRate/12, mortTerm*12, C366))*(((1+mortRate/12)^12 - 1)/(mortRate/12)),
   0
)
</f>
        <v>164877.5038</v>
      </c>
      <c r="K366" s="13">
        <f>IFERROR(__xludf.DUMMYFUNCTION("IF(A366="""","""",
   IF(F366&gt;0,
      INDEX(FILTER('RE Portfolio'!L$2:L2000,'RE Portfolio'!D$2:D2000=""BUY""), INT((ROW()-2)/amortYears)+1) - G366,
      INDEX(FILTER('RE Portfolio'!L$2:L2000,'RE Portfolio'!D$2:D2000=""BUY""), INT((ROW()-2)/amortYears)+1"&amp;")
   )
)
"),9045.417368584964)</f>
        <v>9045.417369</v>
      </c>
      <c r="L366" s="15">
        <f>IFERROR(__xludf.DUMMYFUNCTION("IF(A366="""","""",
  INDEX(FILTER('RE Portfolio'!C$2:C2000,'RE Portfolio'!D$2:D2000=""BUY""), INT((ROW()-2)/amortYears)+1)
  * (1 + VALUE(Assumptions!$B$11))^(D366-1)
)
"),1223995.321812751)</f>
        <v>1223995.322</v>
      </c>
    </row>
    <row r="367">
      <c r="A367" s="15">
        <f>IFERROR(__xludf.DUMMYFUNCTION("IFERROR(INDEX(FILTER('RE Portfolio'!A$2:A2000,'RE Portfolio'!D$2:D2000=""BUY""), INT((ROW()-2)/amortYears)+1), )
"),10.0)</f>
        <v>10</v>
      </c>
      <c r="B367" s="15">
        <f>IFERROR(__xludf.DUMMYFUNCTION("IFERROR(INDEX(FILTER('RE Portfolio'!B$2:B2000,'RE Portfolio'!D$2:D2000=""BUY""), INT((ROW()-2)/amortYears)+1), )
"),46.0)</f>
        <v>46</v>
      </c>
      <c r="C367" s="15">
        <f>IFERROR(__xludf.DUMMYFUNCTION("IFERROR(INDEX(FILTER('RE Portfolio'!G$2:G2000,'RE Portfolio'!D$2:D2000=""BUY""), INT((ROW()-2)/amortYears)+1), )
"),387353.5644555214)</f>
        <v>387353.5645</v>
      </c>
      <c r="D367" s="15">
        <f>MOD(ROW()-2, amortYears)+1</f>
        <v>24</v>
      </c>
      <c r="E367" s="15">
        <f t="shared" si="1"/>
        <v>69</v>
      </c>
      <c r="F367" s="16">
        <f t="shared" si="2"/>
        <v>164877.5038</v>
      </c>
      <c r="G367" s="16">
        <f>IF(D367&lt;=mortTerm, -PMT(mortRate/12, mortTerm*12, C367)*12, 0)
</f>
        <v>29380.05623</v>
      </c>
      <c r="H367" s="16">
        <f>IF(D367&lt;=mortTerm, G367 - I367, 0)
</f>
        <v>10150.87297</v>
      </c>
      <c r="I367" s="16">
        <f>IF(D367&lt;=mortTerm, F367 - J367, 0)
</f>
        <v>19229.18325</v>
      </c>
      <c r="J367" s="16">
        <f>IF(D367&lt;=mortTerm,
   F367*(1+mortRate/12)^12 - (-PMT(mortRate/12, mortTerm*12, C367))*(((1+mortRate/12)^12 - 1)/(mortRate/12)),
   0
)
</f>
        <v>145648.3206</v>
      </c>
      <c r="K367" s="13">
        <f>IFERROR(__xludf.DUMMYFUNCTION("IF(A367="""","""",
   IF(F367&gt;0,
      INDEX(FILTER('RE Portfolio'!L$2:L2000,'RE Portfolio'!D$2:D2000=""BUY""), INT((ROW()-2)/amortYears)+1) - G367,
      INDEX(FILTER('RE Portfolio'!L$2:L2000,'RE Portfolio'!D$2:D2000=""BUY""), INT((ROW()-2)/amortYears)+1"&amp;")
   )
)
"),9045.417368584964)</f>
        <v>9045.417369</v>
      </c>
      <c r="L367" s="15">
        <f>IFERROR(__xludf.DUMMYFUNCTION("IF(A367="""","""",
  INDEX(FILTER('RE Portfolio'!C$2:C2000,'RE Portfolio'!D$2:D2000=""BUY""), INT((ROW()-2)/amortYears)+1)
  * (1 + VALUE(Assumptions!$B$11))^(D367-1)
)
"),1272955.1346852612)</f>
        <v>1272955.135</v>
      </c>
    </row>
    <row r="368">
      <c r="A368" s="15">
        <f>IFERROR(__xludf.DUMMYFUNCTION("IFERROR(INDEX(FILTER('RE Portfolio'!A$2:A2000,'RE Portfolio'!D$2:D2000=""BUY""), INT((ROW()-2)/amortYears)+1), )
"),10.0)</f>
        <v>10</v>
      </c>
      <c r="B368" s="15">
        <f>IFERROR(__xludf.DUMMYFUNCTION("IFERROR(INDEX(FILTER('RE Portfolio'!B$2:B2000,'RE Portfolio'!D$2:D2000=""BUY""), INT((ROW()-2)/amortYears)+1), )
"),46.0)</f>
        <v>46</v>
      </c>
      <c r="C368" s="15">
        <f>IFERROR(__xludf.DUMMYFUNCTION("IFERROR(INDEX(FILTER('RE Portfolio'!G$2:G2000,'RE Portfolio'!D$2:D2000=""BUY""), INT((ROW()-2)/amortYears)+1), )
"),387353.5644555214)</f>
        <v>387353.5645</v>
      </c>
      <c r="D368" s="15">
        <f>MOD(ROW()-2, amortYears)+1</f>
        <v>25</v>
      </c>
      <c r="E368" s="15">
        <f t="shared" si="1"/>
        <v>70</v>
      </c>
      <c r="F368" s="16">
        <f t="shared" si="2"/>
        <v>145648.3206</v>
      </c>
      <c r="G368" s="16">
        <f>IF(D368&lt;=mortTerm, -PMT(mortRate/12, mortTerm*12, C368)*12, 0)
</f>
        <v>29380.05623</v>
      </c>
      <c r="H368" s="16">
        <f>IF(D368&lt;=mortTerm, G368 - I368, 0)
</f>
        <v>8863.05896</v>
      </c>
      <c r="I368" s="16">
        <f>IF(D368&lt;=mortTerm, F368 - J368, 0)
</f>
        <v>20516.99727</v>
      </c>
      <c r="J368" s="16">
        <f>IF(D368&lt;=mortTerm,
   F368*(1+mortRate/12)^12 - (-PMT(mortRate/12, mortTerm*12, C368))*(((1+mortRate/12)^12 - 1)/(mortRate/12)),
   0
)
</f>
        <v>125131.3233</v>
      </c>
      <c r="K368" s="13">
        <f>IFERROR(__xludf.DUMMYFUNCTION("IF(A368="""","""",
   IF(F368&gt;0,
      INDEX(FILTER('RE Portfolio'!L$2:L2000,'RE Portfolio'!D$2:D2000=""BUY""), INT((ROW()-2)/amortYears)+1) - G368,
      INDEX(FILTER('RE Portfolio'!L$2:L2000,'RE Portfolio'!D$2:D2000=""BUY""), INT((ROW()-2)/amortYears)+1"&amp;")
   )
)
"),9045.417368584964)</f>
        <v>9045.417369</v>
      </c>
      <c r="L368" s="15">
        <f>IFERROR(__xludf.DUMMYFUNCTION("IF(A368="""","""",
  INDEX(FILTER('RE Portfolio'!C$2:C2000,'RE Portfolio'!D$2:D2000=""BUY""), INT((ROW()-2)/amortYears)+1)
  * (1 + VALUE(Assumptions!$B$11))^(D368-1)
)
"),1323873.3400726719)</f>
        <v>1323873.34</v>
      </c>
    </row>
    <row r="369">
      <c r="A369" s="15">
        <f>IFERROR(__xludf.DUMMYFUNCTION("IFERROR(INDEX(FILTER('RE Portfolio'!A$2:A2000,'RE Portfolio'!D$2:D2000=""BUY""), INT((ROW()-2)/amortYears)+1), )
"),10.0)</f>
        <v>10</v>
      </c>
      <c r="B369" s="15">
        <f>IFERROR(__xludf.DUMMYFUNCTION("IFERROR(INDEX(FILTER('RE Portfolio'!B$2:B2000,'RE Portfolio'!D$2:D2000=""BUY""), INT((ROW()-2)/amortYears)+1), )
"),46.0)</f>
        <v>46</v>
      </c>
      <c r="C369" s="15">
        <f>IFERROR(__xludf.DUMMYFUNCTION("IFERROR(INDEX(FILTER('RE Portfolio'!G$2:G2000,'RE Portfolio'!D$2:D2000=""BUY""), INT((ROW()-2)/amortYears)+1), )
"),387353.5644555214)</f>
        <v>387353.5645</v>
      </c>
      <c r="D369" s="15">
        <f>MOD(ROW()-2, amortYears)+1</f>
        <v>26</v>
      </c>
      <c r="E369" s="15">
        <f t="shared" si="1"/>
        <v>71</v>
      </c>
      <c r="F369" s="16">
        <f t="shared" si="2"/>
        <v>125131.3233</v>
      </c>
      <c r="G369" s="16">
        <f>IF(D369&lt;=mortTerm, -PMT(mortRate/12, mortTerm*12, C369)*12, 0)
</f>
        <v>29380.05623</v>
      </c>
      <c r="H369" s="16">
        <f>IF(D369&lt;=mortTerm, G369 - I369, 0)
</f>
        <v>7488.997655</v>
      </c>
      <c r="I369" s="16">
        <f>IF(D369&lt;=mortTerm, F369 - J369, 0)
</f>
        <v>21891.05857</v>
      </c>
      <c r="J369" s="16">
        <f>IF(D369&lt;=mortTerm,
   F369*(1+mortRate/12)^12 - (-PMT(mortRate/12, mortTerm*12, C369))*(((1+mortRate/12)^12 - 1)/(mortRate/12)),
   0
)
</f>
        <v>103240.2647</v>
      </c>
      <c r="K369" s="13">
        <f>IFERROR(__xludf.DUMMYFUNCTION("IF(A369="""","""",
   IF(F369&gt;0,
      INDEX(FILTER('RE Portfolio'!L$2:L2000,'RE Portfolio'!D$2:D2000=""BUY""), INT((ROW()-2)/amortYears)+1) - G369,
      INDEX(FILTER('RE Portfolio'!L$2:L2000,'RE Portfolio'!D$2:D2000=""BUY""), INT((ROW()-2)/amortYears)+1"&amp;")
   )
)
"),9045.417368584964)</f>
        <v>9045.417369</v>
      </c>
      <c r="L369" s="15">
        <f>IFERROR(__xludf.DUMMYFUNCTION("IF(A369="""","""",
  INDEX(FILTER('RE Portfolio'!C$2:C2000,'RE Portfolio'!D$2:D2000=""BUY""), INT((ROW()-2)/amortYears)+1)
  * (1 + VALUE(Assumptions!$B$11))^(D369-1)
)
"),1376828.2736755786)</f>
        <v>1376828.274</v>
      </c>
    </row>
    <row r="370">
      <c r="A370" s="15">
        <f>IFERROR(__xludf.DUMMYFUNCTION("IFERROR(INDEX(FILTER('RE Portfolio'!A$2:A2000,'RE Portfolio'!D$2:D2000=""BUY""), INT((ROW()-2)/amortYears)+1), )
"),10.0)</f>
        <v>10</v>
      </c>
      <c r="B370" s="15">
        <f>IFERROR(__xludf.DUMMYFUNCTION("IFERROR(INDEX(FILTER('RE Portfolio'!B$2:B2000,'RE Portfolio'!D$2:D2000=""BUY""), INT((ROW()-2)/amortYears)+1), )
"),46.0)</f>
        <v>46</v>
      </c>
      <c r="C370" s="15">
        <f>IFERROR(__xludf.DUMMYFUNCTION("IFERROR(INDEX(FILTER('RE Portfolio'!G$2:G2000,'RE Portfolio'!D$2:D2000=""BUY""), INT((ROW()-2)/amortYears)+1), )
"),387353.5644555214)</f>
        <v>387353.5645</v>
      </c>
      <c r="D370" s="15">
        <f>MOD(ROW()-2, amortYears)+1</f>
        <v>27</v>
      </c>
      <c r="E370" s="15">
        <f t="shared" si="1"/>
        <v>72</v>
      </c>
      <c r="F370" s="16">
        <f t="shared" si="2"/>
        <v>103240.2647</v>
      </c>
      <c r="G370" s="16">
        <f>IF(D370&lt;=mortTerm, -PMT(mortRate/12, mortTerm*12, C370)*12, 0)
</f>
        <v>29380.05623</v>
      </c>
      <c r="H370" s="16">
        <f>IF(D370&lt;=mortTerm, G370 - I370, 0)
</f>
        <v>6022.91292</v>
      </c>
      <c r="I370" s="16">
        <f>IF(D370&lt;=mortTerm, F370 - J370, 0)
</f>
        <v>23357.14331</v>
      </c>
      <c r="J370" s="16">
        <f>IF(D370&lt;=mortTerm,
   F370*(1+mortRate/12)^12 - (-PMT(mortRate/12, mortTerm*12, C370))*(((1+mortRate/12)^12 - 1)/(mortRate/12)),
   0
)
</f>
        <v>79883.12144</v>
      </c>
      <c r="K370" s="13">
        <f>IFERROR(__xludf.DUMMYFUNCTION("IF(A370="""","""",
   IF(F370&gt;0,
      INDEX(FILTER('RE Portfolio'!L$2:L2000,'RE Portfolio'!D$2:D2000=""BUY""), INT((ROW()-2)/amortYears)+1) - G370,
      INDEX(FILTER('RE Portfolio'!L$2:L2000,'RE Portfolio'!D$2:D2000=""BUY""), INT((ROW()-2)/amortYears)+1"&amp;")
   )
)
"),9045.417368584964)</f>
        <v>9045.417369</v>
      </c>
      <c r="L370" s="15">
        <f>IFERROR(__xludf.DUMMYFUNCTION("IF(A370="""","""",
  INDEX(FILTER('RE Portfolio'!C$2:C2000,'RE Portfolio'!D$2:D2000=""BUY""), INT((ROW()-2)/amortYears)+1)
  * (1 + VALUE(Assumptions!$B$11))^(D370-1)
)
"),1431901.4046226018)</f>
        <v>1431901.405</v>
      </c>
    </row>
    <row r="371">
      <c r="A371" s="15">
        <f>IFERROR(__xludf.DUMMYFUNCTION("IFERROR(INDEX(FILTER('RE Portfolio'!A$2:A2000,'RE Portfolio'!D$2:D2000=""BUY""), INT((ROW()-2)/amortYears)+1), )
"),10.0)</f>
        <v>10</v>
      </c>
      <c r="B371" s="15">
        <f>IFERROR(__xludf.DUMMYFUNCTION("IFERROR(INDEX(FILTER('RE Portfolio'!B$2:B2000,'RE Portfolio'!D$2:D2000=""BUY""), INT((ROW()-2)/amortYears)+1), )
"),46.0)</f>
        <v>46</v>
      </c>
      <c r="C371" s="15">
        <f>IFERROR(__xludf.DUMMYFUNCTION("IFERROR(INDEX(FILTER('RE Portfolio'!G$2:G2000,'RE Portfolio'!D$2:D2000=""BUY""), INT((ROW()-2)/amortYears)+1), )
"),387353.5644555214)</f>
        <v>387353.5645</v>
      </c>
      <c r="D371" s="15">
        <f>MOD(ROW()-2, amortYears)+1</f>
        <v>28</v>
      </c>
      <c r="E371" s="15">
        <f t="shared" si="1"/>
        <v>73</v>
      </c>
      <c r="F371" s="16">
        <f t="shared" si="2"/>
        <v>79883.12144</v>
      </c>
      <c r="G371" s="16">
        <f>IF(D371&lt;=mortTerm, -PMT(mortRate/12, mortTerm*12, C371)*12, 0)
</f>
        <v>29380.05623</v>
      </c>
      <c r="H371" s="16">
        <f>IF(D371&lt;=mortTerm, G371 - I371, 0)
</f>
        <v>4458.641776</v>
      </c>
      <c r="I371" s="16">
        <f>IF(D371&lt;=mortTerm, F371 - J371, 0)
</f>
        <v>24921.41445</v>
      </c>
      <c r="J371" s="16">
        <f>IF(D371&lt;=mortTerm,
   F371*(1+mortRate/12)^12 - (-PMT(mortRate/12, mortTerm*12, C371))*(((1+mortRate/12)^12 - 1)/(mortRate/12)),
   0
)
</f>
        <v>54961.70699</v>
      </c>
      <c r="K371" s="13">
        <f>IFERROR(__xludf.DUMMYFUNCTION("IF(A371="""","""",
   IF(F371&gt;0,
      INDEX(FILTER('RE Portfolio'!L$2:L2000,'RE Portfolio'!D$2:D2000=""BUY""), INT((ROW()-2)/amortYears)+1) - G371,
      INDEX(FILTER('RE Portfolio'!L$2:L2000,'RE Portfolio'!D$2:D2000=""BUY""), INT((ROW()-2)/amortYears)+1"&amp;")
   )
)
"),9045.417368584964)</f>
        <v>9045.417369</v>
      </c>
      <c r="L371" s="15">
        <f>IFERROR(__xludf.DUMMYFUNCTION("IF(A371="""","""",
  INDEX(FILTER('RE Portfolio'!C$2:C2000,'RE Portfolio'!D$2:D2000=""BUY""), INT((ROW()-2)/amortYears)+1)
  * (1 + VALUE(Assumptions!$B$11))^(D371-1)
)
"),1489177.460807506)</f>
        <v>1489177.461</v>
      </c>
    </row>
    <row r="372">
      <c r="A372" s="15">
        <f>IFERROR(__xludf.DUMMYFUNCTION("IFERROR(INDEX(FILTER('RE Portfolio'!A$2:A2000,'RE Portfolio'!D$2:D2000=""BUY""), INT((ROW()-2)/amortYears)+1), )
"),10.0)</f>
        <v>10</v>
      </c>
      <c r="B372" s="15">
        <f>IFERROR(__xludf.DUMMYFUNCTION("IFERROR(INDEX(FILTER('RE Portfolio'!B$2:B2000,'RE Portfolio'!D$2:D2000=""BUY""), INT((ROW()-2)/amortYears)+1), )
"),46.0)</f>
        <v>46</v>
      </c>
      <c r="C372" s="15">
        <f>IFERROR(__xludf.DUMMYFUNCTION("IFERROR(INDEX(FILTER('RE Portfolio'!G$2:G2000,'RE Portfolio'!D$2:D2000=""BUY""), INT((ROW()-2)/amortYears)+1), )
"),387353.5644555214)</f>
        <v>387353.5645</v>
      </c>
      <c r="D372" s="15">
        <f>MOD(ROW()-2, amortYears)+1</f>
        <v>29</v>
      </c>
      <c r="E372" s="15">
        <f t="shared" si="1"/>
        <v>74</v>
      </c>
      <c r="F372" s="16">
        <f t="shared" si="2"/>
        <v>54961.70699</v>
      </c>
      <c r="G372" s="16">
        <f>IF(D372&lt;=mortTerm, -PMT(mortRate/12, mortTerm*12, C372)*12, 0)
</f>
        <v>29380.05623</v>
      </c>
      <c r="H372" s="16">
        <f>IF(D372&lt;=mortTerm, G372 - I372, 0)
</f>
        <v>2789.608496</v>
      </c>
      <c r="I372" s="16">
        <f>IF(D372&lt;=mortTerm, F372 - J372, 0)
</f>
        <v>26590.44773</v>
      </c>
      <c r="J372" s="16">
        <f>IF(D372&lt;=mortTerm,
   F372*(1+mortRate/12)^12 - (-PMT(mortRate/12, mortTerm*12, C372))*(((1+mortRate/12)^12 - 1)/(mortRate/12)),
   0
)
</f>
        <v>28371.25926</v>
      </c>
      <c r="K372" s="13">
        <f>IFERROR(__xludf.DUMMYFUNCTION("IF(A372="""","""",
   IF(F372&gt;0,
      INDEX(FILTER('RE Portfolio'!L$2:L2000,'RE Portfolio'!D$2:D2000=""BUY""), INT((ROW()-2)/amortYears)+1) - G372,
      INDEX(FILTER('RE Portfolio'!L$2:L2000,'RE Portfolio'!D$2:D2000=""BUY""), INT((ROW()-2)/amortYears)+1"&amp;")
   )
)
"),9045.417368584964)</f>
        <v>9045.417369</v>
      </c>
      <c r="L372" s="15">
        <f>IFERROR(__xludf.DUMMYFUNCTION("IF(A372="""","""",
  INDEX(FILTER('RE Portfolio'!C$2:C2000,'RE Portfolio'!D$2:D2000=""BUY""), INT((ROW()-2)/amortYears)+1)
  * (1 + VALUE(Assumptions!$B$11))^(D372-1)
)
"),1548744.5592398064)</f>
        <v>1548744.559</v>
      </c>
    </row>
    <row r="373">
      <c r="A373" s="15">
        <f>IFERROR(__xludf.DUMMYFUNCTION("IFERROR(INDEX(FILTER('RE Portfolio'!A$2:A2000,'RE Portfolio'!D$2:D2000=""BUY""), INT((ROW()-2)/amortYears)+1), )
"),10.0)</f>
        <v>10</v>
      </c>
      <c r="B373" s="15">
        <f>IFERROR(__xludf.DUMMYFUNCTION("IFERROR(INDEX(FILTER('RE Portfolio'!B$2:B2000,'RE Portfolio'!D$2:D2000=""BUY""), INT((ROW()-2)/amortYears)+1), )
"),46.0)</f>
        <v>46</v>
      </c>
      <c r="C373" s="15">
        <f>IFERROR(__xludf.DUMMYFUNCTION("IFERROR(INDEX(FILTER('RE Portfolio'!G$2:G2000,'RE Portfolio'!D$2:D2000=""BUY""), INT((ROW()-2)/amortYears)+1), )
"),387353.5644555214)</f>
        <v>387353.5645</v>
      </c>
      <c r="D373" s="15">
        <f>MOD(ROW()-2, amortYears)+1</f>
        <v>30</v>
      </c>
      <c r="E373" s="15">
        <f t="shared" si="1"/>
        <v>75</v>
      </c>
      <c r="F373" s="16">
        <f t="shared" si="2"/>
        <v>28371.25926</v>
      </c>
      <c r="G373" s="16">
        <f>IF(D373&lt;=mortTerm, -PMT(mortRate/12, mortTerm*12, C373)*12, 0)
</f>
        <v>29380.05623</v>
      </c>
      <c r="H373" s="16">
        <f>IF(D373&lt;=mortTerm, G373 - I373, 0)
</f>
        <v>1008.796965</v>
      </c>
      <c r="I373" s="16">
        <f>IF(D373&lt;=mortTerm, F373 - J373, 0)
</f>
        <v>28371.25926</v>
      </c>
      <c r="J373" s="16">
        <f>IF(D373&lt;=mortTerm,
   F373*(1+mortRate/12)^12 - (-PMT(mortRate/12, mortTerm*12, C373))*(((1+mortRate/12)^12 - 1)/(mortRate/12)),
   0
)
</f>
        <v>0</v>
      </c>
      <c r="K373" s="13">
        <f>IFERROR(__xludf.DUMMYFUNCTION("IF(A373="""","""",
   IF(F373&gt;0,
      INDEX(FILTER('RE Portfolio'!L$2:L2000,'RE Portfolio'!D$2:D2000=""BUY""), INT((ROW()-2)/amortYears)+1) - G373,
      INDEX(FILTER('RE Portfolio'!L$2:L2000,'RE Portfolio'!D$2:D2000=""BUY""), INT((ROW()-2)/amortYears)+1"&amp;")
   )
)
"),9045.417368584964)</f>
        <v>9045.417369</v>
      </c>
      <c r="L373" s="15">
        <f>IFERROR(__xludf.DUMMYFUNCTION("IF(A373="""","""",
  INDEX(FILTER('RE Portfolio'!C$2:C2000,'RE Portfolio'!D$2:D2000=""BUY""), INT((ROW()-2)/amortYears)+1)
  * (1 + VALUE(Assumptions!$B$11))^(D373-1)
)
"),1610694.3416093986)</f>
        <v>1610694.342</v>
      </c>
    </row>
    <row r="374">
      <c r="A374" s="15">
        <f>IFERROR(__xludf.DUMMYFUNCTION("IFERROR(INDEX(FILTER('RE Portfolio'!A$2:A2000,'RE Portfolio'!D$2:D2000=""BUY""), INT((ROW()-2)/amortYears)+1), )
"),10.0)</f>
        <v>10</v>
      </c>
      <c r="B374" s="15">
        <f>IFERROR(__xludf.DUMMYFUNCTION("IFERROR(INDEX(FILTER('RE Portfolio'!B$2:B2000,'RE Portfolio'!D$2:D2000=""BUY""), INT((ROW()-2)/amortYears)+1), )
"),46.0)</f>
        <v>46</v>
      </c>
      <c r="C374" s="15">
        <f>IFERROR(__xludf.DUMMYFUNCTION("IFERROR(INDEX(FILTER('RE Portfolio'!G$2:G2000,'RE Portfolio'!D$2:D2000=""BUY""), INT((ROW()-2)/amortYears)+1), )
"),387353.5644555214)</f>
        <v>387353.5645</v>
      </c>
      <c r="D374" s="15">
        <f>MOD(ROW()-2, amortYears)+1</f>
        <v>31</v>
      </c>
      <c r="E374" s="15">
        <f t="shared" si="1"/>
        <v>76</v>
      </c>
      <c r="F374" s="16">
        <f t="shared" si="2"/>
        <v>0</v>
      </c>
      <c r="G374" s="15">
        <f>IF(D374&lt;=mortTerm, -PMT(mortRate/12, mortTerm*12, C374)*12, 0)
</f>
        <v>0</v>
      </c>
      <c r="H374" s="15">
        <f>IF(D374&lt;=mortTerm, G374 - I374, 0)
</f>
        <v>0</v>
      </c>
      <c r="I374" s="15">
        <f>IF(D374&lt;=mortTerm, F374 - J374, 0)
</f>
        <v>0</v>
      </c>
      <c r="J374" s="15">
        <f>IF(D374&lt;=mortTerm,
   F374*(1+mortRate/12)^12 - (-PMT(mortRate/12, mortTerm*12, C374))*(((1+mortRate/12)^12 - 1)/(mortRate/12)),
   0
)
</f>
        <v>0</v>
      </c>
      <c r="K374" s="13">
        <f>IFERROR(__xludf.DUMMYFUNCTION("IF(A374="""","""",
   IF(F374&gt;0,
      INDEX(FILTER('RE Portfolio'!L$2:L2000,'RE Portfolio'!D$2:D2000=""BUY""), INT((ROW()-2)/amortYears)+1) - G374,
      INDEX(FILTER('RE Portfolio'!L$2:L2000,'RE Portfolio'!D$2:D2000=""BUY""), INT((ROW()-2)/amortYears)+1"&amp;")
   )
)
"),38425.47359398773)</f>
        <v>38425.47359</v>
      </c>
      <c r="L374" s="15">
        <f>IFERROR(__xludf.DUMMYFUNCTION("IF(A374="""","""",
  INDEX(FILTER('RE Portfolio'!C$2:C2000,'RE Portfolio'!D$2:D2000=""BUY""), INT((ROW()-2)/amortYears)+1)
  * (1 + VALUE(Assumptions!$B$11))^(D374-1)
)
"),1675122.1152737746)</f>
        <v>1675122.115</v>
      </c>
    </row>
    <row r="375">
      <c r="A375" s="15">
        <f>IFERROR(__xludf.DUMMYFUNCTION("IFERROR(INDEX(FILTER('RE Portfolio'!A$2:A2000,'RE Portfolio'!D$2:D2000=""BUY""), INT((ROW()-2)/amortYears)+1), )
"),10.0)</f>
        <v>10</v>
      </c>
      <c r="B375" s="15">
        <f>IFERROR(__xludf.DUMMYFUNCTION("IFERROR(INDEX(FILTER('RE Portfolio'!B$2:B2000,'RE Portfolio'!D$2:D2000=""BUY""), INT((ROW()-2)/amortYears)+1), )
"),46.0)</f>
        <v>46</v>
      </c>
      <c r="C375" s="15">
        <f>IFERROR(__xludf.DUMMYFUNCTION("IFERROR(INDEX(FILTER('RE Portfolio'!G$2:G2000,'RE Portfolio'!D$2:D2000=""BUY""), INT((ROW()-2)/amortYears)+1), )
"),387353.5644555214)</f>
        <v>387353.5645</v>
      </c>
      <c r="D375" s="15">
        <f>MOD(ROW()-2, amortYears)+1</f>
        <v>32</v>
      </c>
      <c r="E375" s="15">
        <f t="shared" si="1"/>
        <v>77</v>
      </c>
      <c r="F375" s="15">
        <f t="shared" si="2"/>
        <v>0</v>
      </c>
      <c r="G375" s="15">
        <f>IF(D375&lt;=mortTerm, -PMT(mortRate/12, mortTerm*12, C375)*12, 0)
</f>
        <v>0</v>
      </c>
      <c r="H375" s="15">
        <f>IF(D375&lt;=mortTerm, G375 - I375, 0)
</f>
        <v>0</v>
      </c>
      <c r="I375" s="15">
        <f>IF(D375&lt;=mortTerm, F375 - J375, 0)
</f>
        <v>0</v>
      </c>
      <c r="J375" s="15">
        <f>IF(D375&lt;=mortTerm,
   F375*(1+mortRate/12)^12 - (-PMT(mortRate/12, mortTerm*12, C375))*(((1+mortRate/12)^12 - 1)/(mortRate/12)),
   0
)
</f>
        <v>0</v>
      </c>
      <c r="K375" s="13">
        <f>IFERROR(__xludf.DUMMYFUNCTION("IF(A375="""","""",
   IF(F375&gt;0,
      INDEX(FILTER('RE Portfolio'!L$2:L2000,'RE Portfolio'!D$2:D2000=""BUY""), INT((ROW()-2)/amortYears)+1) - G375,
      INDEX(FILTER('RE Portfolio'!L$2:L2000,'RE Portfolio'!D$2:D2000=""BUY""), INT((ROW()-2)/amortYears)+1"&amp;")
   )
)
"),38425.47359398773)</f>
        <v>38425.47359</v>
      </c>
      <c r="L375" s="15">
        <f>IFERROR(__xludf.DUMMYFUNCTION("IF(A375="""","""",
  INDEX(FILTER('RE Portfolio'!C$2:C2000,'RE Portfolio'!D$2:D2000=""BUY""), INT((ROW()-2)/amortYears)+1)
  * (1 + VALUE(Assumptions!$B$11))^(D375-1)
)
"),1742126.9998847258)</f>
        <v>1742127</v>
      </c>
    </row>
    <row r="376">
      <c r="A376" s="15">
        <f>IFERROR(__xludf.DUMMYFUNCTION("IFERROR(INDEX(FILTER('RE Portfolio'!A$2:A2000,'RE Portfolio'!D$2:D2000=""BUY""), INT((ROW()-2)/amortYears)+1), )
"),10.0)</f>
        <v>10</v>
      </c>
      <c r="B376" s="15">
        <f>IFERROR(__xludf.DUMMYFUNCTION("IFERROR(INDEX(FILTER('RE Portfolio'!B$2:B2000,'RE Portfolio'!D$2:D2000=""BUY""), INT((ROW()-2)/amortYears)+1), )
"),46.0)</f>
        <v>46</v>
      </c>
      <c r="C376" s="15">
        <f>IFERROR(__xludf.DUMMYFUNCTION("IFERROR(INDEX(FILTER('RE Portfolio'!G$2:G2000,'RE Portfolio'!D$2:D2000=""BUY""), INT((ROW()-2)/amortYears)+1), )
"),387353.5644555214)</f>
        <v>387353.5645</v>
      </c>
      <c r="D376" s="15">
        <f>MOD(ROW()-2, amortYears)+1</f>
        <v>33</v>
      </c>
      <c r="E376" s="15">
        <f t="shared" si="1"/>
        <v>78</v>
      </c>
      <c r="F376" s="15">
        <f t="shared" si="2"/>
        <v>0</v>
      </c>
      <c r="G376" s="15">
        <f>IF(D376&lt;=mortTerm, -PMT(mortRate/12, mortTerm*12, C376)*12, 0)
</f>
        <v>0</v>
      </c>
      <c r="H376" s="15">
        <f>IF(D376&lt;=mortTerm, G376 - I376, 0)
</f>
        <v>0</v>
      </c>
      <c r="I376" s="15">
        <f>IF(D376&lt;=mortTerm, F376 - J376, 0)
</f>
        <v>0</v>
      </c>
      <c r="J376" s="15">
        <f>IF(D376&lt;=mortTerm,
   F376*(1+mortRate/12)^12 - (-PMT(mortRate/12, mortTerm*12, C376))*(((1+mortRate/12)^12 - 1)/(mortRate/12)),
   0
)
</f>
        <v>0</v>
      </c>
      <c r="K376" s="13">
        <f>IFERROR(__xludf.DUMMYFUNCTION("IF(A376="""","""",
   IF(F376&gt;0,
      INDEX(FILTER('RE Portfolio'!L$2:L2000,'RE Portfolio'!D$2:D2000=""BUY""), INT((ROW()-2)/amortYears)+1) - G376,
      INDEX(FILTER('RE Portfolio'!L$2:L2000,'RE Portfolio'!D$2:D2000=""BUY""), INT((ROW()-2)/amortYears)+1"&amp;")
   )
)
"),38425.47359398773)</f>
        <v>38425.47359</v>
      </c>
      <c r="L376" s="15">
        <f>IFERROR(__xludf.DUMMYFUNCTION("IF(A376="""","""",
  INDEX(FILTER('RE Portfolio'!C$2:C2000,'RE Portfolio'!D$2:D2000=""BUY""), INT((ROW()-2)/amortYears)+1)
  * (1 + VALUE(Assumptions!$B$11))^(D376-1)
)
"),1811812.0798801146)</f>
        <v>1811812.08</v>
      </c>
    </row>
    <row r="377">
      <c r="A377" s="15">
        <f>IFERROR(__xludf.DUMMYFUNCTION("IFERROR(INDEX(FILTER('RE Portfolio'!A$2:A2000,'RE Portfolio'!D$2:D2000=""BUY""), INT((ROW()-2)/amortYears)+1), )
"),10.0)</f>
        <v>10</v>
      </c>
      <c r="B377" s="15">
        <f>IFERROR(__xludf.DUMMYFUNCTION("IFERROR(INDEX(FILTER('RE Portfolio'!B$2:B2000,'RE Portfolio'!D$2:D2000=""BUY""), INT((ROW()-2)/amortYears)+1), )
"),46.0)</f>
        <v>46</v>
      </c>
      <c r="C377" s="15">
        <f>IFERROR(__xludf.DUMMYFUNCTION("IFERROR(INDEX(FILTER('RE Portfolio'!G$2:G2000,'RE Portfolio'!D$2:D2000=""BUY""), INT((ROW()-2)/amortYears)+1), )
"),387353.5644555214)</f>
        <v>387353.5645</v>
      </c>
      <c r="D377" s="15">
        <f>MOD(ROW()-2, amortYears)+1</f>
        <v>34</v>
      </c>
      <c r="E377" s="15">
        <f t="shared" si="1"/>
        <v>79</v>
      </c>
      <c r="F377" s="15">
        <f t="shared" si="2"/>
        <v>0</v>
      </c>
      <c r="G377" s="15">
        <f>IF(D377&lt;=mortTerm, -PMT(mortRate/12, mortTerm*12, C377)*12, 0)
</f>
        <v>0</v>
      </c>
      <c r="H377" s="15">
        <f>IF(D377&lt;=mortTerm, G377 - I377, 0)
</f>
        <v>0</v>
      </c>
      <c r="I377" s="15">
        <f>IF(D377&lt;=mortTerm, F377 - J377, 0)
</f>
        <v>0</v>
      </c>
      <c r="J377" s="15">
        <f>IF(D377&lt;=mortTerm,
   F377*(1+mortRate/12)^12 - (-PMT(mortRate/12, mortTerm*12, C377))*(((1+mortRate/12)^12 - 1)/(mortRate/12)),
   0
)
</f>
        <v>0</v>
      </c>
      <c r="K377" s="13">
        <f>IFERROR(__xludf.DUMMYFUNCTION("IF(A377="""","""",
   IF(F377&gt;0,
      INDEX(FILTER('RE Portfolio'!L$2:L2000,'RE Portfolio'!D$2:D2000=""BUY""), INT((ROW()-2)/amortYears)+1) - G377,
      INDEX(FILTER('RE Portfolio'!L$2:L2000,'RE Portfolio'!D$2:D2000=""BUY""), INT((ROW()-2)/amortYears)+1"&amp;")
   )
)
"),38425.47359398773)</f>
        <v>38425.47359</v>
      </c>
      <c r="L377" s="15">
        <f>IFERROR(__xludf.DUMMYFUNCTION("IF(A377="""","""",
  INDEX(FILTER('RE Portfolio'!C$2:C2000,'RE Portfolio'!D$2:D2000=""BUY""), INT((ROW()-2)/amortYears)+1)
  * (1 + VALUE(Assumptions!$B$11))^(D377-1)
)
"),1884284.5630753194)</f>
        <v>1884284.563</v>
      </c>
    </row>
    <row r="378">
      <c r="A378" s="15">
        <f>IFERROR(__xludf.DUMMYFUNCTION("IFERROR(INDEX(FILTER('RE Portfolio'!A$2:A2000,'RE Portfolio'!D$2:D2000=""BUY""), INT((ROW()-2)/amortYears)+1), )
"),10.0)</f>
        <v>10</v>
      </c>
      <c r="B378" s="15">
        <f>IFERROR(__xludf.DUMMYFUNCTION("IFERROR(INDEX(FILTER('RE Portfolio'!B$2:B2000,'RE Portfolio'!D$2:D2000=""BUY""), INT((ROW()-2)/amortYears)+1), )
"),46.0)</f>
        <v>46</v>
      </c>
      <c r="C378" s="15">
        <f>IFERROR(__xludf.DUMMYFUNCTION("IFERROR(INDEX(FILTER('RE Portfolio'!G$2:G2000,'RE Portfolio'!D$2:D2000=""BUY""), INT((ROW()-2)/amortYears)+1), )
"),387353.5644555214)</f>
        <v>387353.5645</v>
      </c>
      <c r="D378" s="15">
        <f>MOD(ROW()-2, amortYears)+1</f>
        <v>35</v>
      </c>
      <c r="E378" s="15">
        <f t="shared" si="1"/>
        <v>80</v>
      </c>
      <c r="F378" s="15">
        <f t="shared" si="2"/>
        <v>0</v>
      </c>
      <c r="G378" s="15">
        <f>IF(D378&lt;=mortTerm, -PMT(mortRate/12, mortTerm*12, C378)*12, 0)
</f>
        <v>0</v>
      </c>
      <c r="H378" s="15">
        <f>IF(D378&lt;=mortTerm, G378 - I378, 0)
</f>
        <v>0</v>
      </c>
      <c r="I378" s="15">
        <f>IF(D378&lt;=mortTerm, F378 - J378, 0)
</f>
        <v>0</v>
      </c>
      <c r="J378" s="15">
        <f>IF(D378&lt;=mortTerm,
   F378*(1+mortRate/12)^12 - (-PMT(mortRate/12, mortTerm*12, C378))*(((1+mortRate/12)^12 - 1)/(mortRate/12)),
   0
)
</f>
        <v>0</v>
      </c>
      <c r="K378" s="13">
        <f>IFERROR(__xludf.DUMMYFUNCTION("IF(A378="""","""",
   IF(F378&gt;0,
      INDEX(FILTER('RE Portfolio'!L$2:L2000,'RE Portfolio'!D$2:D2000=""BUY""), INT((ROW()-2)/amortYears)+1) - G378,
      INDEX(FILTER('RE Portfolio'!L$2:L2000,'RE Portfolio'!D$2:D2000=""BUY""), INT((ROW()-2)/amortYears)+1"&amp;")
   )
)
"),38425.47359398773)</f>
        <v>38425.47359</v>
      </c>
      <c r="L378" s="15">
        <f>IFERROR(__xludf.DUMMYFUNCTION("IF(A378="""","""",
  INDEX(FILTER('RE Portfolio'!C$2:C2000,'RE Portfolio'!D$2:D2000=""BUY""), INT((ROW()-2)/amortYears)+1)
  * (1 + VALUE(Assumptions!$B$11))^(D378-1)
)
"),1959655.9455983322)</f>
        <v>1959655.946</v>
      </c>
    </row>
    <row r="379">
      <c r="A379" s="15">
        <f>IFERROR(__xludf.DUMMYFUNCTION("IFERROR(INDEX(FILTER('RE Portfolio'!A$2:A2000,'RE Portfolio'!D$2:D2000=""BUY""), INT((ROW()-2)/amortYears)+1), )
"),10.0)</f>
        <v>10</v>
      </c>
      <c r="B379" s="15">
        <f>IFERROR(__xludf.DUMMYFUNCTION("IFERROR(INDEX(FILTER('RE Portfolio'!B$2:B2000,'RE Portfolio'!D$2:D2000=""BUY""), INT((ROW()-2)/amortYears)+1), )
"),46.0)</f>
        <v>46</v>
      </c>
      <c r="C379" s="15">
        <f>IFERROR(__xludf.DUMMYFUNCTION("IFERROR(INDEX(FILTER('RE Portfolio'!G$2:G2000,'RE Portfolio'!D$2:D2000=""BUY""), INT((ROW()-2)/amortYears)+1), )
"),387353.5644555214)</f>
        <v>387353.5645</v>
      </c>
      <c r="D379" s="15">
        <f>MOD(ROW()-2, amortYears)+1</f>
        <v>36</v>
      </c>
      <c r="E379" s="15">
        <f t="shared" si="1"/>
        <v>81</v>
      </c>
      <c r="F379" s="15">
        <f t="shared" si="2"/>
        <v>0</v>
      </c>
      <c r="G379" s="15">
        <f>IF(D379&lt;=mortTerm, -PMT(mortRate/12, mortTerm*12, C379)*12, 0)
</f>
        <v>0</v>
      </c>
      <c r="H379" s="15">
        <f>IF(D379&lt;=mortTerm, G379 - I379, 0)
</f>
        <v>0</v>
      </c>
      <c r="I379" s="15">
        <f>IF(D379&lt;=mortTerm, F379 - J379, 0)
</f>
        <v>0</v>
      </c>
      <c r="J379" s="15">
        <f>IF(D379&lt;=mortTerm,
   F379*(1+mortRate/12)^12 - (-PMT(mortRate/12, mortTerm*12, C379))*(((1+mortRate/12)^12 - 1)/(mortRate/12)),
   0
)
</f>
        <v>0</v>
      </c>
      <c r="K379" s="13">
        <f>IFERROR(__xludf.DUMMYFUNCTION("IF(A379="""","""",
   IF(F379&gt;0,
      INDEX(FILTER('RE Portfolio'!L$2:L2000,'RE Portfolio'!D$2:D2000=""BUY""), INT((ROW()-2)/amortYears)+1) - G379,
      INDEX(FILTER('RE Portfolio'!L$2:L2000,'RE Portfolio'!D$2:D2000=""BUY""), INT((ROW()-2)/amortYears)+1"&amp;")
   )
)
"),38425.47359398773)</f>
        <v>38425.47359</v>
      </c>
      <c r="L379" s="15">
        <f>IFERROR(__xludf.DUMMYFUNCTION("IF(A379="""","""",
  INDEX(FILTER('RE Portfolio'!C$2:C2000,'RE Portfolio'!D$2:D2000=""BUY""), INT((ROW()-2)/amortYears)+1)
  * (1 + VALUE(Assumptions!$B$11))^(D379-1)
)
"),2038042.1834222656)</f>
        <v>2038042.183</v>
      </c>
    </row>
    <row r="380">
      <c r="A380" s="15">
        <f>IFERROR(__xludf.DUMMYFUNCTION("IFERROR(INDEX(FILTER('RE Portfolio'!A$2:A2000,'RE Portfolio'!D$2:D2000=""BUY""), INT((ROW()-2)/amortYears)+1), )
"),10.0)</f>
        <v>10</v>
      </c>
      <c r="B380" s="15">
        <f>IFERROR(__xludf.DUMMYFUNCTION("IFERROR(INDEX(FILTER('RE Portfolio'!B$2:B2000,'RE Portfolio'!D$2:D2000=""BUY""), INT((ROW()-2)/amortYears)+1), )
"),46.0)</f>
        <v>46</v>
      </c>
      <c r="C380" s="15">
        <f>IFERROR(__xludf.DUMMYFUNCTION("IFERROR(INDEX(FILTER('RE Portfolio'!G$2:G2000,'RE Portfolio'!D$2:D2000=""BUY""), INT((ROW()-2)/amortYears)+1), )
"),387353.5644555214)</f>
        <v>387353.5645</v>
      </c>
      <c r="D380" s="15">
        <f>MOD(ROW()-2, amortYears)+1</f>
        <v>37</v>
      </c>
      <c r="E380" s="15">
        <f t="shared" si="1"/>
        <v>82</v>
      </c>
      <c r="F380" s="15">
        <f t="shared" si="2"/>
        <v>0</v>
      </c>
      <c r="G380" s="15">
        <f>IF(D380&lt;=mortTerm, -PMT(mortRate/12, mortTerm*12, C380)*12, 0)
</f>
        <v>0</v>
      </c>
      <c r="H380" s="15">
        <f>IF(D380&lt;=mortTerm, G380 - I380, 0)
</f>
        <v>0</v>
      </c>
      <c r="I380" s="15">
        <f>IF(D380&lt;=mortTerm, F380 - J380, 0)
</f>
        <v>0</v>
      </c>
      <c r="J380" s="15">
        <f>IF(D380&lt;=mortTerm,
   F380*(1+mortRate/12)^12 - (-PMT(mortRate/12, mortTerm*12, C380))*(((1+mortRate/12)^12 - 1)/(mortRate/12)),
   0
)
</f>
        <v>0</v>
      </c>
      <c r="K380" s="13">
        <f>IFERROR(__xludf.DUMMYFUNCTION("IF(A380="""","""",
   IF(F380&gt;0,
      INDEX(FILTER('RE Portfolio'!L$2:L2000,'RE Portfolio'!D$2:D2000=""BUY""), INT((ROW()-2)/amortYears)+1) - G380,
      INDEX(FILTER('RE Portfolio'!L$2:L2000,'RE Portfolio'!D$2:D2000=""BUY""), INT((ROW()-2)/amortYears)+1"&amp;")
   )
)
"),38425.47359398773)</f>
        <v>38425.47359</v>
      </c>
      <c r="L380" s="15">
        <f>IFERROR(__xludf.DUMMYFUNCTION("IF(A380="""","""",
  INDEX(FILTER('RE Portfolio'!C$2:C2000,'RE Portfolio'!D$2:D2000=""BUY""), INT((ROW()-2)/amortYears)+1)
  * (1 + VALUE(Assumptions!$B$11))^(D380-1)
)
"),2119563.8707591565)</f>
        <v>2119563.871</v>
      </c>
    </row>
    <row r="381">
      <c r="A381" s="15">
        <f>IFERROR(__xludf.DUMMYFUNCTION("IFERROR(INDEX(FILTER('RE Portfolio'!A$2:A2000,'RE Portfolio'!D$2:D2000=""BUY""), INT((ROW()-2)/amortYears)+1), )
"),10.0)</f>
        <v>10</v>
      </c>
      <c r="B381" s="15">
        <f>IFERROR(__xludf.DUMMYFUNCTION("IFERROR(INDEX(FILTER('RE Portfolio'!B$2:B2000,'RE Portfolio'!D$2:D2000=""BUY""), INT((ROW()-2)/amortYears)+1), )
"),46.0)</f>
        <v>46</v>
      </c>
      <c r="C381" s="15">
        <f>IFERROR(__xludf.DUMMYFUNCTION("IFERROR(INDEX(FILTER('RE Portfolio'!G$2:G2000,'RE Portfolio'!D$2:D2000=""BUY""), INT((ROW()-2)/amortYears)+1), )
"),387353.5644555214)</f>
        <v>387353.5645</v>
      </c>
      <c r="D381" s="15">
        <f>MOD(ROW()-2, amortYears)+1</f>
        <v>38</v>
      </c>
      <c r="E381" s="15">
        <f t="shared" si="1"/>
        <v>83</v>
      </c>
      <c r="F381" s="15">
        <f t="shared" si="2"/>
        <v>0</v>
      </c>
      <c r="G381" s="15">
        <f>IF(D381&lt;=mortTerm, -PMT(mortRate/12, mortTerm*12, C381)*12, 0)
</f>
        <v>0</v>
      </c>
      <c r="H381" s="15">
        <f>IF(D381&lt;=mortTerm, G381 - I381, 0)
</f>
        <v>0</v>
      </c>
      <c r="I381" s="15">
        <f>IF(D381&lt;=mortTerm, F381 - J381, 0)
</f>
        <v>0</v>
      </c>
      <c r="J381" s="15">
        <f>IF(D381&lt;=mortTerm,
   F381*(1+mortRate/12)^12 - (-PMT(mortRate/12, mortTerm*12, C381))*(((1+mortRate/12)^12 - 1)/(mortRate/12)),
   0
)
</f>
        <v>0</v>
      </c>
      <c r="K381" s="13">
        <f>IFERROR(__xludf.DUMMYFUNCTION("IF(A381="""","""",
   IF(F381&gt;0,
      INDEX(FILTER('RE Portfolio'!L$2:L2000,'RE Portfolio'!D$2:D2000=""BUY""), INT((ROW()-2)/amortYears)+1) - G381,
      INDEX(FILTER('RE Portfolio'!L$2:L2000,'RE Portfolio'!D$2:D2000=""BUY""), INT((ROW()-2)/amortYears)+1"&amp;")
   )
)
"),38425.47359398773)</f>
        <v>38425.47359</v>
      </c>
      <c r="L381" s="15">
        <f>IFERROR(__xludf.DUMMYFUNCTION("IF(A381="""","""",
  INDEX(FILTER('RE Portfolio'!C$2:C2000,'RE Portfolio'!D$2:D2000=""BUY""), INT((ROW()-2)/amortYears)+1)
  * (1 + VALUE(Assumptions!$B$11))^(D381-1)
)
"),2204346.4255895223)</f>
        <v>2204346.426</v>
      </c>
    </row>
    <row r="382">
      <c r="A382" s="15">
        <f>IFERROR(__xludf.DUMMYFUNCTION("IFERROR(INDEX(FILTER('RE Portfolio'!A$2:A2000,'RE Portfolio'!D$2:D2000=""BUY""), INT((ROW()-2)/amortYears)+1), )
"),11.0)</f>
        <v>11</v>
      </c>
      <c r="B382" s="15">
        <f>IFERROR(__xludf.DUMMYFUNCTION("IFERROR(INDEX(FILTER('RE Portfolio'!B$2:B2000,'RE Portfolio'!D$2:D2000=""BUY""), INT((ROW()-2)/amortYears)+1), )
"),48.0)</f>
        <v>48</v>
      </c>
      <c r="C382" s="15">
        <f>IFERROR(__xludf.DUMMYFUNCTION("IFERROR(INDEX(FILTER('RE Portfolio'!G$2:G2000,'RE Portfolio'!D$2:D2000=""BUY""), INT((ROW()-2)/amortYears)+1), )
"),406963.3386560821)</f>
        <v>406963.3387</v>
      </c>
      <c r="D382" s="15">
        <f>MOD(ROW()-2, amortYears)+1</f>
        <v>1</v>
      </c>
      <c r="E382" s="15">
        <f t="shared" si="1"/>
        <v>48</v>
      </c>
      <c r="F382" s="15">
        <f t="shared" si="2"/>
        <v>406963.3387</v>
      </c>
      <c r="G382" s="16">
        <f>IF(D382&lt;=mortTerm, -PMT(mortRate/12, mortTerm*12, C382)*12, 0)
</f>
        <v>30867.42157</v>
      </c>
      <c r="H382" s="16">
        <f>IF(D382&lt;=mortTerm, G382 - I382, 0)
</f>
        <v>26318.68869</v>
      </c>
      <c r="I382" s="16">
        <f>IF(D382&lt;=mortTerm, F382 - J382, 0)
</f>
        <v>4548.732885</v>
      </c>
      <c r="J382" s="16">
        <f>IF(D382&lt;=mortTerm,
   F382*(1+mortRate/12)^12 - (-PMT(mortRate/12, mortTerm*12, C382))*(((1+mortRate/12)^12 - 1)/(mortRate/12)),
   0
)
</f>
        <v>402414.6058</v>
      </c>
      <c r="K382" s="13">
        <f>IFERROR(__xludf.DUMMYFUNCTION("IF(A382="""","""",
   IF(F382&gt;0,
      INDEX(FILTER('RE Portfolio'!L$2:L2000,'RE Portfolio'!D$2:D2000=""BUY""), INT((ROW()-2)/amortYears)+1) - G382,
      INDEX(FILTER('RE Portfolio'!L$2:L2000,'RE Portfolio'!D$2:D2000=""BUY""), INT((ROW()-2)/amortYears)+1"&amp;")
   )
)
"),9503.341622869564)</f>
        <v>9503.341623</v>
      </c>
      <c r="L382" s="15">
        <f>IFERROR(__xludf.DUMMYFUNCTION("IF(A382="""","""",
  INDEX(FILTER('RE Portfolio'!C$2:C2000,'RE Portfolio'!D$2:D2000=""BUY""), INT((ROW()-2)/amortYears)+1)
  * (1 + VALUE(Assumptions!$B$11))^(D382-1)
)
"),542617.7848747761)</f>
        <v>542617.7849</v>
      </c>
    </row>
    <row r="383">
      <c r="A383" s="15">
        <f>IFERROR(__xludf.DUMMYFUNCTION("IFERROR(INDEX(FILTER('RE Portfolio'!A$2:A2000,'RE Portfolio'!D$2:D2000=""BUY""), INT((ROW()-2)/amortYears)+1), )
"),11.0)</f>
        <v>11</v>
      </c>
      <c r="B383" s="15">
        <f>IFERROR(__xludf.DUMMYFUNCTION("IFERROR(INDEX(FILTER('RE Portfolio'!B$2:B2000,'RE Portfolio'!D$2:D2000=""BUY""), INT((ROW()-2)/amortYears)+1), )
"),48.0)</f>
        <v>48</v>
      </c>
      <c r="C383" s="15">
        <f>IFERROR(__xludf.DUMMYFUNCTION("IFERROR(INDEX(FILTER('RE Portfolio'!G$2:G2000,'RE Portfolio'!D$2:D2000=""BUY""), INT((ROW()-2)/amortYears)+1), )
"),406963.3386560821)</f>
        <v>406963.3387</v>
      </c>
      <c r="D383" s="15">
        <f>MOD(ROW()-2, amortYears)+1</f>
        <v>2</v>
      </c>
      <c r="E383" s="15">
        <f t="shared" si="1"/>
        <v>49</v>
      </c>
      <c r="F383" s="16">
        <f t="shared" si="2"/>
        <v>402414.6058</v>
      </c>
      <c r="G383" s="16">
        <f>IF(D383&lt;=mortTerm, -PMT(mortRate/12, mortTerm*12, C383)*12, 0)
</f>
        <v>30867.42157</v>
      </c>
      <c r="H383" s="16">
        <f>IF(D383&lt;=mortTerm, G383 - I383, 0)
</f>
        <v>26014.05162</v>
      </c>
      <c r="I383" s="16">
        <f>IF(D383&lt;=mortTerm, F383 - J383, 0)
</f>
        <v>4853.369951</v>
      </c>
      <c r="J383" s="16">
        <f>IF(D383&lt;=mortTerm,
   F383*(1+mortRate/12)^12 - (-PMT(mortRate/12, mortTerm*12, C383))*(((1+mortRate/12)^12 - 1)/(mortRate/12)),
   0
)
</f>
        <v>397561.2358</v>
      </c>
      <c r="K383" s="13">
        <f>IFERROR(__xludf.DUMMYFUNCTION("IF(A383="""","""",
   IF(F383&gt;0,
      INDEX(FILTER('RE Portfolio'!L$2:L2000,'RE Portfolio'!D$2:D2000=""BUY""), INT((ROW()-2)/amortYears)+1) - G383,
      INDEX(FILTER('RE Portfolio'!L$2:L2000,'RE Portfolio'!D$2:D2000=""BUY""), INT((ROW()-2)/amortYears)+1"&amp;")
   )
)
"),9503.341622869564)</f>
        <v>9503.341623</v>
      </c>
      <c r="L383" s="15">
        <f>IFERROR(__xludf.DUMMYFUNCTION("IF(A383="""","""",
  INDEX(FILTER('RE Portfolio'!C$2:C2000,'RE Portfolio'!D$2:D2000=""BUY""), INT((ROW()-2)/amortYears)+1)
  * (1 + VALUE(Assumptions!$B$11))^(D383-1)
)
"),564322.4962697672)</f>
        <v>564322.4963</v>
      </c>
    </row>
    <row r="384">
      <c r="A384" s="15">
        <f>IFERROR(__xludf.DUMMYFUNCTION("IFERROR(INDEX(FILTER('RE Portfolio'!A$2:A2000,'RE Portfolio'!D$2:D2000=""BUY""), INT((ROW()-2)/amortYears)+1), )
"),11.0)</f>
        <v>11</v>
      </c>
      <c r="B384" s="15">
        <f>IFERROR(__xludf.DUMMYFUNCTION("IFERROR(INDEX(FILTER('RE Portfolio'!B$2:B2000,'RE Portfolio'!D$2:D2000=""BUY""), INT((ROW()-2)/amortYears)+1), )
"),48.0)</f>
        <v>48</v>
      </c>
      <c r="C384" s="15">
        <f>IFERROR(__xludf.DUMMYFUNCTION("IFERROR(INDEX(FILTER('RE Portfolio'!G$2:G2000,'RE Portfolio'!D$2:D2000=""BUY""), INT((ROW()-2)/amortYears)+1), )
"),406963.3386560821)</f>
        <v>406963.3387</v>
      </c>
      <c r="D384" s="15">
        <f>MOD(ROW()-2, amortYears)+1</f>
        <v>3</v>
      </c>
      <c r="E384" s="15">
        <f t="shared" si="1"/>
        <v>50</v>
      </c>
      <c r="F384" s="16">
        <f t="shared" si="2"/>
        <v>397561.2358</v>
      </c>
      <c r="G384" s="16">
        <f>IF(D384&lt;=mortTerm, -PMT(mortRate/12, mortTerm*12, C384)*12, 0)
</f>
        <v>30867.42157</v>
      </c>
      <c r="H384" s="16">
        <f>IF(D384&lt;=mortTerm, G384 - I384, 0)
</f>
        <v>25689.01245</v>
      </c>
      <c r="I384" s="16">
        <f>IF(D384&lt;=mortTerm, F384 - J384, 0)
</f>
        <v>5178.409125</v>
      </c>
      <c r="J384" s="16">
        <f>IF(D384&lt;=mortTerm,
   F384*(1+mortRate/12)^12 - (-PMT(mortRate/12, mortTerm*12, C384))*(((1+mortRate/12)^12 - 1)/(mortRate/12)),
   0
)
</f>
        <v>392382.8267</v>
      </c>
      <c r="K384" s="13">
        <f>IFERROR(__xludf.DUMMYFUNCTION("IF(A384="""","""",
   IF(F384&gt;0,
      INDEX(FILTER('RE Portfolio'!L$2:L2000,'RE Portfolio'!D$2:D2000=""BUY""), INT((ROW()-2)/amortYears)+1) - G384,
      INDEX(FILTER('RE Portfolio'!L$2:L2000,'RE Portfolio'!D$2:D2000=""BUY""), INT((ROW()-2)/amortYears)+1"&amp;")
   )
)
"),9503.341622869564)</f>
        <v>9503.341623</v>
      </c>
      <c r="L384" s="15">
        <f>IFERROR(__xludf.DUMMYFUNCTION("IF(A384="""","""",
  INDEX(FILTER('RE Portfolio'!C$2:C2000,'RE Portfolio'!D$2:D2000=""BUY""), INT((ROW()-2)/amortYears)+1)
  * (1 + VALUE(Assumptions!$B$11))^(D384-1)
)
"),586895.3961205579)</f>
        <v>586895.3961</v>
      </c>
    </row>
    <row r="385">
      <c r="A385" s="15">
        <f>IFERROR(__xludf.DUMMYFUNCTION("IFERROR(INDEX(FILTER('RE Portfolio'!A$2:A2000,'RE Portfolio'!D$2:D2000=""BUY""), INT((ROW()-2)/amortYears)+1), )
"),11.0)</f>
        <v>11</v>
      </c>
      <c r="B385" s="15">
        <f>IFERROR(__xludf.DUMMYFUNCTION("IFERROR(INDEX(FILTER('RE Portfolio'!B$2:B2000,'RE Portfolio'!D$2:D2000=""BUY""), INT((ROW()-2)/amortYears)+1), )
"),48.0)</f>
        <v>48</v>
      </c>
      <c r="C385" s="15">
        <f>IFERROR(__xludf.DUMMYFUNCTION("IFERROR(INDEX(FILTER('RE Portfolio'!G$2:G2000,'RE Portfolio'!D$2:D2000=""BUY""), INT((ROW()-2)/amortYears)+1), )
"),406963.3386560821)</f>
        <v>406963.3387</v>
      </c>
      <c r="D385" s="15">
        <f>MOD(ROW()-2, amortYears)+1</f>
        <v>4</v>
      </c>
      <c r="E385" s="15">
        <f t="shared" si="1"/>
        <v>51</v>
      </c>
      <c r="F385" s="16">
        <f t="shared" si="2"/>
        <v>392382.8267</v>
      </c>
      <c r="G385" s="16">
        <f>IF(D385&lt;=mortTerm, -PMT(mortRate/12, mortTerm*12, C385)*12, 0)
</f>
        <v>30867.42157</v>
      </c>
      <c r="H385" s="16">
        <f>IF(D385&lt;=mortTerm, G385 - I385, 0)
</f>
        <v>25342.2048</v>
      </c>
      <c r="I385" s="16">
        <f>IF(D385&lt;=mortTerm, F385 - J385, 0)
</f>
        <v>5525.216775</v>
      </c>
      <c r="J385" s="16">
        <f>IF(D385&lt;=mortTerm,
   F385*(1+mortRate/12)^12 - (-PMT(mortRate/12, mortTerm*12, C385))*(((1+mortRate/12)^12 - 1)/(mortRate/12)),
   0
)
</f>
        <v>386857.6099</v>
      </c>
      <c r="K385" s="13">
        <f>IFERROR(__xludf.DUMMYFUNCTION("IF(A385="""","""",
   IF(F385&gt;0,
      INDEX(FILTER('RE Portfolio'!L$2:L2000,'RE Portfolio'!D$2:D2000=""BUY""), INT((ROW()-2)/amortYears)+1) - G385,
      INDEX(FILTER('RE Portfolio'!L$2:L2000,'RE Portfolio'!D$2:D2000=""BUY""), INT((ROW()-2)/amortYears)+1"&amp;")
   )
)
"),9503.341622869564)</f>
        <v>9503.341623</v>
      </c>
      <c r="L385" s="15">
        <f>IFERROR(__xludf.DUMMYFUNCTION("IF(A385="""","""",
  INDEX(FILTER('RE Portfolio'!C$2:C2000,'RE Portfolio'!D$2:D2000=""BUY""), INT((ROW()-2)/amortYears)+1)
  * (1 + VALUE(Assumptions!$B$11))^(D385-1)
)
"),610371.2119653802)</f>
        <v>610371.212</v>
      </c>
    </row>
    <row r="386">
      <c r="A386" s="15">
        <f>IFERROR(__xludf.DUMMYFUNCTION("IFERROR(INDEX(FILTER('RE Portfolio'!A$2:A2000,'RE Portfolio'!D$2:D2000=""BUY""), INT((ROW()-2)/amortYears)+1), )
"),11.0)</f>
        <v>11</v>
      </c>
      <c r="B386" s="15">
        <f>IFERROR(__xludf.DUMMYFUNCTION("IFERROR(INDEX(FILTER('RE Portfolio'!B$2:B2000,'RE Portfolio'!D$2:D2000=""BUY""), INT((ROW()-2)/amortYears)+1), )
"),48.0)</f>
        <v>48</v>
      </c>
      <c r="C386" s="15">
        <f>IFERROR(__xludf.DUMMYFUNCTION("IFERROR(INDEX(FILTER('RE Portfolio'!G$2:G2000,'RE Portfolio'!D$2:D2000=""BUY""), INT((ROW()-2)/amortYears)+1), )
"),406963.3386560821)</f>
        <v>406963.3387</v>
      </c>
      <c r="D386" s="15">
        <f>MOD(ROW()-2, amortYears)+1</f>
        <v>5</v>
      </c>
      <c r="E386" s="15">
        <f t="shared" si="1"/>
        <v>52</v>
      </c>
      <c r="F386" s="16">
        <f t="shared" si="2"/>
        <v>386857.6099</v>
      </c>
      <c r="G386" s="16">
        <f>IF(D386&lt;=mortTerm, -PMT(mortRate/12, mortTerm*12, C386)*12, 0)
</f>
        <v>30867.42157</v>
      </c>
      <c r="H386" s="16">
        <f>IF(D386&lt;=mortTerm, G386 - I386, 0)
</f>
        <v>24972.1708</v>
      </c>
      <c r="I386" s="16">
        <f>IF(D386&lt;=mortTerm, F386 - J386, 0)
</f>
        <v>5895.250775</v>
      </c>
      <c r="J386" s="16">
        <f>IF(D386&lt;=mortTerm,
   F386*(1+mortRate/12)^12 - (-PMT(mortRate/12, mortTerm*12, C386))*(((1+mortRate/12)^12 - 1)/(mortRate/12)),
   0
)
</f>
        <v>380962.3591</v>
      </c>
      <c r="K386" s="13">
        <f>IFERROR(__xludf.DUMMYFUNCTION("IF(A386="""","""",
   IF(F386&gt;0,
      INDEX(FILTER('RE Portfolio'!L$2:L2000,'RE Portfolio'!D$2:D2000=""BUY""), INT((ROW()-2)/amortYears)+1) - G386,
      INDEX(FILTER('RE Portfolio'!L$2:L2000,'RE Portfolio'!D$2:D2000=""BUY""), INT((ROW()-2)/amortYears)+1"&amp;")
   )
)
"),9503.341622869564)</f>
        <v>9503.341623</v>
      </c>
      <c r="L386" s="15">
        <f>IFERROR(__xludf.DUMMYFUNCTION("IF(A386="""","""",
  INDEX(FILTER('RE Portfolio'!C$2:C2000,'RE Portfolio'!D$2:D2000=""BUY""), INT((ROW()-2)/amortYears)+1)
  * (1 + VALUE(Assumptions!$B$11))^(D386-1)
)
"),634786.0604439955)</f>
        <v>634786.0604</v>
      </c>
    </row>
    <row r="387">
      <c r="A387" s="15">
        <f>IFERROR(__xludf.DUMMYFUNCTION("IFERROR(INDEX(FILTER('RE Portfolio'!A$2:A2000,'RE Portfolio'!D$2:D2000=""BUY""), INT((ROW()-2)/amortYears)+1), )
"),11.0)</f>
        <v>11</v>
      </c>
      <c r="B387" s="15">
        <f>IFERROR(__xludf.DUMMYFUNCTION("IFERROR(INDEX(FILTER('RE Portfolio'!B$2:B2000,'RE Portfolio'!D$2:D2000=""BUY""), INT((ROW()-2)/amortYears)+1), )
"),48.0)</f>
        <v>48</v>
      </c>
      <c r="C387" s="15">
        <f>IFERROR(__xludf.DUMMYFUNCTION("IFERROR(INDEX(FILTER('RE Portfolio'!G$2:G2000,'RE Portfolio'!D$2:D2000=""BUY""), INT((ROW()-2)/amortYears)+1), )
"),406963.3386560821)</f>
        <v>406963.3387</v>
      </c>
      <c r="D387" s="15">
        <f>MOD(ROW()-2, amortYears)+1</f>
        <v>6</v>
      </c>
      <c r="E387" s="15">
        <f t="shared" si="1"/>
        <v>53</v>
      </c>
      <c r="F387" s="16">
        <f t="shared" si="2"/>
        <v>380962.3591</v>
      </c>
      <c r="G387" s="16">
        <f>IF(D387&lt;=mortTerm, -PMT(mortRate/12, mortTerm*12, C387)*12, 0)
</f>
        <v>30867.42157</v>
      </c>
      <c r="H387" s="16">
        <f>IF(D387&lt;=mortTerm, G387 - I387, 0)
</f>
        <v>24577.35493</v>
      </c>
      <c r="I387" s="16">
        <f>IF(D387&lt;=mortTerm, F387 - J387, 0)
</f>
        <v>6290.066637</v>
      </c>
      <c r="J387" s="16">
        <f>IF(D387&lt;=mortTerm,
   F387*(1+mortRate/12)^12 - (-PMT(mortRate/12, mortTerm*12, C387))*(((1+mortRate/12)^12 - 1)/(mortRate/12)),
   0
)
</f>
        <v>374672.2925</v>
      </c>
      <c r="K387" s="13">
        <f>IFERROR(__xludf.DUMMYFUNCTION("IF(A387="""","""",
   IF(F387&gt;0,
      INDEX(FILTER('RE Portfolio'!L$2:L2000,'RE Portfolio'!D$2:D2000=""BUY""), INT((ROW()-2)/amortYears)+1) - G387,
      INDEX(FILTER('RE Portfolio'!L$2:L2000,'RE Portfolio'!D$2:D2000=""BUY""), INT((ROW()-2)/amortYears)+1"&amp;")
   )
)
"),9503.341622869564)</f>
        <v>9503.341623</v>
      </c>
      <c r="L387" s="15">
        <f>IFERROR(__xludf.DUMMYFUNCTION("IF(A387="""","""",
  INDEX(FILTER('RE Portfolio'!C$2:C2000,'RE Portfolio'!D$2:D2000=""BUY""), INT((ROW()-2)/amortYears)+1)
  * (1 + VALUE(Assumptions!$B$11))^(D387-1)
)
"),660177.5028617553)</f>
        <v>660177.5029</v>
      </c>
    </row>
    <row r="388">
      <c r="A388" s="15">
        <f>IFERROR(__xludf.DUMMYFUNCTION("IFERROR(INDEX(FILTER('RE Portfolio'!A$2:A2000,'RE Portfolio'!D$2:D2000=""BUY""), INT((ROW()-2)/amortYears)+1), )
"),11.0)</f>
        <v>11</v>
      </c>
      <c r="B388" s="15">
        <f>IFERROR(__xludf.DUMMYFUNCTION("IFERROR(INDEX(FILTER('RE Portfolio'!B$2:B2000,'RE Portfolio'!D$2:D2000=""BUY""), INT((ROW()-2)/amortYears)+1), )
"),48.0)</f>
        <v>48</v>
      </c>
      <c r="C388" s="15">
        <f>IFERROR(__xludf.DUMMYFUNCTION("IFERROR(INDEX(FILTER('RE Portfolio'!G$2:G2000,'RE Portfolio'!D$2:D2000=""BUY""), INT((ROW()-2)/amortYears)+1), )
"),406963.3386560821)</f>
        <v>406963.3387</v>
      </c>
      <c r="D388" s="15">
        <f>MOD(ROW()-2, amortYears)+1</f>
        <v>7</v>
      </c>
      <c r="E388" s="15">
        <f t="shared" si="1"/>
        <v>54</v>
      </c>
      <c r="F388" s="16">
        <f t="shared" si="2"/>
        <v>374672.2925</v>
      </c>
      <c r="G388" s="16">
        <f>IF(D388&lt;=mortTerm, -PMT(mortRate/12, mortTerm*12, C388)*12, 0)
</f>
        <v>30867.42157</v>
      </c>
      <c r="H388" s="16">
        <f>IF(D388&lt;=mortTerm, G388 - I388, 0)
</f>
        <v>24156.09752</v>
      </c>
      <c r="I388" s="16">
        <f>IF(D388&lt;=mortTerm, F388 - J388, 0)
</f>
        <v>6711.324049</v>
      </c>
      <c r="J388" s="16">
        <f>IF(D388&lt;=mortTerm,
   F388*(1+mortRate/12)^12 - (-PMT(mortRate/12, mortTerm*12, C388))*(((1+mortRate/12)^12 - 1)/(mortRate/12)),
   0
)
</f>
        <v>367960.9685</v>
      </c>
      <c r="K388" s="13">
        <f>IFERROR(__xludf.DUMMYFUNCTION("IF(A388="""","""",
   IF(F388&gt;0,
      INDEX(FILTER('RE Portfolio'!L$2:L2000,'RE Portfolio'!D$2:D2000=""BUY""), INT((ROW()-2)/amortYears)+1) - G388,
      INDEX(FILTER('RE Portfolio'!L$2:L2000,'RE Portfolio'!D$2:D2000=""BUY""), INT((ROW()-2)/amortYears)+1"&amp;")
   )
)
"),9503.341622869564)</f>
        <v>9503.341623</v>
      </c>
      <c r="L388" s="15">
        <f>IFERROR(__xludf.DUMMYFUNCTION("IF(A388="""","""",
  INDEX(FILTER('RE Portfolio'!C$2:C2000,'RE Portfolio'!D$2:D2000=""BUY""), INT((ROW()-2)/amortYears)+1)
  * (1 + VALUE(Assumptions!$B$11))^(D388-1)
)
"),686584.6029762257)</f>
        <v>686584.603</v>
      </c>
    </row>
    <row r="389">
      <c r="A389" s="15">
        <f>IFERROR(__xludf.DUMMYFUNCTION("IFERROR(INDEX(FILTER('RE Portfolio'!A$2:A2000,'RE Portfolio'!D$2:D2000=""BUY""), INT((ROW()-2)/amortYears)+1), )
"),11.0)</f>
        <v>11</v>
      </c>
      <c r="B389" s="15">
        <f>IFERROR(__xludf.DUMMYFUNCTION("IFERROR(INDEX(FILTER('RE Portfolio'!B$2:B2000,'RE Portfolio'!D$2:D2000=""BUY""), INT((ROW()-2)/amortYears)+1), )
"),48.0)</f>
        <v>48</v>
      </c>
      <c r="C389" s="15">
        <f>IFERROR(__xludf.DUMMYFUNCTION("IFERROR(INDEX(FILTER('RE Portfolio'!G$2:G2000,'RE Portfolio'!D$2:D2000=""BUY""), INT((ROW()-2)/amortYears)+1), )
"),406963.3386560821)</f>
        <v>406963.3387</v>
      </c>
      <c r="D389" s="15">
        <f>MOD(ROW()-2, amortYears)+1</f>
        <v>8</v>
      </c>
      <c r="E389" s="15">
        <f t="shared" si="1"/>
        <v>55</v>
      </c>
      <c r="F389" s="16">
        <f t="shared" si="2"/>
        <v>367960.9685</v>
      </c>
      <c r="G389" s="16">
        <f>IF(D389&lt;=mortTerm, -PMT(mortRate/12, mortTerm*12, C389)*12, 0)
</f>
        <v>30867.42157</v>
      </c>
      <c r="H389" s="16">
        <f>IF(D389&lt;=mortTerm, G389 - I389, 0)
</f>
        <v>23706.62772</v>
      </c>
      <c r="I389" s="16">
        <f>IF(D389&lt;=mortTerm, F389 - J389, 0)
</f>
        <v>7160.79385</v>
      </c>
      <c r="J389" s="16">
        <f>IF(D389&lt;=mortTerm,
   F389*(1+mortRate/12)^12 - (-PMT(mortRate/12, mortTerm*12, C389))*(((1+mortRate/12)^12 - 1)/(mortRate/12)),
   0
)
</f>
        <v>360800.1746</v>
      </c>
      <c r="K389" s="13">
        <f>IFERROR(__xludf.DUMMYFUNCTION("IF(A389="""","""",
   IF(F389&gt;0,
      INDEX(FILTER('RE Portfolio'!L$2:L2000,'RE Portfolio'!D$2:D2000=""BUY""), INT((ROW()-2)/amortYears)+1) - G389,
      INDEX(FILTER('RE Portfolio'!L$2:L2000,'RE Portfolio'!D$2:D2000=""BUY""), INT((ROW()-2)/amortYears)+1"&amp;")
   )
)
"),9503.341622869564)</f>
        <v>9503.341623</v>
      </c>
      <c r="L389" s="15">
        <f>IFERROR(__xludf.DUMMYFUNCTION("IF(A389="""","""",
  INDEX(FILTER('RE Portfolio'!C$2:C2000,'RE Portfolio'!D$2:D2000=""BUY""), INT((ROW()-2)/amortYears)+1)
  * (1 + VALUE(Assumptions!$B$11))^(D389-1)
)
"),714047.9870952746)</f>
        <v>714047.9871</v>
      </c>
    </row>
    <row r="390">
      <c r="A390" s="15">
        <f>IFERROR(__xludf.DUMMYFUNCTION("IFERROR(INDEX(FILTER('RE Portfolio'!A$2:A2000,'RE Portfolio'!D$2:D2000=""BUY""), INT((ROW()-2)/amortYears)+1), )
"),11.0)</f>
        <v>11</v>
      </c>
      <c r="B390" s="15">
        <f>IFERROR(__xludf.DUMMYFUNCTION("IFERROR(INDEX(FILTER('RE Portfolio'!B$2:B2000,'RE Portfolio'!D$2:D2000=""BUY""), INT((ROW()-2)/amortYears)+1), )
"),48.0)</f>
        <v>48</v>
      </c>
      <c r="C390" s="15">
        <f>IFERROR(__xludf.DUMMYFUNCTION("IFERROR(INDEX(FILTER('RE Portfolio'!G$2:G2000,'RE Portfolio'!D$2:D2000=""BUY""), INT((ROW()-2)/amortYears)+1), )
"),406963.3386560821)</f>
        <v>406963.3387</v>
      </c>
      <c r="D390" s="15">
        <f>MOD(ROW()-2, amortYears)+1</f>
        <v>9</v>
      </c>
      <c r="E390" s="15">
        <f t="shared" si="1"/>
        <v>56</v>
      </c>
      <c r="F390" s="16">
        <f t="shared" si="2"/>
        <v>360800.1746</v>
      </c>
      <c r="G390" s="16">
        <f>IF(D390&lt;=mortTerm, -PMT(mortRate/12, mortTerm*12, C390)*12, 0)
</f>
        <v>30867.42157</v>
      </c>
      <c r="H390" s="16">
        <f>IF(D390&lt;=mortTerm, G390 - I390, 0)
</f>
        <v>23227.0561</v>
      </c>
      <c r="I390" s="16">
        <f>IF(D390&lt;=mortTerm, F390 - J390, 0)
</f>
        <v>7640.365476</v>
      </c>
      <c r="J390" s="16">
        <f>IF(D390&lt;=mortTerm,
   F390*(1+mortRate/12)^12 - (-PMT(mortRate/12, mortTerm*12, C390))*(((1+mortRate/12)^12 - 1)/(mortRate/12)),
   0
)
</f>
        <v>353159.8091</v>
      </c>
      <c r="K390" s="13">
        <f>IFERROR(__xludf.DUMMYFUNCTION("IF(A390="""","""",
   IF(F390&gt;0,
      INDEX(FILTER('RE Portfolio'!L$2:L2000,'RE Portfolio'!D$2:D2000=""BUY""), INT((ROW()-2)/amortYears)+1) - G390,
      INDEX(FILTER('RE Portfolio'!L$2:L2000,'RE Portfolio'!D$2:D2000=""BUY""), INT((ROW()-2)/amortYears)+1"&amp;")
   )
)
"),9503.341622869564)</f>
        <v>9503.341623</v>
      </c>
      <c r="L390" s="15">
        <f>IFERROR(__xludf.DUMMYFUNCTION("IF(A390="""","""",
  INDEX(FILTER('RE Portfolio'!C$2:C2000,'RE Portfolio'!D$2:D2000=""BUY""), INT((ROW()-2)/amortYears)+1)
  * (1 + VALUE(Assumptions!$B$11))^(D390-1)
)
"),742609.9065790856)</f>
        <v>742609.9066</v>
      </c>
    </row>
    <row r="391">
      <c r="A391" s="15">
        <f>IFERROR(__xludf.DUMMYFUNCTION("IFERROR(INDEX(FILTER('RE Portfolio'!A$2:A2000,'RE Portfolio'!D$2:D2000=""BUY""), INT((ROW()-2)/amortYears)+1), )
"),11.0)</f>
        <v>11</v>
      </c>
      <c r="B391" s="15">
        <f>IFERROR(__xludf.DUMMYFUNCTION("IFERROR(INDEX(FILTER('RE Portfolio'!B$2:B2000,'RE Portfolio'!D$2:D2000=""BUY""), INT((ROW()-2)/amortYears)+1), )
"),48.0)</f>
        <v>48</v>
      </c>
      <c r="C391" s="15">
        <f>IFERROR(__xludf.DUMMYFUNCTION("IFERROR(INDEX(FILTER('RE Portfolio'!G$2:G2000,'RE Portfolio'!D$2:D2000=""BUY""), INT((ROW()-2)/amortYears)+1), )
"),406963.3386560821)</f>
        <v>406963.3387</v>
      </c>
      <c r="D391" s="15">
        <f>MOD(ROW()-2, amortYears)+1</f>
        <v>10</v>
      </c>
      <c r="E391" s="15">
        <f t="shared" si="1"/>
        <v>57</v>
      </c>
      <c r="F391" s="16">
        <f t="shared" si="2"/>
        <v>353159.8091</v>
      </c>
      <c r="G391" s="16">
        <f>IF(D391&lt;=mortTerm, -PMT(mortRate/12, mortTerm*12, C391)*12, 0)
</f>
        <v>30867.42157</v>
      </c>
      <c r="H391" s="16">
        <f>IF(D391&lt;=mortTerm, G391 - I391, 0)
</f>
        <v>22715.36667</v>
      </c>
      <c r="I391" s="16">
        <f>IF(D391&lt;=mortTerm, F391 - J391, 0)
</f>
        <v>8152.054902</v>
      </c>
      <c r="J391" s="16">
        <f>IF(D391&lt;=mortTerm,
   F391*(1+mortRate/12)^12 - (-PMT(mortRate/12, mortTerm*12, C391))*(((1+mortRate/12)^12 - 1)/(mortRate/12)),
   0
)
</f>
        <v>345007.7542</v>
      </c>
      <c r="K391" s="13">
        <f>IFERROR(__xludf.DUMMYFUNCTION("IF(A391="""","""",
   IF(F391&gt;0,
      INDEX(FILTER('RE Portfolio'!L$2:L2000,'RE Portfolio'!D$2:D2000=""BUY""), INT((ROW()-2)/amortYears)+1) - G391,
      INDEX(FILTER('RE Portfolio'!L$2:L2000,'RE Portfolio'!D$2:D2000=""BUY""), INT((ROW()-2)/amortYears)+1"&amp;")
   )
)
"),9503.341622869564)</f>
        <v>9503.341623</v>
      </c>
      <c r="L391" s="15">
        <f>IFERROR(__xludf.DUMMYFUNCTION("IF(A391="""","""",
  INDEX(FILTER('RE Portfolio'!C$2:C2000,'RE Portfolio'!D$2:D2000=""BUY""), INT((ROW()-2)/amortYears)+1)
  * (1 + VALUE(Assumptions!$B$11))^(D391-1)
)
"),772314.302842249)</f>
        <v>772314.3028</v>
      </c>
    </row>
    <row r="392">
      <c r="A392" s="15">
        <f>IFERROR(__xludf.DUMMYFUNCTION("IFERROR(INDEX(FILTER('RE Portfolio'!A$2:A2000,'RE Portfolio'!D$2:D2000=""BUY""), INT((ROW()-2)/amortYears)+1), )
"),11.0)</f>
        <v>11</v>
      </c>
      <c r="B392" s="15">
        <f>IFERROR(__xludf.DUMMYFUNCTION("IFERROR(INDEX(FILTER('RE Portfolio'!B$2:B2000,'RE Portfolio'!D$2:D2000=""BUY""), INT((ROW()-2)/amortYears)+1), )
"),48.0)</f>
        <v>48</v>
      </c>
      <c r="C392" s="15">
        <f>IFERROR(__xludf.DUMMYFUNCTION("IFERROR(INDEX(FILTER('RE Portfolio'!G$2:G2000,'RE Portfolio'!D$2:D2000=""BUY""), INT((ROW()-2)/amortYears)+1), )
"),406963.3386560821)</f>
        <v>406963.3387</v>
      </c>
      <c r="D392" s="15">
        <f>MOD(ROW()-2, amortYears)+1</f>
        <v>11</v>
      </c>
      <c r="E392" s="15">
        <f t="shared" si="1"/>
        <v>58</v>
      </c>
      <c r="F392" s="16">
        <f t="shared" si="2"/>
        <v>345007.7542</v>
      </c>
      <c r="G392" s="16">
        <f>IF(D392&lt;=mortTerm, -PMT(mortRate/12, mortTerm*12, C392)*12, 0)
</f>
        <v>30867.42157</v>
      </c>
      <c r="H392" s="16">
        <f>IF(D392&lt;=mortTerm, G392 - I392, 0)
</f>
        <v>22169.40846</v>
      </c>
      <c r="I392" s="16">
        <f>IF(D392&lt;=mortTerm, F392 - J392, 0)
</f>
        <v>8698.013116</v>
      </c>
      <c r="J392" s="16">
        <f>IF(D392&lt;=mortTerm,
   F392*(1+mortRate/12)^12 - (-PMT(mortRate/12, mortTerm*12, C392))*(((1+mortRate/12)^12 - 1)/(mortRate/12)),
   0
)
</f>
        <v>336309.7411</v>
      </c>
      <c r="K392" s="13">
        <f>IFERROR(__xludf.DUMMYFUNCTION("IF(A392="""","""",
   IF(F392&gt;0,
      INDEX(FILTER('RE Portfolio'!L$2:L2000,'RE Portfolio'!D$2:D2000=""BUY""), INT((ROW()-2)/amortYears)+1) - G392,
      INDEX(FILTER('RE Portfolio'!L$2:L2000,'RE Portfolio'!D$2:D2000=""BUY""), INT((ROW()-2)/amortYears)+1"&amp;")
   )
)
"),9503.341622869564)</f>
        <v>9503.341623</v>
      </c>
      <c r="L392" s="15">
        <f>IFERROR(__xludf.DUMMYFUNCTION("IF(A392="""","""",
  INDEX(FILTER('RE Portfolio'!C$2:C2000,'RE Portfolio'!D$2:D2000=""BUY""), INT((ROW()-2)/amortYears)+1)
  * (1 + VALUE(Assumptions!$B$11))^(D392-1)
)
"),803206.874955939)</f>
        <v>803206.875</v>
      </c>
    </row>
    <row r="393">
      <c r="A393" s="15">
        <f>IFERROR(__xludf.DUMMYFUNCTION("IFERROR(INDEX(FILTER('RE Portfolio'!A$2:A2000,'RE Portfolio'!D$2:D2000=""BUY""), INT((ROW()-2)/amortYears)+1), )
"),11.0)</f>
        <v>11</v>
      </c>
      <c r="B393" s="15">
        <f>IFERROR(__xludf.DUMMYFUNCTION("IFERROR(INDEX(FILTER('RE Portfolio'!B$2:B2000,'RE Portfolio'!D$2:D2000=""BUY""), INT((ROW()-2)/amortYears)+1), )
"),48.0)</f>
        <v>48</v>
      </c>
      <c r="C393" s="15">
        <f>IFERROR(__xludf.DUMMYFUNCTION("IFERROR(INDEX(FILTER('RE Portfolio'!G$2:G2000,'RE Portfolio'!D$2:D2000=""BUY""), INT((ROW()-2)/amortYears)+1), )
"),406963.3386560821)</f>
        <v>406963.3387</v>
      </c>
      <c r="D393" s="15">
        <f>MOD(ROW()-2, amortYears)+1</f>
        <v>12</v>
      </c>
      <c r="E393" s="15">
        <f t="shared" si="1"/>
        <v>59</v>
      </c>
      <c r="F393" s="16">
        <f t="shared" si="2"/>
        <v>336309.7411</v>
      </c>
      <c r="G393" s="16">
        <f>IF(D393&lt;=mortTerm, -PMT(mortRate/12, mortTerm*12, C393)*12, 0)
</f>
        <v>30867.42157</v>
      </c>
      <c r="H393" s="16">
        <f>IF(D393&lt;=mortTerm, G393 - I393, 0)
</f>
        <v>21586.88641</v>
      </c>
      <c r="I393" s="16">
        <f>IF(D393&lt;=mortTerm, F393 - J393, 0)
</f>
        <v>9280.535164</v>
      </c>
      <c r="J393" s="16">
        <f>IF(D393&lt;=mortTerm,
   F393*(1+mortRate/12)^12 - (-PMT(mortRate/12, mortTerm*12, C393))*(((1+mortRate/12)^12 - 1)/(mortRate/12)),
   0
)
</f>
        <v>327029.206</v>
      </c>
      <c r="K393" s="13">
        <f>IFERROR(__xludf.DUMMYFUNCTION("IF(A393="""","""",
   IF(F393&gt;0,
      INDEX(FILTER('RE Portfolio'!L$2:L2000,'RE Portfolio'!D$2:D2000=""BUY""), INT((ROW()-2)/amortYears)+1) - G393,
      INDEX(FILTER('RE Portfolio'!L$2:L2000,'RE Portfolio'!D$2:D2000=""BUY""), INT((ROW()-2)/amortYears)+1"&amp;")
   )
)
"),9503.341622869564)</f>
        <v>9503.341623</v>
      </c>
      <c r="L393" s="15">
        <f>IFERROR(__xludf.DUMMYFUNCTION("IF(A393="""","""",
  INDEX(FILTER('RE Portfolio'!C$2:C2000,'RE Portfolio'!D$2:D2000=""BUY""), INT((ROW()-2)/amortYears)+1)
  * (1 + VALUE(Assumptions!$B$11))^(D393-1)
)
"),835335.1499541766)</f>
        <v>835335.15</v>
      </c>
    </row>
    <row r="394">
      <c r="A394" s="15">
        <f>IFERROR(__xludf.DUMMYFUNCTION("IFERROR(INDEX(FILTER('RE Portfolio'!A$2:A2000,'RE Portfolio'!D$2:D2000=""BUY""), INT((ROW()-2)/amortYears)+1), )
"),11.0)</f>
        <v>11</v>
      </c>
      <c r="B394" s="15">
        <f>IFERROR(__xludf.DUMMYFUNCTION("IFERROR(INDEX(FILTER('RE Portfolio'!B$2:B2000,'RE Portfolio'!D$2:D2000=""BUY""), INT((ROW()-2)/amortYears)+1), )
"),48.0)</f>
        <v>48</v>
      </c>
      <c r="C394" s="15">
        <f>IFERROR(__xludf.DUMMYFUNCTION("IFERROR(INDEX(FILTER('RE Portfolio'!G$2:G2000,'RE Portfolio'!D$2:D2000=""BUY""), INT((ROW()-2)/amortYears)+1), )
"),406963.3386560821)</f>
        <v>406963.3387</v>
      </c>
      <c r="D394" s="15">
        <f>MOD(ROW()-2, amortYears)+1</f>
        <v>13</v>
      </c>
      <c r="E394" s="15">
        <f t="shared" si="1"/>
        <v>60</v>
      </c>
      <c r="F394" s="16">
        <f t="shared" si="2"/>
        <v>327029.206</v>
      </c>
      <c r="G394" s="16">
        <f>IF(D394&lt;=mortTerm, -PMT(mortRate/12, mortTerm*12, C394)*12, 0)
</f>
        <v>30867.42157</v>
      </c>
      <c r="H394" s="16">
        <f>IF(D394&lt;=mortTerm, G394 - I394, 0)
</f>
        <v>20965.35178</v>
      </c>
      <c r="I394" s="16">
        <f>IF(D394&lt;=mortTerm, F394 - J394, 0)
</f>
        <v>9902.069791</v>
      </c>
      <c r="J394" s="16">
        <f>IF(D394&lt;=mortTerm,
   F394*(1+mortRate/12)^12 - (-PMT(mortRate/12, mortTerm*12, C394))*(((1+mortRate/12)^12 - 1)/(mortRate/12)),
   0
)
</f>
        <v>317127.1362</v>
      </c>
      <c r="K394" s="13">
        <f>IFERROR(__xludf.DUMMYFUNCTION("IF(A394="""","""",
   IF(F394&gt;0,
      INDEX(FILTER('RE Portfolio'!L$2:L2000,'RE Portfolio'!D$2:D2000=""BUY""), INT((ROW()-2)/amortYears)+1) - G394,
      INDEX(FILTER('RE Portfolio'!L$2:L2000,'RE Portfolio'!D$2:D2000=""BUY""), INT((ROW()-2)/amortYears)+1"&amp;")
   )
)
"),9503.341622869564)</f>
        <v>9503.341623</v>
      </c>
      <c r="L394" s="15">
        <f>IFERROR(__xludf.DUMMYFUNCTION("IF(A394="""","""",
  INDEX(FILTER('RE Portfolio'!C$2:C2000,'RE Portfolio'!D$2:D2000=""BUY""), INT((ROW()-2)/amortYears)+1)
  * (1 + VALUE(Assumptions!$B$11))^(D394-1)
)
"),868748.5559523437)</f>
        <v>868748.556</v>
      </c>
    </row>
    <row r="395">
      <c r="A395" s="15">
        <f>IFERROR(__xludf.DUMMYFUNCTION("IFERROR(INDEX(FILTER('RE Portfolio'!A$2:A2000,'RE Portfolio'!D$2:D2000=""BUY""), INT((ROW()-2)/amortYears)+1), )
"),11.0)</f>
        <v>11</v>
      </c>
      <c r="B395" s="15">
        <f>IFERROR(__xludf.DUMMYFUNCTION("IFERROR(INDEX(FILTER('RE Portfolio'!B$2:B2000,'RE Portfolio'!D$2:D2000=""BUY""), INT((ROW()-2)/amortYears)+1), )
"),48.0)</f>
        <v>48</v>
      </c>
      <c r="C395" s="15">
        <f>IFERROR(__xludf.DUMMYFUNCTION("IFERROR(INDEX(FILTER('RE Portfolio'!G$2:G2000,'RE Portfolio'!D$2:D2000=""BUY""), INT((ROW()-2)/amortYears)+1), )
"),406963.3386560821)</f>
        <v>406963.3387</v>
      </c>
      <c r="D395" s="15">
        <f>MOD(ROW()-2, amortYears)+1</f>
        <v>14</v>
      </c>
      <c r="E395" s="15">
        <f t="shared" si="1"/>
        <v>61</v>
      </c>
      <c r="F395" s="16">
        <f t="shared" si="2"/>
        <v>317127.1362</v>
      </c>
      <c r="G395" s="16">
        <f>IF(D395&lt;=mortTerm, -PMT(mortRate/12, mortTerm*12, C395)*12, 0)
</f>
        <v>30867.42157</v>
      </c>
      <c r="H395" s="16">
        <f>IF(D395&lt;=mortTerm, G395 - I395, 0)
</f>
        <v>20302.19183</v>
      </c>
      <c r="I395" s="16">
        <f>IF(D395&lt;=mortTerm, F395 - J395, 0)
</f>
        <v>10565.22974</v>
      </c>
      <c r="J395" s="16">
        <f>IF(D395&lt;=mortTerm,
   F395*(1+mortRate/12)^12 - (-PMT(mortRate/12, mortTerm*12, C395))*(((1+mortRate/12)^12 - 1)/(mortRate/12)),
   0
)
</f>
        <v>306561.9064</v>
      </c>
      <c r="K395" s="13">
        <f>IFERROR(__xludf.DUMMYFUNCTION("IF(A395="""","""",
   IF(F395&gt;0,
      INDEX(FILTER('RE Portfolio'!L$2:L2000,'RE Portfolio'!D$2:D2000=""BUY""), INT((ROW()-2)/amortYears)+1) - G395,
      INDEX(FILTER('RE Portfolio'!L$2:L2000,'RE Portfolio'!D$2:D2000=""BUY""), INT((ROW()-2)/amortYears)+1"&amp;")
   )
)
"),9503.341622869564)</f>
        <v>9503.341623</v>
      </c>
      <c r="L395" s="15">
        <f>IFERROR(__xludf.DUMMYFUNCTION("IF(A395="""","""",
  INDEX(FILTER('RE Portfolio'!C$2:C2000,'RE Portfolio'!D$2:D2000=""BUY""), INT((ROW()-2)/amortYears)+1)
  * (1 + VALUE(Assumptions!$B$11))^(D395-1)
)
"),903498.4981904376)</f>
        <v>903498.4982</v>
      </c>
    </row>
    <row r="396">
      <c r="A396" s="15">
        <f>IFERROR(__xludf.DUMMYFUNCTION("IFERROR(INDEX(FILTER('RE Portfolio'!A$2:A2000,'RE Portfolio'!D$2:D2000=""BUY""), INT((ROW()-2)/amortYears)+1), )
"),11.0)</f>
        <v>11</v>
      </c>
      <c r="B396" s="15">
        <f>IFERROR(__xludf.DUMMYFUNCTION("IFERROR(INDEX(FILTER('RE Portfolio'!B$2:B2000,'RE Portfolio'!D$2:D2000=""BUY""), INT((ROW()-2)/amortYears)+1), )
"),48.0)</f>
        <v>48</v>
      </c>
      <c r="C396" s="15">
        <f>IFERROR(__xludf.DUMMYFUNCTION("IFERROR(INDEX(FILTER('RE Portfolio'!G$2:G2000,'RE Portfolio'!D$2:D2000=""BUY""), INT((ROW()-2)/amortYears)+1), )
"),406963.3386560821)</f>
        <v>406963.3387</v>
      </c>
      <c r="D396" s="15">
        <f>MOD(ROW()-2, amortYears)+1</f>
        <v>15</v>
      </c>
      <c r="E396" s="15">
        <f t="shared" si="1"/>
        <v>62</v>
      </c>
      <c r="F396" s="16">
        <f t="shared" si="2"/>
        <v>306561.9064</v>
      </c>
      <c r="G396" s="16">
        <f>IF(D396&lt;=mortTerm, -PMT(mortRate/12, mortTerm*12, C396)*12, 0)
</f>
        <v>30867.42157</v>
      </c>
      <c r="H396" s="16">
        <f>IF(D396&lt;=mortTerm, G396 - I396, 0)
</f>
        <v>19594.61883</v>
      </c>
      <c r="I396" s="16">
        <f>IF(D396&lt;=mortTerm, F396 - J396, 0)
</f>
        <v>11272.80275</v>
      </c>
      <c r="J396" s="16">
        <f>IF(D396&lt;=mortTerm,
   F396*(1+mortRate/12)^12 - (-PMT(mortRate/12, mortTerm*12, C396))*(((1+mortRate/12)^12 - 1)/(mortRate/12)),
   0
)
</f>
        <v>295289.1037</v>
      </c>
      <c r="K396" s="13">
        <f>IFERROR(__xludf.DUMMYFUNCTION("IF(A396="""","""",
   IF(F396&gt;0,
      INDEX(FILTER('RE Portfolio'!L$2:L2000,'RE Portfolio'!D$2:D2000=""BUY""), INT((ROW()-2)/amortYears)+1) - G396,
      INDEX(FILTER('RE Portfolio'!L$2:L2000,'RE Portfolio'!D$2:D2000=""BUY""), INT((ROW()-2)/amortYears)+1"&amp;")
   )
)
"),9503.341622869564)</f>
        <v>9503.341623</v>
      </c>
      <c r="L396" s="15">
        <f>IFERROR(__xludf.DUMMYFUNCTION("IF(A396="""","""",
  INDEX(FILTER('RE Portfolio'!C$2:C2000,'RE Portfolio'!D$2:D2000=""BUY""), INT((ROW()-2)/amortYears)+1)
  * (1 + VALUE(Assumptions!$B$11))^(D396-1)
)
"),939638.4381180551)</f>
        <v>939638.4381</v>
      </c>
    </row>
    <row r="397">
      <c r="A397" s="15">
        <f>IFERROR(__xludf.DUMMYFUNCTION("IFERROR(INDEX(FILTER('RE Portfolio'!A$2:A2000,'RE Portfolio'!D$2:D2000=""BUY""), INT((ROW()-2)/amortYears)+1), )
"),11.0)</f>
        <v>11</v>
      </c>
      <c r="B397" s="15">
        <f>IFERROR(__xludf.DUMMYFUNCTION("IFERROR(INDEX(FILTER('RE Portfolio'!B$2:B2000,'RE Portfolio'!D$2:D2000=""BUY""), INT((ROW()-2)/amortYears)+1), )
"),48.0)</f>
        <v>48</v>
      </c>
      <c r="C397" s="15">
        <f>IFERROR(__xludf.DUMMYFUNCTION("IFERROR(INDEX(FILTER('RE Portfolio'!G$2:G2000,'RE Portfolio'!D$2:D2000=""BUY""), INT((ROW()-2)/amortYears)+1), )
"),406963.3386560821)</f>
        <v>406963.3387</v>
      </c>
      <c r="D397" s="15">
        <f>MOD(ROW()-2, amortYears)+1</f>
        <v>16</v>
      </c>
      <c r="E397" s="15">
        <f t="shared" si="1"/>
        <v>63</v>
      </c>
      <c r="F397" s="16">
        <f t="shared" si="2"/>
        <v>295289.1037</v>
      </c>
      <c r="G397" s="16">
        <f>IF(D397&lt;=mortTerm, -PMT(mortRate/12, mortTerm*12, C397)*12, 0)
</f>
        <v>30867.42157</v>
      </c>
      <c r="H397" s="16">
        <f>IF(D397&lt;=mortTerm, G397 - I397, 0)
</f>
        <v>18839.65835</v>
      </c>
      <c r="I397" s="16">
        <f>IF(D397&lt;=mortTerm, F397 - J397, 0)
</f>
        <v>12027.76322</v>
      </c>
      <c r="J397" s="16">
        <f>IF(D397&lt;=mortTerm,
   F397*(1+mortRate/12)^12 - (-PMT(mortRate/12, mortTerm*12, C397))*(((1+mortRate/12)^12 - 1)/(mortRate/12)),
   0
)
</f>
        <v>283261.3404</v>
      </c>
      <c r="K397" s="13">
        <f>IFERROR(__xludf.DUMMYFUNCTION("IF(A397="""","""",
   IF(F397&gt;0,
      INDEX(FILTER('RE Portfolio'!L$2:L2000,'RE Portfolio'!D$2:D2000=""BUY""), INT((ROW()-2)/amortYears)+1) - G397,
      INDEX(FILTER('RE Portfolio'!L$2:L2000,'RE Portfolio'!D$2:D2000=""BUY""), INT((ROW()-2)/amortYears)+1"&amp;")
   )
)
"),9503.341622869564)</f>
        <v>9503.341623</v>
      </c>
      <c r="L397" s="15">
        <f>IFERROR(__xludf.DUMMYFUNCTION("IF(A397="""","""",
  INDEX(FILTER('RE Portfolio'!C$2:C2000,'RE Portfolio'!D$2:D2000=""BUY""), INT((ROW()-2)/amortYears)+1)
  * (1 + VALUE(Assumptions!$B$11))^(D397-1)
)
"),977223.9756427773)</f>
        <v>977223.9756</v>
      </c>
    </row>
    <row r="398">
      <c r="A398" s="15">
        <f>IFERROR(__xludf.DUMMYFUNCTION("IFERROR(INDEX(FILTER('RE Portfolio'!A$2:A2000,'RE Portfolio'!D$2:D2000=""BUY""), INT((ROW()-2)/amortYears)+1), )
"),11.0)</f>
        <v>11</v>
      </c>
      <c r="B398" s="15">
        <f>IFERROR(__xludf.DUMMYFUNCTION("IFERROR(INDEX(FILTER('RE Portfolio'!B$2:B2000,'RE Portfolio'!D$2:D2000=""BUY""), INT((ROW()-2)/amortYears)+1), )
"),48.0)</f>
        <v>48</v>
      </c>
      <c r="C398" s="15">
        <f>IFERROR(__xludf.DUMMYFUNCTION("IFERROR(INDEX(FILTER('RE Portfolio'!G$2:G2000,'RE Portfolio'!D$2:D2000=""BUY""), INT((ROW()-2)/amortYears)+1), )
"),406963.3386560821)</f>
        <v>406963.3387</v>
      </c>
      <c r="D398" s="15">
        <f>MOD(ROW()-2, amortYears)+1</f>
        <v>17</v>
      </c>
      <c r="E398" s="15">
        <f t="shared" si="1"/>
        <v>64</v>
      </c>
      <c r="F398" s="16">
        <f t="shared" si="2"/>
        <v>283261.3404</v>
      </c>
      <c r="G398" s="16">
        <f>IF(D398&lt;=mortTerm, -PMT(mortRate/12, mortTerm*12, C398)*12, 0)
</f>
        <v>30867.42157</v>
      </c>
      <c r="H398" s="16">
        <f>IF(D398&lt;=mortTerm, G398 - I398, 0)
</f>
        <v>18034.13677</v>
      </c>
      <c r="I398" s="16">
        <f>IF(D398&lt;=mortTerm, F398 - J398, 0)
</f>
        <v>12833.2848</v>
      </c>
      <c r="J398" s="16">
        <f>IF(D398&lt;=mortTerm,
   F398*(1+mortRate/12)^12 - (-PMT(mortRate/12, mortTerm*12, C398))*(((1+mortRate/12)^12 - 1)/(mortRate/12)),
   0
)
</f>
        <v>270428.0556</v>
      </c>
      <c r="K398" s="13">
        <f>IFERROR(__xludf.DUMMYFUNCTION("IF(A398="""","""",
   IF(F398&gt;0,
      INDEX(FILTER('RE Portfolio'!L$2:L2000,'RE Portfolio'!D$2:D2000=""BUY""), INT((ROW()-2)/amortYears)+1) - G398,
      INDEX(FILTER('RE Portfolio'!L$2:L2000,'RE Portfolio'!D$2:D2000=""BUY""), INT((ROW()-2)/amortYears)+1"&amp;")
   )
)
"),9503.341622869564)</f>
        <v>9503.341623</v>
      </c>
      <c r="L398" s="15">
        <f>IFERROR(__xludf.DUMMYFUNCTION("IF(A398="""","""",
  INDEX(FILTER('RE Portfolio'!C$2:C2000,'RE Portfolio'!D$2:D2000=""BUY""), INT((ROW()-2)/amortYears)+1)
  * (1 + VALUE(Assumptions!$B$11))^(D398-1)
)
"),1016312.9346684885)</f>
        <v>1016312.935</v>
      </c>
    </row>
    <row r="399">
      <c r="A399" s="15">
        <f>IFERROR(__xludf.DUMMYFUNCTION("IFERROR(INDEX(FILTER('RE Portfolio'!A$2:A2000,'RE Portfolio'!D$2:D2000=""BUY""), INT((ROW()-2)/amortYears)+1), )
"),11.0)</f>
        <v>11</v>
      </c>
      <c r="B399" s="15">
        <f>IFERROR(__xludf.DUMMYFUNCTION("IFERROR(INDEX(FILTER('RE Portfolio'!B$2:B2000,'RE Portfolio'!D$2:D2000=""BUY""), INT((ROW()-2)/amortYears)+1), )
"),48.0)</f>
        <v>48</v>
      </c>
      <c r="C399" s="15">
        <f>IFERROR(__xludf.DUMMYFUNCTION("IFERROR(INDEX(FILTER('RE Portfolio'!G$2:G2000,'RE Portfolio'!D$2:D2000=""BUY""), INT((ROW()-2)/amortYears)+1), )
"),406963.3386560821)</f>
        <v>406963.3387</v>
      </c>
      <c r="D399" s="15">
        <f>MOD(ROW()-2, amortYears)+1</f>
        <v>18</v>
      </c>
      <c r="E399" s="15">
        <f t="shared" si="1"/>
        <v>65</v>
      </c>
      <c r="F399" s="16">
        <f t="shared" si="2"/>
        <v>270428.0556</v>
      </c>
      <c r="G399" s="16">
        <f>IF(D399&lt;=mortTerm, -PMT(mortRate/12, mortTerm*12, C399)*12, 0)
</f>
        <v>30867.42157</v>
      </c>
      <c r="H399" s="16">
        <f>IF(D399&lt;=mortTerm, G399 - I399, 0)
</f>
        <v>17174.66792</v>
      </c>
      <c r="I399" s="16">
        <f>IF(D399&lt;=mortTerm, F399 - J399, 0)
</f>
        <v>13692.75365</v>
      </c>
      <c r="J399" s="16">
        <f>IF(D399&lt;=mortTerm,
   F399*(1+mortRate/12)^12 - (-PMT(mortRate/12, mortTerm*12, C399))*(((1+mortRate/12)^12 - 1)/(mortRate/12)),
   0
)
</f>
        <v>256735.302</v>
      </c>
      <c r="K399" s="13">
        <f>IFERROR(__xludf.DUMMYFUNCTION("IF(A399="""","""",
   IF(F399&gt;0,
      INDEX(FILTER('RE Portfolio'!L$2:L2000,'RE Portfolio'!D$2:D2000=""BUY""), INT((ROW()-2)/amortYears)+1) - G399,
      INDEX(FILTER('RE Portfolio'!L$2:L2000,'RE Portfolio'!D$2:D2000=""BUY""), INT((ROW()-2)/amortYears)+1"&amp;")
   )
)
"),9503.341622869564)</f>
        <v>9503.341623</v>
      </c>
      <c r="L399" s="15">
        <f>IFERROR(__xludf.DUMMYFUNCTION("IF(A399="""","""",
  INDEX(FILTER('RE Portfolio'!C$2:C2000,'RE Portfolio'!D$2:D2000=""BUY""), INT((ROW()-2)/amortYears)+1)
  * (1 + VALUE(Assumptions!$B$11))^(D399-1)
)
"),1056965.452055228)</f>
        <v>1056965.452</v>
      </c>
    </row>
    <row r="400">
      <c r="A400" s="15">
        <f>IFERROR(__xludf.DUMMYFUNCTION("IFERROR(INDEX(FILTER('RE Portfolio'!A$2:A2000,'RE Portfolio'!D$2:D2000=""BUY""), INT((ROW()-2)/amortYears)+1), )
"),11.0)</f>
        <v>11</v>
      </c>
      <c r="B400" s="15">
        <f>IFERROR(__xludf.DUMMYFUNCTION("IFERROR(INDEX(FILTER('RE Portfolio'!B$2:B2000,'RE Portfolio'!D$2:D2000=""BUY""), INT((ROW()-2)/amortYears)+1), )
"),48.0)</f>
        <v>48</v>
      </c>
      <c r="C400" s="15">
        <f>IFERROR(__xludf.DUMMYFUNCTION("IFERROR(INDEX(FILTER('RE Portfolio'!G$2:G2000,'RE Portfolio'!D$2:D2000=""BUY""), INT((ROW()-2)/amortYears)+1), )
"),406963.3386560821)</f>
        <v>406963.3387</v>
      </c>
      <c r="D400" s="15">
        <f>MOD(ROW()-2, amortYears)+1</f>
        <v>19</v>
      </c>
      <c r="E400" s="15">
        <f t="shared" si="1"/>
        <v>66</v>
      </c>
      <c r="F400" s="16">
        <f t="shared" si="2"/>
        <v>256735.302</v>
      </c>
      <c r="G400" s="16">
        <f>IF(D400&lt;=mortTerm, -PMT(mortRate/12, mortTerm*12, C400)*12, 0)
</f>
        <v>30867.42157</v>
      </c>
      <c r="H400" s="16">
        <f>IF(D400&lt;=mortTerm, G400 - I400, 0)
</f>
        <v>16257.63885</v>
      </c>
      <c r="I400" s="16">
        <f>IF(D400&lt;=mortTerm, F400 - J400, 0)
</f>
        <v>14609.78272</v>
      </c>
      <c r="J400" s="16">
        <f>IF(D400&lt;=mortTerm,
   F400*(1+mortRate/12)^12 - (-PMT(mortRate/12, mortTerm*12, C400))*(((1+mortRate/12)^12 - 1)/(mortRate/12)),
   0
)
</f>
        <v>242125.5193</v>
      </c>
      <c r="K400" s="13">
        <f>IFERROR(__xludf.DUMMYFUNCTION("IF(A400="""","""",
   IF(F400&gt;0,
      INDEX(FILTER('RE Portfolio'!L$2:L2000,'RE Portfolio'!D$2:D2000=""BUY""), INT((ROW()-2)/amortYears)+1) - G400,
      INDEX(FILTER('RE Portfolio'!L$2:L2000,'RE Portfolio'!D$2:D2000=""BUY""), INT((ROW()-2)/amortYears)+1"&amp;")
   )
)
"),9503.341622869564)</f>
        <v>9503.341623</v>
      </c>
      <c r="L400" s="15">
        <f>IFERROR(__xludf.DUMMYFUNCTION("IF(A400="""","""",
  INDEX(FILTER('RE Portfolio'!C$2:C2000,'RE Portfolio'!D$2:D2000=""BUY""), INT((ROW()-2)/amortYears)+1)
  * (1 + VALUE(Assumptions!$B$11))^(D400-1)
)
"),1099244.0701374372)</f>
        <v>1099244.07</v>
      </c>
    </row>
    <row r="401">
      <c r="A401" s="15">
        <f>IFERROR(__xludf.DUMMYFUNCTION("IFERROR(INDEX(FILTER('RE Portfolio'!A$2:A2000,'RE Portfolio'!D$2:D2000=""BUY""), INT((ROW()-2)/amortYears)+1), )
"),11.0)</f>
        <v>11</v>
      </c>
      <c r="B401" s="15">
        <f>IFERROR(__xludf.DUMMYFUNCTION("IFERROR(INDEX(FILTER('RE Portfolio'!B$2:B2000,'RE Portfolio'!D$2:D2000=""BUY""), INT((ROW()-2)/amortYears)+1), )
"),48.0)</f>
        <v>48</v>
      </c>
      <c r="C401" s="15">
        <f>IFERROR(__xludf.DUMMYFUNCTION("IFERROR(INDEX(FILTER('RE Portfolio'!G$2:G2000,'RE Portfolio'!D$2:D2000=""BUY""), INT((ROW()-2)/amortYears)+1), )
"),406963.3386560821)</f>
        <v>406963.3387</v>
      </c>
      <c r="D401" s="15">
        <f>MOD(ROW()-2, amortYears)+1</f>
        <v>20</v>
      </c>
      <c r="E401" s="15">
        <f t="shared" si="1"/>
        <v>67</v>
      </c>
      <c r="F401" s="16">
        <f t="shared" si="2"/>
        <v>242125.5193</v>
      </c>
      <c r="G401" s="16">
        <f>IF(D401&lt;=mortTerm, -PMT(mortRate/12, mortTerm*12, C401)*12, 0)
</f>
        <v>30867.42157</v>
      </c>
      <c r="H401" s="16">
        <f>IF(D401&lt;=mortTerm, G401 - I401, 0)
</f>
        <v>15279.19464</v>
      </c>
      <c r="I401" s="16">
        <f>IF(D401&lt;=mortTerm, F401 - J401, 0)
</f>
        <v>15588.22693</v>
      </c>
      <c r="J401" s="16">
        <f>IF(D401&lt;=mortTerm,
   F401*(1+mortRate/12)^12 - (-PMT(mortRate/12, mortTerm*12, C401))*(((1+mortRate/12)^12 - 1)/(mortRate/12)),
   0
)
</f>
        <v>226537.2923</v>
      </c>
      <c r="K401" s="13">
        <f>IFERROR(__xludf.DUMMYFUNCTION("IF(A401="""","""",
   IF(F401&gt;0,
      INDEX(FILTER('RE Portfolio'!L$2:L2000,'RE Portfolio'!D$2:D2000=""BUY""), INT((ROW()-2)/amortYears)+1) - G401,
      INDEX(FILTER('RE Portfolio'!L$2:L2000,'RE Portfolio'!D$2:D2000=""BUY""), INT((ROW()-2)/amortYears)+1"&amp;")
   )
)
"),9503.341622869564)</f>
        <v>9503.341623</v>
      </c>
      <c r="L401" s="15">
        <f>IFERROR(__xludf.DUMMYFUNCTION("IF(A401="""","""",
  INDEX(FILTER('RE Portfolio'!C$2:C2000,'RE Portfolio'!D$2:D2000=""BUY""), INT((ROW()-2)/amortYears)+1)
  * (1 + VALUE(Assumptions!$B$11))^(D401-1)
)
"),1143213.8329429347)</f>
        <v>1143213.833</v>
      </c>
    </row>
    <row r="402">
      <c r="A402" s="15">
        <f>IFERROR(__xludf.DUMMYFUNCTION("IFERROR(INDEX(FILTER('RE Portfolio'!A$2:A2000,'RE Portfolio'!D$2:D2000=""BUY""), INT((ROW()-2)/amortYears)+1), )
"),11.0)</f>
        <v>11</v>
      </c>
      <c r="B402" s="15">
        <f>IFERROR(__xludf.DUMMYFUNCTION("IFERROR(INDEX(FILTER('RE Portfolio'!B$2:B2000,'RE Portfolio'!D$2:D2000=""BUY""), INT((ROW()-2)/amortYears)+1), )
"),48.0)</f>
        <v>48</v>
      </c>
      <c r="C402" s="15">
        <f>IFERROR(__xludf.DUMMYFUNCTION("IFERROR(INDEX(FILTER('RE Portfolio'!G$2:G2000,'RE Portfolio'!D$2:D2000=""BUY""), INT((ROW()-2)/amortYears)+1), )
"),406963.3386560821)</f>
        <v>406963.3387</v>
      </c>
      <c r="D402" s="15">
        <f>MOD(ROW()-2, amortYears)+1</f>
        <v>21</v>
      </c>
      <c r="E402" s="15">
        <f t="shared" si="1"/>
        <v>68</v>
      </c>
      <c r="F402" s="16">
        <f t="shared" si="2"/>
        <v>226537.2923</v>
      </c>
      <c r="G402" s="16">
        <f>IF(D402&lt;=mortTerm, -PMT(mortRate/12, mortTerm*12, C402)*12, 0)
</f>
        <v>30867.42157</v>
      </c>
      <c r="H402" s="16">
        <f>IF(D402&lt;=mortTerm, G402 - I402, 0)
</f>
        <v>14235.22221</v>
      </c>
      <c r="I402" s="16">
        <f>IF(D402&lt;=mortTerm, F402 - J402, 0)
</f>
        <v>16632.19936</v>
      </c>
      <c r="J402" s="16">
        <f>IF(D402&lt;=mortTerm,
   F402*(1+mortRate/12)^12 - (-PMT(mortRate/12, mortTerm*12, C402))*(((1+mortRate/12)^12 - 1)/(mortRate/12)),
   0
)
</f>
        <v>209905.093</v>
      </c>
      <c r="K402" s="13">
        <f>IFERROR(__xludf.DUMMYFUNCTION("IF(A402="""","""",
   IF(F402&gt;0,
      INDEX(FILTER('RE Portfolio'!L$2:L2000,'RE Portfolio'!D$2:D2000=""BUY""), INT((ROW()-2)/amortYears)+1) - G402,
      INDEX(FILTER('RE Portfolio'!L$2:L2000,'RE Portfolio'!D$2:D2000=""BUY""), INT((ROW()-2)/amortYears)+1"&amp;")
   )
)
"),9503.341622869564)</f>
        <v>9503.341623</v>
      </c>
      <c r="L402" s="15">
        <f>IFERROR(__xludf.DUMMYFUNCTION("IF(A402="""","""",
  INDEX(FILTER('RE Portfolio'!C$2:C2000,'RE Portfolio'!D$2:D2000=""BUY""), INT((ROW()-2)/amortYears)+1)
  * (1 + VALUE(Assumptions!$B$11))^(D402-1)
)
"),1188942.386260652)</f>
        <v>1188942.386</v>
      </c>
    </row>
    <row r="403">
      <c r="A403" s="15">
        <f>IFERROR(__xludf.DUMMYFUNCTION("IFERROR(INDEX(FILTER('RE Portfolio'!A$2:A2000,'RE Portfolio'!D$2:D2000=""BUY""), INT((ROW()-2)/amortYears)+1), )
"),11.0)</f>
        <v>11</v>
      </c>
      <c r="B403" s="15">
        <f>IFERROR(__xludf.DUMMYFUNCTION("IFERROR(INDEX(FILTER('RE Portfolio'!B$2:B2000,'RE Portfolio'!D$2:D2000=""BUY""), INT((ROW()-2)/amortYears)+1), )
"),48.0)</f>
        <v>48</v>
      </c>
      <c r="C403" s="15">
        <f>IFERROR(__xludf.DUMMYFUNCTION("IFERROR(INDEX(FILTER('RE Portfolio'!G$2:G2000,'RE Portfolio'!D$2:D2000=""BUY""), INT((ROW()-2)/amortYears)+1), )
"),406963.3386560821)</f>
        <v>406963.3387</v>
      </c>
      <c r="D403" s="15">
        <f>MOD(ROW()-2, amortYears)+1</f>
        <v>22</v>
      </c>
      <c r="E403" s="15">
        <f t="shared" si="1"/>
        <v>69</v>
      </c>
      <c r="F403" s="16">
        <f t="shared" si="2"/>
        <v>209905.093</v>
      </c>
      <c r="G403" s="16">
        <f>IF(D403&lt;=mortTerm, -PMT(mortRate/12, mortTerm*12, C403)*12, 0)
</f>
        <v>30867.42157</v>
      </c>
      <c r="H403" s="16">
        <f>IF(D403&lt;=mortTerm, G403 - I403, 0)
</f>
        <v>13121.33302</v>
      </c>
      <c r="I403" s="16">
        <f>IF(D403&lt;=mortTerm, F403 - J403, 0)
</f>
        <v>17746.08855</v>
      </c>
      <c r="J403" s="16">
        <f>IF(D403&lt;=mortTerm,
   F403*(1+mortRate/12)^12 - (-PMT(mortRate/12, mortTerm*12, C403))*(((1+mortRate/12)^12 - 1)/(mortRate/12)),
   0
)
</f>
        <v>192159.0044</v>
      </c>
      <c r="K403" s="13">
        <f>IFERROR(__xludf.DUMMYFUNCTION("IF(A403="""","""",
   IF(F403&gt;0,
      INDEX(FILTER('RE Portfolio'!L$2:L2000,'RE Portfolio'!D$2:D2000=""BUY""), INT((ROW()-2)/amortYears)+1) - G403,
      INDEX(FILTER('RE Portfolio'!L$2:L2000,'RE Portfolio'!D$2:D2000=""BUY""), INT((ROW()-2)/amortYears)+1"&amp;")
   )
)
"),9503.341622869564)</f>
        <v>9503.341623</v>
      </c>
      <c r="L403" s="15">
        <f>IFERROR(__xludf.DUMMYFUNCTION("IF(A403="""","""",
  INDEX(FILTER('RE Portfolio'!C$2:C2000,'RE Portfolio'!D$2:D2000=""BUY""), INT((ROW()-2)/amortYears)+1)
  * (1 + VALUE(Assumptions!$B$11))^(D403-1)
)
"),1236500.0817110783)</f>
        <v>1236500.082</v>
      </c>
    </row>
    <row r="404">
      <c r="A404" s="15">
        <f>IFERROR(__xludf.DUMMYFUNCTION("IFERROR(INDEX(FILTER('RE Portfolio'!A$2:A2000,'RE Portfolio'!D$2:D2000=""BUY""), INT((ROW()-2)/amortYears)+1), )
"),11.0)</f>
        <v>11</v>
      </c>
      <c r="B404" s="15">
        <f>IFERROR(__xludf.DUMMYFUNCTION("IFERROR(INDEX(FILTER('RE Portfolio'!B$2:B2000,'RE Portfolio'!D$2:D2000=""BUY""), INT((ROW()-2)/amortYears)+1), )
"),48.0)</f>
        <v>48</v>
      </c>
      <c r="C404" s="15">
        <f>IFERROR(__xludf.DUMMYFUNCTION("IFERROR(INDEX(FILTER('RE Portfolio'!G$2:G2000,'RE Portfolio'!D$2:D2000=""BUY""), INT((ROW()-2)/amortYears)+1), )
"),406963.3386560821)</f>
        <v>406963.3387</v>
      </c>
      <c r="D404" s="15">
        <f>MOD(ROW()-2, amortYears)+1</f>
        <v>23</v>
      </c>
      <c r="E404" s="15">
        <f t="shared" si="1"/>
        <v>70</v>
      </c>
      <c r="F404" s="16">
        <f t="shared" si="2"/>
        <v>192159.0044</v>
      </c>
      <c r="G404" s="16">
        <f>IF(D404&lt;=mortTerm, -PMT(mortRate/12, mortTerm*12, C404)*12, 0)
</f>
        <v>30867.42157</v>
      </c>
      <c r="H404" s="16">
        <f>IF(D404&lt;=mortTerm, G404 - I404, 0)
</f>
        <v>11932.84461</v>
      </c>
      <c r="I404" s="16">
        <f>IF(D404&lt;=mortTerm, F404 - J404, 0)
</f>
        <v>18934.57697</v>
      </c>
      <c r="J404" s="16">
        <f>IF(D404&lt;=mortTerm,
   F404*(1+mortRate/12)^12 - (-PMT(mortRate/12, mortTerm*12, C404))*(((1+mortRate/12)^12 - 1)/(mortRate/12)),
   0
)
</f>
        <v>173224.4275</v>
      </c>
      <c r="K404" s="13">
        <f>IFERROR(__xludf.DUMMYFUNCTION("IF(A404="""","""",
   IF(F404&gt;0,
      INDEX(FILTER('RE Portfolio'!L$2:L2000,'RE Portfolio'!D$2:D2000=""BUY""), INT((ROW()-2)/amortYears)+1) - G404,
      INDEX(FILTER('RE Portfolio'!L$2:L2000,'RE Portfolio'!D$2:D2000=""BUY""), INT((ROW()-2)/amortYears)+1"&amp;")
   )
)
"),9503.341622869564)</f>
        <v>9503.341623</v>
      </c>
      <c r="L404" s="15">
        <f>IFERROR(__xludf.DUMMYFUNCTION("IF(A404="""","""",
  INDEX(FILTER('RE Portfolio'!C$2:C2000,'RE Portfolio'!D$2:D2000=""BUY""), INT((ROW()-2)/amortYears)+1)
  * (1 + VALUE(Assumptions!$B$11))^(D404-1)
)
"),1285960.0849795213)</f>
        <v>1285960.085</v>
      </c>
    </row>
    <row r="405">
      <c r="A405" s="15">
        <f>IFERROR(__xludf.DUMMYFUNCTION("IFERROR(INDEX(FILTER('RE Portfolio'!A$2:A2000,'RE Portfolio'!D$2:D2000=""BUY""), INT((ROW()-2)/amortYears)+1), )
"),11.0)</f>
        <v>11</v>
      </c>
      <c r="B405" s="15">
        <f>IFERROR(__xludf.DUMMYFUNCTION("IFERROR(INDEX(FILTER('RE Portfolio'!B$2:B2000,'RE Portfolio'!D$2:D2000=""BUY""), INT((ROW()-2)/amortYears)+1), )
"),48.0)</f>
        <v>48</v>
      </c>
      <c r="C405" s="15">
        <f>IFERROR(__xludf.DUMMYFUNCTION("IFERROR(INDEX(FILTER('RE Portfolio'!G$2:G2000,'RE Portfolio'!D$2:D2000=""BUY""), INT((ROW()-2)/amortYears)+1), )
"),406963.3386560821)</f>
        <v>406963.3387</v>
      </c>
      <c r="D405" s="15">
        <f>MOD(ROW()-2, amortYears)+1</f>
        <v>24</v>
      </c>
      <c r="E405" s="15">
        <f t="shared" si="1"/>
        <v>71</v>
      </c>
      <c r="F405" s="16">
        <f t="shared" si="2"/>
        <v>173224.4275</v>
      </c>
      <c r="G405" s="16">
        <f>IF(D405&lt;=mortTerm, -PMT(mortRate/12, mortTerm*12, C405)*12, 0)
</f>
        <v>30867.42157</v>
      </c>
      <c r="H405" s="16">
        <f>IF(D405&lt;=mortTerm, G405 - I405, 0)
</f>
        <v>10664.76092</v>
      </c>
      <c r="I405" s="16">
        <f>IF(D405&lt;=mortTerm, F405 - J405, 0)
</f>
        <v>20202.66065</v>
      </c>
      <c r="J405" s="16">
        <f>IF(D405&lt;=mortTerm,
   F405*(1+mortRate/12)^12 - (-PMT(mortRate/12, mortTerm*12, C405))*(((1+mortRate/12)^12 - 1)/(mortRate/12)),
   0
)
</f>
        <v>153021.7668</v>
      </c>
      <c r="K405" s="13">
        <f>IFERROR(__xludf.DUMMYFUNCTION("IF(A405="""","""",
   IF(F405&gt;0,
      INDEX(FILTER('RE Portfolio'!L$2:L2000,'RE Portfolio'!D$2:D2000=""BUY""), INT((ROW()-2)/amortYears)+1) - G405,
      INDEX(FILTER('RE Portfolio'!L$2:L2000,'RE Portfolio'!D$2:D2000=""BUY""), INT((ROW()-2)/amortYears)+1"&amp;")
   )
)
"),9503.341622869564)</f>
        <v>9503.341623</v>
      </c>
      <c r="L405" s="15">
        <f>IFERROR(__xludf.DUMMYFUNCTION("IF(A405="""","""",
  INDEX(FILTER('RE Portfolio'!C$2:C2000,'RE Portfolio'!D$2:D2000=""BUY""), INT((ROW()-2)/amortYears)+1)
  * (1 + VALUE(Assumptions!$B$11))^(D405-1)
)
"),1337398.4883787024)</f>
        <v>1337398.488</v>
      </c>
    </row>
    <row r="406">
      <c r="A406" s="15">
        <f>IFERROR(__xludf.DUMMYFUNCTION("IFERROR(INDEX(FILTER('RE Portfolio'!A$2:A2000,'RE Portfolio'!D$2:D2000=""BUY""), INT((ROW()-2)/amortYears)+1), )
"),11.0)</f>
        <v>11</v>
      </c>
      <c r="B406" s="15">
        <f>IFERROR(__xludf.DUMMYFUNCTION("IFERROR(INDEX(FILTER('RE Portfolio'!B$2:B2000,'RE Portfolio'!D$2:D2000=""BUY""), INT((ROW()-2)/amortYears)+1), )
"),48.0)</f>
        <v>48</v>
      </c>
      <c r="C406" s="15">
        <f>IFERROR(__xludf.DUMMYFUNCTION("IFERROR(INDEX(FILTER('RE Portfolio'!G$2:G2000,'RE Portfolio'!D$2:D2000=""BUY""), INT((ROW()-2)/amortYears)+1), )
"),406963.3386560821)</f>
        <v>406963.3387</v>
      </c>
      <c r="D406" s="15">
        <f>MOD(ROW()-2, amortYears)+1</f>
        <v>25</v>
      </c>
      <c r="E406" s="15">
        <f t="shared" si="1"/>
        <v>72</v>
      </c>
      <c r="F406" s="16">
        <f t="shared" si="2"/>
        <v>153021.7668</v>
      </c>
      <c r="G406" s="16">
        <f>IF(D406&lt;=mortTerm, -PMT(mortRate/12, mortTerm*12, C406)*12, 0)
</f>
        <v>30867.42157</v>
      </c>
      <c r="H406" s="16">
        <f>IF(D406&lt;=mortTerm, G406 - I406, 0)
</f>
        <v>9311.751319</v>
      </c>
      <c r="I406" s="16">
        <f>IF(D406&lt;=mortTerm, F406 - J406, 0)
</f>
        <v>21555.67025</v>
      </c>
      <c r="J406" s="16">
        <f>IF(D406&lt;=mortTerm,
   F406*(1+mortRate/12)^12 - (-PMT(mortRate/12, mortTerm*12, C406))*(((1+mortRate/12)^12 - 1)/(mortRate/12)),
   0
)
</f>
        <v>131466.0966</v>
      </c>
      <c r="K406" s="13">
        <f>IFERROR(__xludf.DUMMYFUNCTION("IF(A406="""","""",
   IF(F406&gt;0,
      INDEX(FILTER('RE Portfolio'!L$2:L2000,'RE Portfolio'!D$2:D2000=""BUY""), INT((ROW()-2)/amortYears)+1) - G406,
      INDEX(FILTER('RE Portfolio'!L$2:L2000,'RE Portfolio'!D$2:D2000=""BUY""), INT((ROW()-2)/amortYears)+1"&amp;")
   )
)
"),9503.341622869564)</f>
        <v>9503.341623</v>
      </c>
      <c r="L406" s="15">
        <f>IFERROR(__xludf.DUMMYFUNCTION("IF(A406="""","""",
  INDEX(FILTER('RE Portfolio'!C$2:C2000,'RE Portfolio'!D$2:D2000=""BUY""), INT((ROW()-2)/amortYears)+1)
  * (1 + VALUE(Assumptions!$B$11))^(D406-1)
)
"),1390894.4279138506)</f>
        <v>1390894.428</v>
      </c>
    </row>
    <row r="407">
      <c r="A407" s="15">
        <f>IFERROR(__xludf.DUMMYFUNCTION("IFERROR(INDEX(FILTER('RE Portfolio'!A$2:A2000,'RE Portfolio'!D$2:D2000=""BUY""), INT((ROW()-2)/amortYears)+1), )
"),11.0)</f>
        <v>11</v>
      </c>
      <c r="B407" s="15">
        <f>IFERROR(__xludf.DUMMYFUNCTION("IFERROR(INDEX(FILTER('RE Portfolio'!B$2:B2000,'RE Portfolio'!D$2:D2000=""BUY""), INT((ROW()-2)/amortYears)+1), )
"),48.0)</f>
        <v>48</v>
      </c>
      <c r="C407" s="15">
        <f>IFERROR(__xludf.DUMMYFUNCTION("IFERROR(INDEX(FILTER('RE Portfolio'!G$2:G2000,'RE Portfolio'!D$2:D2000=""BUY""), INT((ROW()-2)/amortYears)+1), )
"),406963.3386560821)</f>
        <v>406963.3387</v>
      </c>
      <c r="D407" s="15">
        <f>MOD(ROW()-2, amortYears)+1</f>
        <v>26</v>
      </c>
      <c r="E407" s="15">
        <f t="shared" si="1"/>
        <v>73</v>
      </c>
      <c r="F407" s="16">
        <f t="shared" si="2"/>
        <v>131466.0966</v>
      </c>
      <c r="G407" s="16">
        <f>IF(D407&lt;=mortTerm, -PMT(mortRate/12, mortTerm*12, C407)*12, 0)
</f>
        <v>30867.42157</v>
      </c>
      <c r="H407" s="16">
        <f>IF(D407&lt;=mortTerm, G407 - I407, 0)
</f>
        <v>7868.128161</v>
      </c>
      <c r="I407" s="16">
        <f>IF(D407&lt;=mortTerm, F407 - J407, 0)
</f>
        <v>22999.29341</v>
      </c>
      <c r="J407" s="16">
        <f>IF(D407&lt;=mortTerm,
   F407*(1+mortRate/12)^12 - (-PMT(mortRate/12, mortTerm*12, C407))*(((1+mortRate/12)^12 - 1)/(mortRate/12)),
   0
)
</f>
        <v>108466.8031</v>
      </c>
      <c r="K407" s="13">
        <f>IFERROR(__xludf.DUMMYFUNCTION("IF(A407="""","""",
   IF(F407&gt;0,
      INDEX(FILTER('RE Portfolio'!L$2:L2000,'RE Portfolio'!D$2:D2000=""BUY""), INT((ROW()-2)/amortYears)+1) - G407,
      INDEX(FILTER('RE Portfolio'!L$2:L2000,'RE Portfolio'!D$2:D2000=""BUY""), INT((ROW()-2)/amortYears)+1"&amp;")
   )
)
"),9503.341622869564)</f>
        <v>9503.341623</v>
      </c>
      <c r="L407" s="15">
        <f>IFERROR(__xludf.DUMMYFUNCTION("IF(A407="""","""",
  INDEX(FILTER('RE Portfolio'!C$2:C2000,'RE Portfolio'!D$2:D2000=""BUY""), INT((ROW()-2)/amortYears)+1)
  * (1 + VALUE(Assumptions!$B$11))^(D407-1)
)
"),1446530.2050304045)</f>
        <v>1446530.205</v>
      </c>
    </row>
    <row r="408">
      <c r="A408" s="15">
        <f>IFERROR(__xludf.DUMMYFUNCTION("IFERROR(INDEX(FILTER('RE Portfolio'!A$2:A2000,'RE Portfolio'!D$2:D2000=""BUY""), INT((ROW()-2)/amortYears)+1), )
"),11.0)</f>
        <v>11</v>
      </c>
      <c r="B408" s="15">
        <f>IFERROR(__xludf.DUMMYFUNCTION("IFERROR(INDEX(FILTER('RE Portfolio'!B$2:B2000,'RE Portfolio'!D$2:D2000=""BUY""), INT((ROW()-2)/amortYears)+1), )
"),48.0)</f>
        <v>48</v>
      </c>
      <c r="C408" s="15">
        <f>IFERROR(__xludf.DUMMYFUNCTION("IFERROR(INDEX(FILTER('RE Portfolio'!G$2:G2000,'RE Portfolio'!D$2:D2000=""BUY""), INT((ROW()-2)/amortYears)+1), )
"),406963.3386560821)</f>
        <v>406963.3387</v>
      </c>
      <c r="D408" s="15">
        <f>MOD(ROW()-2, amortYears)+1</f>
        <v>27</v>
      </c>
      <c r="E408" s="15">
        <f t="shared" si="1"/>
        <v>74</v>
      </c>
      <c r="F408" s="16">
        <f t="shared" si="2"/>
        <v>108466.8031</v>
      </c>
      <c r="G408" s="16">
        <f>IF(D408&lt;=mortTerm, -PMT(mortRate/12, mortTerm*12, C408)*12, 0)
</f>
        <v>30867.42157</v>
      </c>
      <c r="H408" s="16">
        <f>IF(D408&lt;=mortTerm, G408 - I408, 0)
</f>
        <v>6327.822887</v>
      </c>
      <c r="I408" s="16">
        <f>IF(D408&lt;=mortTerm, F408 - J408, 0)
</f>
        <v>24539.59868</v>
      </c>
      <c r="J408" s="16">
        <f>IF(D408&lt;=mortTerm,
   F408*(1+mortRate/12)^12 - (-PMT(mortRate/12, mortTerm*12, C408))*(((1+mortRate/12)^12 - 1)/(mortRate/12)),
   0
)
</f>
        <v>83927.20446</v>
      </c>
      <c r="K408" s="13">
        <f>IFERROR(__xludf.DUMMYFUNCTION("IF(A408="""","""",
   IF(F408&gt;0,
      INDEX(FILTER('RE Portfolio'!L$2:L2000,'RE Portfolio'!D$2:D2000=""BUY""), INT((ROW()-2)/amortYears)+1) - G408,
      INDEX(FILTER('RE Portfolio'!L$2:L2000,'RE Portfolio'!D$2:D2000=""BUY""), INT((ROW()-2)/amortYears)+1"&amp;")
   )
)
"),9503.341622869564)</f>
        <v>9503.341623</v>
      </c>
      <c r="L408" s="15">
        <f>IFERROR(__xludf.DUMMYFUNCTION("IF(A408="""","""",
  INDEX(FILTER('RE Portfolio'!C$2:C2000,'RE Portfolio'!D$2:D2000=""BUY""), INT((ROW()-2)/amortYears)+1)
  * (1 + VALUE(Assumptions!$B$11))^(D408-1)
)
"),1504391.4132316206)</f>
        <v>1504391.413</v>
      </c>
    </row>
    <row r="409">
      <c r="A409" s="15">
        <f>IFERROR(__xludf.DUMMYFUNCTION("IFERROR(INDEX(FILTER('RE Portfolio'!A$2:A2000,'RE Portfolio'!D$2:D2000=""BUY""), INT((ROW()-2)/amortYears)+1), )
"),11.0)</f>
        <v>11</v>
      </c>
      <c r="B409" s="15">
        <f>IFERROR(__xludf.DUMMYFUNCTION("IFERROR(INDEX(FILTER('RE Portfolio'!B$2:B2000,'RE Portfolio'!D$2:D2000=""BUY""), INT((ROW()-2)/amortYears)+1), )
"),48.0)</f>
        <v>48</v>
      </c>
      <c r="C409" s="15">
        <f>IFERROR(__xludf.DUMMYFUNCTION("IFERROR(INDEX(FILTER('RE Portfolio'!G$2:G2000,'RE Portfolio'!D$2:D2000=""BUY""), INT((ROW()-2)/amortYears)+1), )
"),406963.3386560821)</f>
        <v>406963.3387</v>
      </c>
      <c r="D409" s="15">
        <f>MOD(ROW()-2, amortYears)+1</f>
        <v>28</v>
      </c>
      <c r="E409" s="15">
        <f t="shared" si="1"/>
        <v>75</v>
      </c>
      <c r="F409" s="16">
        <f t="shared" si="2"/>
        <v>83927.20446</v>
      </c>
      <c r="G409" s="16">
        <f>IF(D409&lt;=mortTerm, -PMT(mortRate/12, mortTerm*12, C409)*12, 0)
</f>
        <v>30867.42157</v>
      </c>
      <c r="H409" s="16">
        <f>IF(D409&lt;=mortTerm, G409 - I409, 0)
</f>
        <v>4684.360516</v>
      </c>
      <c r="I409" s="16">
        <f>IF(D409&lt;=mortTerm, F409 - J409, 0)
</f>
        <v>26183.06106</v>
      </c>
      <c r="J409" s="16">
        <f>IF(D409&lt;=mortTerm,
   F409*(1+mortRate/12)^12 - (-PMT(mortRate/12, mortTerm*12, C409))*(((1+mortRate/12)^12 - 1)/(mortRate/12)),
   0
)
</f>
        <v>57744.14341</v>
      </c>
      <c r="K409" s="13">
        <f>IFERROR(__xludf.DUMMYFUNCTION("IF(A409="""","""",
   IF(F409&gt;0,
      INDEX(FILTER('RE Portfolio'!L$2:L2000,'RE Portfolio'!D$2:D2000=""BUY""), INT((ROW()-2)/amortYears)+1) - G409,
      INDEX(FILTER('RE Portfolio'!L$2:L2000,'RE Portfolio'!D$2:D2000=""BUY""), INT((ROW()-2)/amortYears)+1"&amp;")
   )
)
"),9503.341622869564)</f>
        <v>9503.341623</v>
      </c>
      <c r="L409" s="15">
        <f>IFERROR(__xludf.DUMMYFUNCTION("IF(A409="""","""",
  INDEX(FILTER('RE Portfolio'!C$2:C2000,'RE Portfolio'!D$2:D2000=""BUY""), INT((ROW()-2)/amortYears)+1)
  * (1 + VALUE(Assumptions!$B$11))^(D409-1)
)
"),1564567.0697608856)</f>
        <v>1564567.07</v>
      </c>
    </row>
    <row r="410">
      <c r="A410" s="15">
        <f>IFERROR(__xludf.DUMMYFUNCTION("IFERROR(INDEX(FILTER('RE Portfolio'!A$2:A2000,'RE Portfolio'!D$2:D2000=""BUY""), INT((ROW()-2)/amortYears)+1), )
"),11.0)</f>
        <v>11</v>
      </c>
      <c r="B410" s="15">
        <f>IFERROR(__xludf.DUMMYFUNCTION("IFERROR(INDEX(FILTER('RE Portfolio'!B$2:B2000,'RE Portfolio'!D$2:D2000=""BUY""), INT((ROW()-2)/amortYears)+1), )
"),48.0)</f>
        <v>48</v>
      </c>
      <c r="C410" s="15">
        <f>IFERROR(__xludf.DUMMYFUNCTION("IFERROR(INDEX(FILTER('RE Portfolio'!G$2:G2000,'RE Portfolio'!D$2:D2000=""BUY""), INT((ROW()-2)/amortYears)+1), )
"),406963.3386560821)</f>
        <v>406963.3387</v>
      </c>
      <c r="D410" s="15">
        <f>MOD(ROW()-2, amortYears)+1</f>
        <v>29</v>
      </c>
      <c r="E410" s="15">
        <f t="shared" si="1"/>
        <v>76</v>
      </c>
      <c r="F410" s="16">
        <f t="shared" si="2"/>
        <v>57744.14341</v>
      </c>
      <c r="G410" s="16">
        <f>IF(D410&lt;=mortTerm, -PMT(mortRate/12, mortTerm*12, C410)*12, 0)
</f>
        <v>30867.42157</v>
      </c>
      <c r="H410" s="16">
        <f>IF(D410&lt;=mortTerm, G410 - I410, 0)
</f>
        <v>2930.832426</v>
      </c>
      <c r="I410" s="16">
        <f>IF(D410&lt;=mortTerm, F410 - J410, 0)
</f>
        <v>27936.58915</v>
      </c>
      <c r="J410" s="16">
        <f>IF(D410&lt;=mortTerm,
   F410*(1+mortRate/12)^12 - (-PMT(mortRate/12, mortTerm*12, C410))*(((1+mortRate/12)^12 - 1)/(mortRate/12)),
   0
)
</f>
        <v>29807.55426</v>
      </c>
      <c r="K410" s="13">
        <f>IFERROR(__xludf.DUMMYFUNCTION("IF(A410="""","""",
   IF(F410&gt;0,
      INDEX(FILTER('RE Portfolio'!L$2:L2000,'RE Portfolio'!D$2:D2000=""BUY""), INT((ROW()-2)/amortYears)+1) - G410,
      INDEX(FILTER('RE Portfolio'!L$2:L2000,'RE Portfolio'!D$2:D2000=""BUY""), INT((ROW()-2)/amortYears)+1"&amp;")
   )
)
"),9503.341622869564)</f>
        <v>9503.341623</v>
      </c>
      <c r="L410" s="15">
        <f>IFERROR(__xludf.DUMMYFUNCTION("IF(A410="""","""",
  INDEX(FILTER('RE Portfolio'!C$2:C2000,'RE Portfolio'!D$2:D2000=""BUY""), INT((ROW()-2)/amortYears)+1)
  * (1 + VALUE(Assumptions!$B$11))^(D410-1)
)
"),1627149.7525513212)</f>
        <v>1627149.753</v>
      </c>
    </row>
    <row r="411">
      <c r="A411" s="15">
        <f>IFERROR(__xludf.DUMMYFUNCTION("IFERROR(INDEX(FILTER('RE Portfolio'!A$2:A2000,'RE Portfolio'!D$2:D2000=""BUY""), INT((ROW()-2)/amortYears)+1), )
"),11.0)</f>
        <v>11</v>
      </c>
      <c r="B411" s="15">
        <f>IFERROR(__xludf.DUMMYFUNCTION("IFERROR(INDEX(FILTER('RE Portfolio'!B$2:B2000,'RE Portfolio'!D$2:D2000=""BUY""), INT((ROW()-2)/amortYears)+1), )
"),48.0)</f>
        <v>48</v>
      </c>
      <c r="C411" s="15">
        <f>IFERROR(__xludf.DUMMYFUNCTION("IFERROR(INDEX(FILTER('RE Portfolio'!G$2:G2000,'RE Portfolio'!D$2:D2000=""BUY""), INT((ROW()-2)/amortYears)+1), )
"),406963.3386560821)</f>
        <v>406963.3387</v>
      </c>
      <c r="D411" s="15">
        <f>MOD(ROW()-2, amortYears)+1</f>
        <v>30</v>
      </c>
      <c r="E411" s="15">
        <f t="shared" si="1"/>
        <v>77</v>
      </c>
      <c r="F411" s="16">
        <f t="shared" si="2"/>
        <v>29807.55426</v>
      </c>
      <c r="G411" s="16">
        <f>IF(D411&lt;=mortTerm, -PMT(mortRate/12, mortTerm*12, C411)*12, 0)
</f>
        <v>30867.42157</v>
      </c>
      <c r="H411" s="16">
        <f>IF(D411&lt;=mortTerm, G411 - I411, 0)
</f>
        <v>1059.867312</v>
      </c>
      <c r="I411" s="16">
        <f>IF(D411&lt;=mortTerm, F411 - J411, 0)
</f>
        <v>29807.55426</v>
      </c>
      <c r="J411" s="16">
        <f>IF(D411&lt;=mortTerm,
   F411*(1+mortRate/12)^12 - (-PMT(mortRate/12, mortTerm*12, C411))*(((1+mortRate/12)^12 - 1)/(mortRate/12)),
   0
)
</f>
        <v>-0.000000000811269274</v>
      </c>
      <c r="K411" s="13">
        <f>IFERROR(__xludf.DUMMYFUNCTION("IF(A411="""","""",
   IF(F411&gt;0,
      INDEX(FILTER('RE Portfolio'!L$2:L2000,'RE Portfolio'!D$2:D2000=""BUY""), INT((ROW()-2)/amortYears)+1) - G411,
      INDEX(FILTER('RE Portfolio'!L$2:L2000,'RE Portfolio'!D$2:D2000=""BUY""), INT((ROW()-2)/amortYears)+1"&amp;")
   )
)
"),9503.341622869564)</f>
        <v>9503.341623</v>
      </c>
      <c r="L411" s="15">
        <f>IFERROR(__xludf.DUMMYFUNCTION("IF(A411="""","""",
  INDEX(FILTER('RE Portfolio'!C$2:C2000,'RE Portfolio'!D$2:D2000=""BUY""), INT((ROW()-2)/amortYears)+1)
  * (1 + VALUE(Assumptions!$B$11))^(D411-1)
)
"),1692235.742653374)</f>
        <v>1692235.743</v>
      </c>
    </row>
    <row r="412">
      <c r="A412" s="15">
        <f>IFERROR(__xludf.DUMMYFUNCTION("IFERROR(INDEX(FILTER('RE Portfolio'!A$2:A2000,'RE Portfolio'!D$2:D2000=""BUY""), INT((ROW()-2)/amortYears)+1), )
"),11.0)</f>
        <v>11</v>
      </c>
      <c r="B412" s="15">
        <f>IFERROR(__xludf.DUMMYFUNCTION("IFERROR(INDEX(FILTER('RE Portfolio'!B$2:B2000,'RE Portfolio'!D$2:D2000=""BUY""), INT((ROW()-2)/amortYears)+1), )
"),48.0)</f>
        <v>48</v>
      </c>
      <c r="C412" s="15">
        <f>IFERROR(__xludf.DUMMYFUNCTION("IFERROR(INDEX(FILTER('RE Portfolio'!G$2:G2000,'RE Portfolio'!D$2:D2000=""BUY""), INT((ROW()-2)/amortYears)+1), )
"),406963.3386560821)</f>
        <v>406963.3387</v>
      </c>
      <c r="D412" s="15">
        <f>MOD(ROW()-2, amortYears)+1</f>
        <v>31</v>
      </c>
      <c r="E412" s="15">
        <f t="shared" si="1"/>
        <v>78</v>
      </c>
      <c r="F412" s="16">
        <f t="shared" si="2"/>
        <v>-0.000000000811269274</v>
      </c>
      <c r="G412" s="15">
        <f>IF(D412&lt;=mortTerm, -PMT(mortRate/12, mortTerm*12, C412)*12, 0)
</f>
        <v>0</v>
      </c>
      <c r="H412" s="15">
        <f>IF(D412&lt;=mortTerm, G412 - I412, 0)
</f>
        <v>0</v>
      </c>
      <c r="I412" s="15">
        <f>IF(D412&lt;=mortTerm, F412 - J412, 0)
</f>
        <v>0</v>
      </c>
      <c r="J412" s="15">
        <f>IF(D412&lt;=mortTerm,
   F412*(1+mortRate/12)^12 - (-PMT(mortRate/12, mortTerm*12, C412))*(((1+mortRate/12)^12 - 1)/(mortRate/12)),
   0
)
</f>
        <v>0</v>
      </c>
      <c r="K412" s="13">
        <f>IFERROR(__xludf.DUMMYFUNCTION("IF(A412="""","""",
   IF(F412&gt;0,
      INDEX(FILTER('RE Portfolio'!L$2:L2000,'RE Portfolio'!D$2:D2000=""BUY""), INT((ROW()-2)/amortYears)+1) - G412,
      INDEX(FILTER('RE Portfolio'!L$2:L2000,'RE Portfolio'!D$2:D2000=""BUY""), INT((ROW()-2)/amortYears)+1"&amp;")
   )
)
"),40370.76319468334)</f>
        <v>40370.76319</v>
      </c>
      <c r="L412" s="15">
        <f>IFERROR(__xludf.DUMMYFUNCTION("IF(A412="""","""",
  INDEX(FILTER('RE Portfolio'!C$2:C2000,'RE Portfolio'!D$2:D2000=""BUY""), INT((ROW()-2)/amortYears)+1)
  * (1 + VALUE(Assumptions!$B$11))^(D412-1)
)
"),1759925.1723595092)</f>
        <v>1759925.172</v>
      </c>
    </row>
    <row r="413">
      <c r="A413" s="15">
        <f>IFERROR(__xludf.DUMMYFUNCTION("IFERROR(INDEX(FILTER('RE Portfolio'!A$2:A2000,'RE Portfolio'!D$2:D2000=""BUY""), INT((ROW()-2)/amortYears)+1), )
"),11.0)</f>
        <v>11</v>
      </c>
      <c r="B413" s="15">
        <f>IFERROR(__xludf.DUMMYFUNCTION("IFERROR(INDEX(FILTER('RE Portfolio'!B$2:B2000,'RE Portfolio'!D$2:D2000=""BUY""), INT((ROW()-2)/amortYears)+1), )
"),48.0)</f>
        <v>48</v>
      </c>
      <c r="C413" s="15">
        <f>IFERROR(__xludf.DUMMYFUNCTION("IFERROR(INDEX(FILTER('RE Portfolio'!G$2:G2000,'RE Portfolio'!D$2:D2000=""BUY""), INT((ROW()-2)/amortYears)+1), )
"),406963.3386560821)</f>
        <v>406963.3387</v>
      </c>
      <c r="D413" s="15">
        <f>MOD(ROW()-2, amortYears)+1</f>
        <v>32</v>
      </c>
      <c r="E413" s="15">
        <f t="shared" si="1"/>
        <v>79</v>
      </c>
      <c r="F413" s="15">
        <f t="shared" si="2"/>
        <v>0</v>
      </c>
      <c r="G413" s="15">
        <f>IF(D413&lt;=mortTerm, -PMT(mortRate/12, mortTerm*12, C413)*12, 0)
</f>
        <v>0</v>
      </c>
      <c r="H413" s="15">
        <f>IF(D413&lt;=mortTerm, G413 - I413, 0)
</f>
        <v>0</v>
      </c>
      <c r="I413" s="15">
        <f>IF(D413&lt;=mortTerm, F413 - J413, 0)
</f>
        <v>0</v>
      </c>
      <c r="J413" s="15">
        <f>IF(D413&lt;=mortTerm,
   F413*(1+mortRate/12)^12 - (-PMT(mortRate/12, mortTerm*12, C413))*(((1+mortRate/12)^12 - 1)/(mortRate/12)),
   0
)
</f>
        <v>0</v>
      </c>
      <c r="K413" s="13">
        <f>IFERROR(__xludf.DUMMYFUNCTION("IF(A413="""","""",
   IF(F413&gt;0,
      INDEX(FILTER('RE Portfolio'!L$2:L2000,'RE Portfolio'!D$2:D2000=""BUY""), INT((ROW()-2)/amortYears)+1) - G413,
      INDEX(FILTER('RE Portfolio'!L$2:L2000,'RE Portfolio'!D$2:D2000=""BUY""), INT((ROW()-2)/amortYears)+1"&amp;")
   )
)
"),40370.76319468334)</f>
        <v>40370.76319</v>
      </c>
      <c r="L413" s="15">
        <f>IFERROR(__xludf.DUMMYFUNCTION("IF(A413="""","""",
  INDEX(FILTER('RE Portfolio'!C$2:C2000,'RE Portfolio'!D$2:D2000=""BUY""), INT((ROW()-2)/amortYears)+1)
  * (1 + VALUE(Assumptions!$B$11))^(D413-1)
)
"),1830322.1792538895)</f>
        <v>1830322.179</v>
      </c>
    </row>
    <row r="414">
      <c r="A414" s="15">
        <f>IFERROR(__xludf.DUMMYFUNCTION("IFERROR(INDEX(FILTER('RE Portfolio'!A$2:A2000,'RE Portfolio'!D$2:D2000=""BUY""), INT((ROW()-2)/amortYears)+1), )
"),11.0)</f>
        <v>11</v>
      </c>
      <c r="B414" s="15">
        <f>IFERROR(__xludf.DUMMYFUNCTION("IFERROR(INDEX(FILTER('RE Portfolio'!B$2:B2000,'RE Portfolio'!D$2:D2000=""BUY""), INT((ROW()-2)/amortYears)+1), )
"),48.0)</f>
        <v>48</v>
      </c>
      <c r="C414" s="15">
        <f>IFERROR(__xludf.DUMMYFUNCTION("IFERROR(INDEX(FILTER('RE Portfolio'!G$2:G2000,'RE Portfolio'!D$2:D2000=""BUY""), INT((ROW()-2)/amortYears)+1), )
"),406963.3386560821)</f>
        <v>406963.3387</v>
      </c>
      <c r="D414" s="15">
        <f>MOD(ROW()-2, amortYears)+1</f>
        <v>33</v>
      </c>
      <c r="E414" s="15">
        <f t="shared" si="1"/>
        <v>80</v>
      </c>
      <c r="F414" s="15">
        <f t="shared" si="2"/>
        <v>0</v>
      </c>
      <c r="G414" s="15">
        <f>IF(D414&lt;=mortTerm, -PMT(mortRate/12, mortTerm*12, C414)*12, 0)
</f>
        <v>0</v>
      </c>
      <c r="H414" s="15">
        <f>IF(D414&lt;=mortTerm, G414 - I414, 0)
</f>
        <v>0</v>
      </c>
      <c r="I414" s="15">
        <f>IF(D414&lt;=mortTerm, F414 - J414, 0)
</f>
        <v>0</v>
      </c>
      <c r="J414" s="15">
        <f>IF(D414&lt;=mortTerm,
   F414*(1+mortRate/12)^12 - (-PMT(mortRate/12, mortTerm*12, C414))*(((1+mortRate/12)^12 - 1)/(mortRate/12)),
   0
)
</f>
        <v>0</v>
      </c>
      <c r="K414" s="13">
        <f>IFERROR(__xludf.DUMMYFUNCTION("IF(A414="""","""",
   IF(F414&gt;0,
      INDEX(FILTER('RE Portfolio'!L$2:L2000,'RE Portfolio'!D$2:D2000=""BUY""), INT((ROW()-2)/amortYears)+1) - G414,
      INDEX(FILTER('RE Portfolio'!L$2:L2000,'RE Portfolio'!D$2:D2000=""BUY""), INT((ROW()-2)/amortYears)+1"&amp;")
   )
)
"),40370.76319468334)</f>
        <v>40370.76319</v>
      </c>
      <c r="L414" s="15">
        <f>IFERROR(__xludf.DUMMYFUNCTION("IF(A414="""","""",
  INDEX(FILTER('RE Portfolio'!C$2:C2000,'RE Portfolio'!D$2:D2000=""BUY""), INT((ROW()-2)/amortYears)+1)
  * (1 + VALUE(Assumptions!$B$11))^(D414-1)
)
"),1903535.066424045)</f>
        <v>1903535.066</v>
      </c>
    </row>
    <row r="415">
      <c r="A415" s="15">
        <f>IFERROR(__xludf.DUMMYFUNCTION("IFERROR(INDEX(FILTER('RE Portfolio'!A$2:A2000,'RE Portfolio'!D$2:D2000=""BUY""), INT((ROW()-2)/amortYears)+1), )
"),11.0)</f>
        <v>11</v>
      </c>
      <c r="B415" s="15">
        <f>IFERROR(__xludf.DUMMYFUNCTION("IFERROR(INDEX(FILTER('RE Portfolio'!B$2:B2000,'RE Portfolio'!D$2:D2000=""BUY""), INT((ROW()-2)/amortYears)+1), )
"),48.0)</f>
        <v>48</v>
      </c>
      <c r="C415" s="15">
        <f>IFERROR(__xludf.DUMMYFUNCTION("IFERROR(INDEX(FILTER('RE Portfolio'!G$2:G2000,'RE Portfolio'!D$2:D2000=""BUY""), INT((ROW()-2)/amortYears)+1), )
"),406963.3386560821)</f>
        <v>406963.3387</v>
      </c>
      <c r="D415" s="15">
        <f>MOD(ROW()-2, amortYears)+1</f>
        <v>34</v>
      </c>
      <c r="E415" s="15">
        <f t="shared" si="1"/>
        <v>81</v>
      </c>
      <c r="F415" s="15">
        <f t="shared" si="2"/>
        <v>0</v>
      </c>
      <c r="G415" s="15">
        <f>IF(D415&lt;=mortTerm, -PMT(mortRate/12, mortTerm*12, C415)*12, 0)
</f>
        <v>0</v>
      </c>
      <c r="H415" s="15">
        <f>IF(D415&lt;=mortTerm, G415 - I415, 0)
</f>
        <v>0</v>
      </c>
      <c r="I415" s="15">
        <f>IF(D415&lt;=mortTerm, F415 - J415, 0)
</f>
        <v>0</v>
      </c>
      <c r="J415" s="15">
        <f>IF(D415&lt;=mortTerm,
   F415*(1+mortRate/12)^12 - (-PMT(mortRate/12, mortTerm*12, C415))*(((1+mortRate/12)^12 - 1)/(mortRate/12)),
   0
)
</f>
        <v>0</v>
      </c>
      <c r="K415" s="13">
        <f>IFERROR(__xludf.DUMMYFUNCTION("IF(A415="""","""",
   IF(F415&gt;0,
      INDEX(FILTER('RE Portfolio'!L$2:L2000,'RE Portfolio'!D$2:D2000=""BUY""), INT((ROW()-2)/amortYears)+1) - G415,
      INDEX(FILTER('RE Portfolio'!L$2:L2000,'RE Portfolio'!D$2:D2000=""BUY""), INT((ROW()-2)/amortYears)+1"&amp;")
   )
)
"),40370.76319468334)</f>
        <v>40370.76319</v>
      </c>
      <c r="L415" s="15">
        <f>IFERROR(__xludf.DUMMYFUNCTION("IF(A415="""","""",
  INDEX(FILTER('RE Portfolio'!C$2:C2000,'RE Portfolio'!D$2:D2000=""BUY""), INT((ROW()-2)/amortYears)+1)
  * (1 + VALUE(Assumptions!$B$11))^(D415-1)
)
"),1979676.4690810072)</f>
        <v>1979676.469</v>
      </c>
    </row>
    <row r="416">
      <c r="A416" s="15">
        <f>IFERROR(__xludf.DUMMYFUNCTION("IFERROR(INDEX(FILTER('RE Portfolio'!A$2:A2000,'RE Portfolio'!D$2:D2000=""BUY""), INT((ROW()-2)/amortYears)+1), )
"),11.0)</f>
        <v>11</v>
      </c>
      <c r="B416" s="15">
        <f>IFERROR(__xludf.DUMMYFUNCTION("IFERROR(INDEX(FILTER('RE Portfolio'!B$2:B2000,'RE Portfolio'!D$2:D2000=""BUY""), INT((ROW()-2)/amortYears)+1), )
"),48.0)</f>
        <v>48</v>
      </c>
      <c r="C416" s="15">
        <f>IFERROR(__xludf.DUMMYFUNCTION("IFERROR(INDEX(FILTER('RE Portfolio'!G$2:G2000,'RE Portfolio'!D$2:D2000=""BUY""), INT((ROW()-2)/amortYears)+1), )
"),406963.3386560821)</f>
        <v>406963.3387</v>
      </c>
      <c r="D416" s="15">
        <f>MOD(ROW()-2, amortYears)+1</f>
        <v>35</v>
      </c>
      <c r="E416" s="15">
        <f t="shared" si="1"/>
        <v>82</v>
      </c>
      <c r="F416" s="15">
        <f t="shared" si="2"/>
        <v>0</v>
      </c>
      <c r="G416" s="15">
        <f>IF(D416&lt;=mortTerm, -PMT(mortRate/12, mortTerm*12, C416)*12, 0)
</f>
        <v>0</v>
      </c>
      <c r="H416" s="15">
        <f>IF(D416&lt;=mortTerm, G416 - I416, 0)
</f>
        <v>0</v>
      </c>
      <c r="I416" s="15">
        <f>IF(D416&lt;=mortTerm, F416 - J416, 0)
</f>
        <v>0</v>
      </c>
      <c r="J416" s="15">
        <f>IF(D416&lt;=mortTerm,
   F416*(1+mortRate/12)^12 - (-PMT(mortRate/12, mortTerm*12, C416))*(((1+mortRate/12)^12 - 1)/(mortRate/12)),
   0
)
</f>
        <v>0</v>
      </c>
      <c r="K416" s="13">
        <f>IFERROR(__xludf.DUMMYFUNCTION("IF(A416="""","""",
   IF(F416&gt;0,
      INDEX(FILTER('RE Portfolio'!L$2:L2000,'RE Portfolio'!D$2:D2000=""BUY""), INT((ROW()-2)/amortYears)+1) - G416,
      INDEX(FILTER('RE Portfolio'!L$2:L2000,'RE Portfolio'!D$2:D2000=""BUY""), INT((ROW()-2)/amortYears)+1"&amp;")
   )
)
"),40370.76319468334)</f>
        <v>40370.76319</v>
      </c>
      <c r="L416" s="15">
        <f>IFERROR(__xludf.DUMMYFUNCTION("IF(A416="""","""",
  INDEX(FILTER('RE Portfolio'!C$2:C2000,'RE Portfolio'!D$2:D2000=""BUY""), INT((ROW()-2)/amortYears)+1)
  * (1 + VALUE(Assumptions!$B$11))^(D416-1)
)
"),2058863.5278442474)</f>
        <v>2058863.528</v>
      </c>
    </row>
    <row r="417">
      <c r="A417" s="15">
        <f>IFERROR(__xludf.DUMMYFUNCTION("IFERROR(INDEX(FILTER('RE Portfolio'!A$2:A2000,'RE Portfolio'!D$2:D2000=""BUY""), INT((ROW()-2)/amortYears)+1), )
"),11.0)</f>
        <v>11</v>
      </c>
      <c r="B417" s="15">
        <f>IFERROR(__xludf.DUMMYFUNCTION("IFERROR(INDEX(FILTER('RE Portfolio'!B$2:B2000,'RE Portfolio'!D$2:D2000=""BUY""), INT((ROW()-2)/amortYears)+1), )
"),48.0)</f>
        <v>48</v>
      </c>
      <c r="C417" s="15">
        <f>IFERROR(__xludf.DUMMYFUNCTION("IFERROR(INDEX(FILTER('RE Portfolio'!G$2:G2000,'RE Portfolio'!D$2:D2000=""BUY""), INT((ROW()-2)/amortYears)+1), )
"),406963.3386560821)</f>
        <v>406963.3387</v>
      </c>
      <c r="D417" s="15">
        <f>MOD(ROW()-2, amortYears)+1</f>
        <v>36</v>
      </c>
      <c r="E417" s="15">
        <f t="shared" si="1"/>
        <v>83</v>
      </c>
      <c r="F417" s="15">
        <f t="shared" si="2"/>
        <v>0</v>
      </c>
      <c r="G417" s="15">
        <f>IF(D417&lt;=mortTerm, -PMT(mortRate/12, mortTerm*12, C417)*12, 0)
</f>
        <v>0</v>
      </c>
      <c r="H417" s="15">
        <f>IF(D417&lt;=mortTerm, G417 - I417, 0)
</f>
        <v>0</v>
      </c>
      <c r="I417" s="15">
        <f>IF(D417&lt;=mortTerm, F417 - J417, 0)
</f>
        <v>0</v>
      </c>
      <c r="J417" s="15">
        <f>IF(D417&lt;=mortTerm,
   F417*(1+mortRate/12)^12 - (-PMT(mortRate/12, mortTerm*12, C417))*(((1+mortRate/12)^12 - 1)/(mortRate/12)),
   0
)
</f>
        <v>0</v>
      </c>
      <c r="K417" s="13">
        <f>IFERROR(__xludf.DUMMYFUNCTION("IF(A417="""","""",
   IF(F417&gt;0,
      INDEX(FILTER('RE Portfolio'!L$2:L2000,'RE Portfolio'!D$2:D2000=""BUY""), INT((ROW()-2)/amortYears)+1) - G417,
      INDEX(FILTER('RE Portfolio'!L$2:L2000,'RE Portfolio'!D$2:D2000=""BUY""), INT((ROW()-2)/amortYears)+1"&amp;")
   )
)
"),40370.76319468334)</f>
        <v>40370.76319</v>
      </c>
      <c r="L417" s="15">
        <f>IFERROR(__xludf.DUMMYFUNCTION("IF(A417="""","""",
  INDEX(FILTER('RE Portfolio'!C$2:C2000,'RE Portfolio'!D$2:D2000=""BUY""), INT((ROW()-2)/amortYears)+1)
  * (1 + VALUE(Assumptions!$B$11))^(D417-1)
)
"),2141218.0689580175)</f>
        <v>2141218.069</v>
      </c>
    </row>
    <row r="418">
      <c r="A418" s="15">
        <f>IFERROR(__xludf.DUMMYFUNCTION("IFERROR(INDEX(FILTER('RE Portfolio'!A$2:A2000,'RE Portfolio'!D$2:D2000=""BUY""), INT((ROW()-2)/amortYears)+1), )
"),11.0)</f>
        <v>11</v>
      </c>
      <c r="B418" s="15">
        <f>IFERROR(__xludf.DUMMYFUNCTION("IFERROR(INDEX(FILTER('RE Portfolio'!B$2:B2000,'RE Portfolio'!D$2:D2000=""BUY""), INT((ROW()-2)/amortYears)+1), )
"),48.0)</f>
        <v>48</v>
      </c>
      <c r="C418" s="15">
        <f>IFERROR(__xludf.DUMMYFUNCTION("IFERROR(INDEX(FILTER('RE Portfolio'!G$2:G2000,'RE Portfolio'!D$2:D2000=""BUY""), INT((ROW()-2)/amortYears)+1), )
"),406963.3386560821)</f>
        <v>406963.3387</v>
      </c>
      <c r="D418" s="15">
        <f>MOD(ROW()-2, amortYears)+1</f>
        <v>37</v>
      </c>
      <c r="E418" s="15">
        <f t="shared" si="1"/>
        <v>84</v>
      </c>
      <c r="F418" s="15">
        <f t="shared" si="2"/>
        <v>0</v>
      </c>
      <c r="G418" s="15">
        <f>IF(D418&lt;=mortTerm, -PMT(mortRate/12, mortTerm*12, C418)*12, 0)
</f>
        <v>0</v>
      </c>
      <c r="H418" s="15">
        <f>IF(D418&lt;=mortTerm, G418 - I418, 0)
</f>
        <v>0</v>
      </c>
      <c r="I418" s="15">
        <f>IF(D418&lt;=mortTerm, F418 - J418, 0)
</f>
        <v>0</v>
      </c>
      <c r="J418" s="15">
        <f>IF(D418&lt;=mortTerm,
   F418*(1+mortRate/12)^12 - (-PMT(mortRate/12, mortTerm*12, C418))*(((1+mortRate/12)^12 - 1)/(mortRate/12)),
   0
)
</f>
        <v>0</v>
      </c>
      <c r="K418" s="13">
        <f>IFERROR(__xludf.DUMMYFUNCTION("IF(A418="""","""",
   IF(F418&gt;0,
      INDEX(FILTER('RE Portfolio'!L$2:L2000,'RE Portfolio'!D$2:D2000=""BUY""), INT((ROW()-2)/amortYears)+1) - G418,
      INDEX(FILTER('RE Portfolio'!L$2:L2000,'RE Portfolio'!D$2:D2000=""BUY""), INT((ROW()-2)/amortYears)+1"&amp;")
   )
)
"),40370.76319468334)</f>
        <v>40370.76319</v>
      </c>
      <c r="L418" s="15">
        <f>IFERROR(__xludf.DUMMYFUNCTION("IF(A418="""","""",
  INDEX(FILTER('RE Portfolio'!C$2:C2000,'RE Portfolio'!D$2:D2000=""BUY""), INT((ROW()-2)/amortYears)+1)
  * (1 + VALUE(Assumptions!$B$11))^(D418-1)
)
"),2226866.791716338)</f>
        <v>2226866.792</v>
      </c>
    </row>
    <row r="419">
      <c r="A419" s="15">
        <f>IFERROR(__xludf.DUMMYFUNCTION("IFERROR(INDEX(FILTER('RE Portfolio'!A$2:A2000,'RE Portfolio'!D$2:D2000=""BUY""), INT((ROW()-2)/amortYears)+1), )
"),11.0)</f>
        <v>11</v>
      </c>
      <c r="B419" s="15">
        <f>IFERROR(__xludf.DUMMYFUNCTION("IFERROR(INDEX(FILTER('RE Portfolio'!B$2:B2000,'RE Portfolio'!D$2:D2000=""BUY""), INT((ROW()-2)/amortYears)+1), )
"),48.0)</f>
        <v>48</v>
      </c>
      <c r="C419" s="15">
        <f>IFERROR(__xludf.DUMMYFUNCTION("IFERROR(INDEX(FILTER('RE Portfolio'!G$2:G2000,'RE Portfolio'!D$2:D2000=""BUY""), INT((ROW()-2)/amortYears)+1), )
"),406963.3386560821)</f>
        <v>406963.3387</v>
      </c>
      <c r="D419" s="15">
        <f>MOD(ROW()-2, amortYears)+1</f>
        <v>38</v>
      </c>
      <c r="E419" s="15">
        <f t="shared" si="1"/>
        <v>85</v>
      </c>
      <c r="F419" s="15">
        <f t="shared" si="2"/>
        <v>0</v>
      </c>
      <c r="G419" s="15">
        <f>IF(D419&lt;=mortTerm, -PMT(mortRate/12, mortTerm*12, C419)*12, 0)
</f>
        <v>0</v>
      </c>
      <c r="H419" s="15">
        <f>IF(D419&lt;=mortTerm, G419 - I419, 0)
</f>
        <v>0</v>
      </c>
      <c r="I419" s="15">
        <f>IF(D419&lt;=mortTerm, F419 - J419, 0)
</f>
        <v>0</v>
      </c>
      <c r="J419" s="15">
        <f>IF(D419&lt;=mortTerm,
   F419*(1+mortRate/12)^12 - (-PMT(mortRate/12, mortTerm*12, C419))*(((1+mortRate/12)^12 - 1)/(mortRate/12)),
   0
)
</f>
        <v>0</v>
      </c>
      <c r="K419" s="13">
        <f>IFERROR(__xludf.DUMMYFUNCTION("IF(A419="""","""",
   IF(F419&gt;0,
      INDEX(FILTER('RE Portfolio'!L$2:L2000,'RE Portfolio'!D$2:D2000=""BUY""), INT((ROW()-2)/amortYears)+1) - G419,
      INDEX(FILTER('RE Portfolio'!L$2:L2000,'RE Portfolio'!D$2:D2000=""BUY""), INT((ROW()-2)/amortYears)+1"&amp;")
   )
)
"),40370.76319468334)</f>
        <v>40370.76319</v>
      </c>
      <c r="L419" s="15">
        <f>IFERROR(__xludf.DUMMYFUNCTION("IF(A419="""","""",
  INDEX(FILTER('RE Portfolio'!C$2:C2000,'RE Portfolio'!D$2:D2000=""BUY""), INT((ROW()-2)/amortYears)+1)
  * (1 + VALUE(Assumptions!$B$11))^(D419-1)
)
"),2315941.4633849915)</f>
        <v>2315941.463</v>
      </c>
    </row>
    <row r="420">
      <c r="A420" s="15">
        <f>IFERROR(__xludf.DUMMYFUNCTION("IFERROR(INDEX(FILTER('RE Portfolio'!A$2:A2000,'RE Portfolio'!D$2:D2000=""BUY""), INT((ROW()-2)/amortYears)+1), )
"),12.0)</f>
        <v>12</v>
      </c>
      <c r="B420" s="15">
        <f>IFERROR(__xludf.DUMMYFUNCTION("IFERROR(INDEX(FILTER('RE Portfolio'!B$2:B2000,'RE Portfolio'!D$2:D2000=""BUY""), INT((ROW()-2)/amortYears)+1), )
"),50.0)</f>
        <v>50</v>
      </c>
      <c r="C420" s="15">
        <f>IFERROR(__xludf.DUMMYFUNCTION("IFERROR(INDEX(FILTER('RE Portfolio'!G$2:G2000,'RE Portfolio'!D$2:D2000=""BUY""), INT((ROW()-2)/amortYears)+1), )
"),427565.8576755462)</f>
        <v>427565.8577</v>
      </c>
      <c r="D420" s="15">
        <f>MOD(ROW()-2, amortYears)+1</f>
        <v>1</v>
      </c>
      <c r="E420" s="15">
        <f t="shared" si="1"/>
        <v>50</v>
      </c>
      <c r="F420" s="15">
        <f t="shared" si="2"/>
        <v>427565.8577</v>
      </c>
      <c r="G420" s="16">
        <f>IF(D420&lt;=mortTerm, -PMT(mortRate/12, mortTerm*12, C420)*12, 0)
</f>
        <v>32430.08479</v>
      </c>
      <c r="H420" s="16">
        <f>IF(D420&lt;=mortTerm, G420 - I420, 0)
</f>
        <v>27651.0723</v>
      </c>
      <c r="I420" s="16">
        <f>IF(D420&lt;=mortTerm, F420 - J420, 0)
</f>
        <v>4779.012488</v>
      </c>
      <c r="J420" s="16">
        <f>IF(D420&lt;=mortTerm,
   F420*(1+mortRate/12)^12 - (-PMT(mortRate/12, mortTerm*12, C420))*(((1+mortRate/12)^12 - 1)/(mortRate/12)),
   0
)
</f>
        <v>422786.8452</v>
      </c>
      <c r="K420" s="13">
        <f>IFERROR(__xludf.DUMMYFUNCTION("IF(A420="""","""",
   IF(F420&gt;0,
      INDEX(FILTER('RE Portfolio'!L$2:L2000,'RE Portfolio'!D$2:D2000=""BUY""), INT((ROW()-2)/amortYears)+1) - G420,
      INDEX(FILTER('RE Portfolio'!L$2:L2000,'RE Portfolio'!D$2:D2000=""BUY""), INT((ROW()-2)/amortYears)+1"&amp;")
   )
)
"),9984.44829252734)</f>
        <v>9984.448293</v>
      </c>
      <c r="L420" s="15">
        <f>IFERROR(__xludf.DUMMYFUNCTION("IF(A420="""","""",
  INDEX(FILTER('RE Portfolio'!C$2:C2000,'RE Portfolio'!D$2:D2000=""BUY""), INT((ROW()-2)/amortYears)+1)
  * (1 + VALUE(Assumptions!$B$11))^(D420-1)
)
"),570087.8102340616)</f>
        <v>570087.8102</v>
      </c>
    </row>
    <row r="421">
      <c r="A421" s="15">
        <f>IFERROR(__xludf.DUMMYFUNCTION("IFERROR(INDEX(FILTER('RE Portfolio'!A$2:A2000,'RE Portfolio'!D$2:D2000=""BUY""), INT((ROW()-2)/amortYears)+1), )
"),12.0)</f>
        <v>12</v>
      </c>
      <c r="B421" s="15">
        <f>IFERROR(__xludf.DUMMYFUNCTION("IFERROR(INDEX(FILTER('RE Portfolio'!B$2:B2000,'RE Portfolio'!D$2:D2000=""BUY""), INT((ROW()-2)/amortYears)+1), )
"),50.0)</f>
        <v>50</v>
      </c>
      <c r="C421" s="15">
        <f>IFERROR(__xludf.DUMMYFUNCTION("IFERROR(INDEX(FILTER('RE Portfolio'!G$2:G2000,'RE Portfolio'!D$2:D2000=""BUY""), INT((ROW()-2)/amortYears)+1), )
"),427565.8576755462)</f>
        <v>427565.8577</v>
      </c>
      <c r="D421" s="15">
        <f>MOD(ROW()-2, amortYears)+1</f>
        <v>2</v>
      </c>
      <c r="E421" s="15">
        <f t="shared" si="1"/>
        <v>51</v>
      </c>
      <c r="F421" s="16">
        <f t="shared" si="2"/>
        <v>422786.8452</v>
      </c>
      <c r="G421" s="16">
        <f>IF(D421&lt;=mortTerm, -PMT(mortRate/12, mortTerm*12, C421)*12, 0)
</f>
        <v>32430.08479</v>
      </c>
      <c r="H421" s="16">
        <f>IF(D421&lt;=mortTerm, G421 - I421, 0)
</f>
        <v>27331.01298</v>
      </c>
      <c r="I421" s="16">
        <f>IF(D421&lt;=mortTerm, F421 - J421, 0)
</f>
        <v>5099.071805</v>
      </c>
      <c r="J421" s="16">
        <f>IF(D421&lt;=mortTerm,
   F421*(1+mortRate/12)^12 - (-PMT(mortRate/12, mortTerm*12, C421))*(((1+mortRate/12)^12 - 1)/(mortRate/12)),
   0
)
</f>
        <v>417687.7734</v>
      </c>
      <c r="K421" s="13">
        <f>IFERROR(__xludf.DUMMYFUNCTION("IF(A421="""","""",
   IF(F421&gt;0,
      INDEX(FILTER('RE Portfolio'!L$2:L2000,'RE Portfolio'!D$2:D2000=""BUY""), INT((ROW()-2)/amortYears)+1) - G421,
      INDEX(FILTER('RE Portfolio'!L$2:L2000,'RE Portfolio'!D$2:D2000=""BUY""), INT((ROW()-2)/amortYears)+1"&amp;")
   )
)
"),9984.44829252734)</f>
        <v>9984.448293</v>
      </c>
      <c r="L421" s="15">
        <f>IFERROR(__xludf.DUMMYFUNCTION("IF(A421="""","""",
  INDEX(FILTER('RE Portfolio'!C$2:C2000,'RE Portfolio'!D$2:D2000=""BUY""), INT((ROW()-2)/amortYears)+1)
  * (1 + VALUE(Assumptions!$B$11))^(D421-1)
)
"),592891.322643424)</f>
        <v>592891.3226</v>
      </c>
    </row>
    <row r="422">
      <c r="A422" s="15">
        <f>IFERROR(__xludf.DUMMYFUNCTION("IFERROR(INDEX(FILTER('RE Portfolio'!A$2:A2000,'RE Portfolio'!D$2:D2000=""BUY""), INT((ROW()-2)/amortYears)+1), )
"),12.0)</f>
        <v>12</v>
      </c>
      <c r="B422" s="15">
        <f>IFERROR(__xludf.DUMMYFUNCTION("IFERROR(INDEX(FILTER('RE Portfolio'!B$2:B2000,'RE Portfolio'!D$2:D2000=""BUY""), INT((ROW()-2)/amortYears)+1), )
"),50.0)</f>
        <v>50</v>
      </c>
      <c r="C422" s="15">
        <f>IFERROR(__xludf.DUMMYFUNCTION("IFERROR(INDEX(FILTER('RE Portfolio'!G$2:G2000,'RE Portfolio'!D$2:D2000=""BUY""), INT((ROW()-2)/amortYears)+1), )
"),427565.8576755462)</f>
        <v>427565.8577</v>
      </c>
      <c r="D422" s="15">
        <f>MOD(ROW()-2, amortYears)+1</f>
        <v>3</v>
      </c>
      <c r="E422" s="15">
        <f t="shared" si="1"/>
        <v>52</v>
      </c>
      <c r="F422" s="16">
        <f t="shared" si="2"/>
        <v>417687.7734</v>
      </c>
      <c r="G422" s="16">
        <f>IF(D422&lt;=mortTerm, -PMT(mortRate/12, mortTerm*12, C422)*12, 0)
</f>
        <v>32430.08479</v>
      </c>
      <c r="H422" s="16">
        <f>IF(D422&lt;=mortTerm, G422 - I422, 0)
</f>
        <v>26989.5187</v>
      </c>
      <c r="I422" s="16">
        <f>IF(D422&lt;=mortTerm, F422 - J422, 0)
</f>
        <v>5440.566087</v>
      </c>
      <c r="J422" s="16">
        <f>IF(D422&lt;=mortTerm,
   F422*(1+mortRate/12)^12 - (-PMT(mortRate/12, mortTerm*12, C422))*(((1+mortRate/12)^12 - 1)/(mortRate/12)),
   0
)
</f>
        <v>412247.2073</v>
      </c>
      <c r="K422" s="13">
        <f>IFERROR(__xludf.DUMMYFUNCTION("IF(A422="""","""",
   IF(F422&gt;0,
      INDEX(FILTER('RE Portfolio'!L$2:L2000,'RE Portfolio'!D$2:D2000=""BUY""), INT((ROW()-2)/amortYears)+1) - G422,
      INDEX(FILTER('RE Portfolio'!L$2:L2000,'RE Portfolio'!D$2:D2000=""BUY""), INT((ROW()-2)/amortYears)+1"&amp;")
   )
)
"),9984.44829252734)</f>
        <v>9984.448293</v>
      </c>
      <c r="L422" s="15">
        <f>IFERROR(__xludf.DUMMYFUNCTION("IF(A422="""","""",
  INDEX(FILTER('RE Portfolio'!C$2:C2000,'RE Portfolio'!D$2:D2000=""BUY""), INT((ROW()-2)/amortYears)+1)
  * (1 + VALUE(Assumptions!$B$11))^(D422-1)
)
"),616606.9755491611)</f>
        <v>616606.9755</v>
      </c>
    </row>
    <row r="423">
      <c r="A423" s="15">
        <f>IFERROR(__xludf.DUMMYFUNCTION("IFERROR(INDEX(FILTER('RE Portfolio'!A$2:A2000,'RE Portfolio'!D$2:D2000=""BUY""), INT((ROW()-2)/amortYears)+1), )
"),12.0)</f>
        <v>12</v>
      </c>
      <c r="B423" s="15">
        <f>IFERROR(__xludf.DUMMYFUNCTION("IFERROR(INDEX(FILTER('RE Portfolio'!B$2:B2000,'RE Portfolio'!D$2:D2000=""BUY""), INT((ROW()-2)/amortYears)+1), )
"),50.0)</f>
        <v>50</v>
      </c>
      <c r="C423" s="15">
        <f>IFERROR(__xludf.DUMMYFUNCTION("IFERROR(INDEX(FILTER('RE Portfolio'!G$2:G2000,'RE Portfolio'!D$2:D2000=""BUY""), INT((ROW()-2)/amortYears)+1), )
"),427565.8576755462)</f>
        <v>427565.8577</v>
      </c>
      <c r="D423" s="15">
        <f>MOD(ROW()-2, amortYears)+1</f>
        <v>4</v>
      </c>
      <c r="E423" s="15">
        <f t="shared" si="1"/>
        <v>53</v>
      </c>
      <c r="F423" s="16">
        <f t="shared" si="2"/>
        <v>412247.2073</v>
      </c>
      <c r="G423" s="16">
        <f>IF(D423&lt;=mortTerm, -PMT(mortRate/12, mortTerm*12, C423)*12, 0)
</f>
        <v>32430.08479</v>
      </c>
      <c r="H423" s="16">
        <f>IF(D423&lt;=mortTerm, G423 - I423, 0)
</f>
        <v>26625.15391</v>
      </c>
      <c r="I423" s="16">
        <f>IF(D423&lt;=mortTerm, F423 - J423, 0)
</f>
        <v>5804.930874</v>
      </c>
      <c r="J423" s="16">
        <f>IF(D423&lt;=mortTerm,
   F423*(1+mortRate/12)^12 - (-PMT(mortRate/12, mortTerm*12, C423))*(((1+mortRate/12)^12 - 1)/(mortRate/12)),
   0
)
</f>
        <v>406442.2764</v>
      </c>
      <c r="K423" s="13">
        <f>IFERROR(__xludf.DUMMYFUNCTION("IF(A423="""","""",
   IF(F423&gt;0,
      INDEX(FILTER('RE Portfolio'!L$2:L2000,'RE Portfolio'!D$2:D2000=""BUY""), INT((ROW()-2)/amortYears)+1) - G423,
      INDEX(FILTER('RE Portfolio'!L$2:L2000,'RE Portfolio'!D$2:D2000=""BUY""), INT((ROW()-2)/amortYears)+1"&amp;")
   )
)
"),9984.44829252734)</f>
        <v>9984.448293</v>
      </c>
      <c r="L423" s="15">
        <f>IFERROR(__xludf.DUMMYFUNCTION("IF(A423="""","""",
  INDEX(FILTER('RE Portfolio'!C$2:C2000,'RE Portfolio'!D$2:D2000=""BUY""), INT((ROW()-2)/amortYears)+1)
  * (1 + VALUE(Assumptions!$B$11))^(D423-1)
)
"),641271.2545711275)</f>
        <v>641271.2546</v>
      </c>
    </row>
    <row r="424">
      <c r="A424" s="15">
        <f>IFERROR(__xludf.DUMMYFUNCTION("IFERROR(INDEX(FILTER('RE Portfolio'!A$2:A2000,'RE Portfolio'!D$2:D2000=""BUY""), INT((ROW()-2)/amortYears)+1), )
"),12.0)</f>
        <v>12</v>
      </c>
      <c r="B424" s="15">
        <f>IFERROR(__xludf.DUMMYFUNCTION("IFERROR(INDEX(FILTER('RE Portfolio'!B$2:B2000,'RE Portfolio'!D$2:D2000=""BUY""), INT((ROW()-2)/amortYears)+1), )
"),50.0)</f>
        <v>50</v>
      </c>
      <c r="C424" s="15">
        <f>IFERROR(__xludf.DUMMYFUNCTION("IFERROR(INDEX(FILTER('RE Portfolio'!G$2:G2000,'RE Portfolio'!D$2:D2000=""BUY""), INT((ROW()-2)/amortYears)+1), )
"),427565.8576755462)</f>
        <v>427565.8577</v>
      </c>
      <c r="D424" s="15">
        <f>MOD(ROW()-2, amortYears)+1</f>
        <v>5</v>
      </c>
      <c r="E424" s="15">
        <f t="shared" si="1"/>
        <v>54</v>
      </c>
      <c r="F424" s="16">
        <f t="shared" si="2"/>
        <v>406442.2764</v>
      </c>
      <c r="G424" s="16">
        <f>IF(D424&lt;=mortTerm, -PMT(mortRate/12, mortTerm*12, C424)*12, 0)
</f>
        <v>32430.08479</v>
      </c>
      <c r="H424" s="16">
        <f>IF(D424&lt;=mortTerm, G424 - I424, 0)
</f>
        <v>26236.38694</v>
      </c>
      <c r="I424" s="16">
        <f>IF(D424&lt;=mortTerm, F424 - J424, 0)
</f>
        <v>6193.697845</v>
      </c>
      <c r="J424" s="16">
        <f>IF(D424&lt;=mortTerm,
   F424*(1+mortRate/12)^12 - (-PMT(mortRate/12, mortTerm*12, C424))*(((1+mortRate/12)^12 - 1)/(mortRate/12)),
   0
)
</f>
        <v>400248.5786</v>
      </c>
      <c r="K424" s="13">
        <f>IFERROR(__xludf.DUMMYFUNCTION("IF(A424="""","""",
   IF(F424&gt;0,
      INDEX(FILTER('RE Portfolio'!L$2:L2000,'RE Portfolio'!D$2:D2000=""BUY""), INT((ROW()-2)/amortYears)+1) - G424,
      INDEX(FILTER('RE Portfolio'!L$2:L2000,'RE Portfolio'!D$2:D2000=""BUY""), INT((ROW()-2)/amortYears)+1"&amp;")
   )
)
"),9984.44829252734)</f>
        <v>9984.448293</v>
      </c>
      <c r="L424" s="15">
        <f>IFERROR(__xludf.DUMMYFUNCTION("IF(A424="""","""",
  INDEX(FILTER('RE Portfolio'!C$2:C2000,'RE Portfolio'!D$2:D2000=""BUY""), INT((ROW()-2)/amortYears)+1)
  * (1 + VALUE(Assumptions!$B$11))^(D424-1)
)
"),666922.1047539726)</f>
        <v>666922.1048</v>
      </c>
    </row>
    <row r="425">
      <c r="A425" s="15">
        <f>IFERROR(__xludf.DUMMYFUNCTION("IFERROR(INDEX(FILTER('RE Portfolio'!A$2:A2000,'RE Portfolio'!D$2:D2000=""BUY""), INT((ROW()-2)/amortYears)+1), )
"),12.0)</f>
        <v>12</v>
      </c>
      <c r="B425" s="15">
        <f>IFERROR(__xludf.DUMMYFUNCTION("IFERROR(INDEX(FILTER('RE Portfolio'!B$2:B2000,'RE Portfolio'!D$2:D2000=""BUY""), INT((ROW()-2)/amortYears)+1), )
"),50.0)</f>
        <v>50</v>
      </c>
      <c r="C425" s="15">
        <f>IFERROR(__xludf.DUMMYFUNCTION("IFERROR(INDEX(FILTER('RE Portfolio'!G$2:G2000,'RE Portfolio'!D$2:D2000=""BUY""), INT((ROW()-2)/amortYears)+1), )
"),427565.8576755462)</f>
        <v>427565.8577</v>
      </c>
      <c r="D425" s="15">
        <f>MOD(ROW()-2, amortYears)+1</f>
        <v>6</v>
      </c>
      <c r="E425" s="15">
        <f t="shared" si="1"/>
        <v>55</v>
      </c>
      <c r="F425" s="16">
        <f t="shared" si="2"/>
        <v>400248.5786</v>
      </c>
      <c r="G425" s="16">
        <f>IF(D425&lt;=mortTerm, -PMT(mortRate/12, mortTerm*12, C425)*12, 0)
</f>
        <v>32430.08479</v>
      </c>
      <c r="H425" s="16">
        <f>IF(D425&lt;=mortTerm, G425 - I425, 0)
</f>
        <v>25821.58353</v>
      </c>
      <c r="I425" s="16">
        <f>IF(D425&lt;=mortTerm, F425 - J425, 0)
</f>
        <v>6608.501261</v>
      </c>
      <c r="J425" s="16">
        <f>IF(D425&lt;=mortTerm,
   F425*(1+mortRate/12)^12 - (-PMT(mortRate/12, mortTerm*12, C425))*(((1+mortRate/12)^12 - 1)/(mortRate/12)),
   0
)
</f>
        <v>393640.0773</v>
      </c>
      <c r="K425" s="13">
        <f>IFERROR(__xludf.DUMMYFUNCTION("IF(A425="""","""",
   IF(F425&gt;0,
      INDEX(FILTER('RE Portfolio'!L$2:L2000,'RE Portfolio'!D$2:D2000=""BUY""), INT((ROW()-2)/amortYears)+1) - G425,
      INDEX(FILTER('RE Portfolio'!L$2:L2000,'RE Portfolio'!D$2:D2000=""BUY""), INT((ROW()-2)/amortYears)+1"&amp;")
   )
)
"),9984.44829252734)</f>
        <v>9984.448293</v>
      </c>
      <c r="L425" s="15">
        <f>IFERROR(__xludf.DUMMYFUNCTION("IF(A425="""","""",
  INDEX(FILTER('RE Portfolio'!C$2:C2000,'RE Portfolio'!D$2:D2000=""BUY""), INT((ROW()-2)/amortYears)+1)
  * (1 + VALUE(Assumptions!$B$11))^(D425-1)
)
"),693598.9889441315)</f>
        <v>693598.9889</v>
      </c>
    </row>
    <row r="426">
      <c r="A426" s="15">
        <f>IFERROR(__xludf.DUMMYFUNCTION("IFERROR(INDEX(FILTER('RE Portfolio'!A$2:A2000,'RE Portfolio'!D$2:D2000=""BUY""), INT((ROW()-2)/amortYears)+1), )
"),12.0)</f>
        <v>12</v>
      </c>
      <c r="B426" s="15">
        <f>IFERROR(__xludf.DUMMYFUNCTION("IFERROR(INDEX(FILTER('RE Portfolio'!B$2:B2000,'RE Portfolio'!D$2:D2000=""BUY""), INT((ROW()-2)/amortYears)+1), )
"),50.0)</f>
        <v>50</v>
      </c>
      <c r="C426" s="15">
        <f>IFERROR(__xludf.DUMMYFUNCTION("IFERROR(INDEX(FILTER('RE Portfolio'!G$2:G2000,'RE Portfolio'!D$2:D2000=""BUY""), INT((ROW()-2)/amortYears)+1), )
"),427565.8576755462)</f>
        <v>427565.8577</v>
      </c>
      <c r="D426" s="15">
        <f>MOD(ROW()-2, amortYears)+1</f>
        <v>7</v>
      </c>
      <c r="E426" s="15">
        <f t="shared" si="1"/>
        <v>56</v>
      </c>
      <c r="F426" s="16">
        <f t="shared" si="2"/>
        <v>393640.0773</v>
      </c>
      <c r="G426" s="16">
        <f>IF(D426&lt;=mortTerm, -PMT(mortRate/12, mortTerm*12, C426)*12, 0)
</f>
        <v>32430.08479</v>
      </c>
      <c r="H426" s="16">
        <f>IF(D426&lt;=mortTerm, G426 - I426, 0)
</f>
        <v>25378.99996</v>
      </c>
      <c r="I426" s="16">
        <f>IF(D426&lt;=mortTerm, F426 - J426, 0)
</f>
        <v>7051.084829</v>
      </c>
      <c r="J426" s="16">
        <f>IF(D426&lt;=mortTerm,
   F426*(1+mortRate/12)^12 - (-PMT(mortRate/12, mortTerm*12, C426))*(((1+mortRate/12)^12 - 1)/(mortRate/12)),
   0
)
</f>
        <v>386588.9925</v>
      </c>
      <c r="K426" s="13">
        <f>IFERROR(__xludf.DUMMYFUNCTION("IF(A426="""","""",
   IF(F426&gt;0,
      INDEX(FILTER('RE Portfolio'!L$2:L2000,'RE Portfolio'!D$2:D2000=""BUY""), INT((ROW()-2)/amortYears)+1) - G426,
      INDEX(FILTER('RE Portfolio'!L$2:L2000,'RE Portfolio'!D$2:D2000=""BUY""), INT((ROW()-2)/amortYears)+1"&amp;")
   )
)
"),9984.44829252734)</f>
        <v>9984.448293</v>
      </c>
      <c r="L426" s="15">
        <f>IFERROR(__xludf.DUMMYFUNCTION("IF(A426="""","""",
  INDEX(FILTER('RE Portfolio'!C$2:C2000,'RE Portfolio'!D$2:D2000=""BUY""), INT((ROW()-2)/amortYears)+1)
  * (1 + VALUE(Assumptions!$B$11))^(D426-1)
)
"),721342.9485018969)</f>
        <v>721342.9485</v>
      </c>
    </row>
    <row r="427">
      <c r="A427" s="15">
        <f>IFERROR(__xludf.DUMMYFUNCTION("IFERROR(INDEX(FILTER('RE Portfolio'!A$2:A2000,'RE Portfolio'!D$2:D2000=""BUY""), INT((ROW()-2)/amortYears)+1), )
"),12.0)</f>
        <v>12</v>
      </c>
      <c r="B427" s="15">
        <f>IFERROR(__xludf.DUMMYFUNCTION("IFERROR(INDEX(FILTER('RE Portfolio'!B$2:B2000,'RE Portfolio'!D$2:D2000=""BUY""), INT((ROW()-2)/amortYears)+1), )
"),50.0)</f>
        <v>50</v>
      </c>
      <c r="C427" s="15">
        <f>IFERROR(__xludf.DUMMYFUNCTION("IFERROR(INDEX(FILTER('RE Portfolio'!G$2:G2000,'RE Portfolio'!D$2:D2000=""BUY""), INT((ROW()-2)/amortYears)+1), )
"),427565.8576755462)</f>
        <v>427565.8577</v>
      </c>
      <c r="D427" s="15">
        <f>MOD(ROW()-2, amortYears)+1</f>
        <v>8</v>
      </c>
      <c r="E427" s="15">
        <f t="shared" si="1"/>
        <v>57</v>
      </c>
      <c r="F427" s="16">
        <f t="shared" si="2"/>
        <v>386588.9925</v>
      </c>
      <c r="G427" s="16">
        <f>IF(D427&lt;=mortTerm, -PMT(mortRate/12, mortTerm*12, C427)*12, 0)
</f>
        <v>32430.08479</v>
      </c>
      <c r="H427" s="16">
        <f>IF(D427&lt;=mortTerm, G427 - I427, 0)
</f>
        <v>24906.77575</v>
      </c>
      <c r="I427" s="16">
        <f>IF(D427&lt;=mortTerm, F427 - J427, 0)
</f>
        <v>7523.309039</v>
      </c>
      <c r="J427" s="16">
        <f>IF(D427&lt;=mortTerm,
   F427*(1+mortRate/12)^12 - (-PMT(mortRate/12, mortTerm*12, C427))*(((1+mortRate/12)^12 - 1)/(mortRate/12)),
   0
)
</f>
        <v>379065.6834</v>
      </c>
      <c r="K427" s="13">
        <f>IFERROR(__xludf.DUMMYFUNCTION("IF(A427="""","""",
   IF(F427&gt;0,
      INDEX(FILTER('RE Portfolio'!L$2:L2000,'RE Portfolio'!D$2:D2000=""BUY""), INT((ROW()-2)/amortYears)+1) - G427,
      INDEX(FILTER('RE Portfolio'!L$2:L2000,'RE Portfolio'!D$2:D2000=""BUY""), INT((ROW()-2)/amortYears)+1"&amp;")
   )
)
"),9984.44829252734)</f>
        <v>9984.448293</v>
      </c>
      <c r="L427" s="15">
        <f>IFERROR(__xludf.DUMMYFUNCTION("IF(A427="""","""",
  INDEX(FILTER('RE Portfolio'!C$2:C2000,'RE Portfolio'!D$2:D2000=""BUY""), INT((ROW()-2)/amortYears)+1)
  * (1 + VALUE(Assumptions!$B$11))^(D427-1)
)
"),750196.6664419727)</f>
        <v>750196.6664</v>
      </c>
    </row>
    <row r="428">
      <c r="A428" s="15">
        <f>IFERROR(__xludf.DUMMYFUNCTION("IFERROR(INDEX(FILTER('RE Portfolio'!A$2:A2000,'RE Portfolio'!D$2:D2000=""BUY""), INT((ROW()-2)/amortYears)+1), )
"),12.0)</f>
        <v>12</v>
      </c>
      <c r="B428" s="15">
        <f>IFERROR(__xludf.DUMMYFUNCTION("IFERROR(INDEX(FILTER('RE Portfolio'!B$2:B2000,'RE Portfolio'!D$2:D2000=""BUY""), INT((ROW()-2)/amortYears)+1), )
"),50.0)</f>
        <v>50</v>
      </c>
      <c r="C428" s="15">
        <f>IFERROR(__xludf.DUMMYFUNCTION("IFERROR(INDEX(FILTER('RE Portfolio'!G$2:G2000,'RE Portfolio'!D$2:D2000=""BUY""), INT((ROW()-2)/amortYears)+1), )
"),427565.8576755462)</f>
        <v>427565.8577</v>
      </c>
      <c r="D428" s="15">
        <f>MOD(ROW()-2, amortYears)+1</f>
        <v>9</v>
      </c>
      <c r="E428" s="15">
        <f t="shared" si="1"/>
        <v>58</v>
      </c>
      <c r="F428" s="16">
        <f t="shared" si="2"/>
        <v>379065.6834</v>
      </c>
      <c r="G428" s="16">
        <f>IF(D428&lt;=mortTerm, -PMT(mortRate/12, mortTerm*12, C428)*12, 0)
</f>
        <v>32430.08479</v>
      </c>
      <c r="H428" s="16">
        <f>IF(D428&lt;=mortTerm, G428 - I428, 0)
</f>
        <v>24402.92581</v>
      </c>
      <c r="I428" s="16">
        <f>IF(D428&lt;=mortTerm, F428 - J428, 0)
</f>
        <v>8027.158978</v>
      </c>
      <c r="J428" s="16">
        <f>IF(D428&lt;=mortTerm,
   F428*(1+mortRate/12)^12 - (-PMT(mortRate/12, mortTerm*12, C428))*(((1+mortRate/12)^12 - 1)/(mortRate/12)),
   0
)
</f>
        <v>371038.5245</v>
      </c>
      <c r="K428" s="13">
        <f>IFERROR(__xludf.DUMMYFUNCTION("IF(A428="""","""",
   IF(F428&gt;0,
      INDEX(FILTER('RE Portfolio'!L$2:L2000,'RE Portfolio'!D$2:D2000=""BUY""), INT((ROW()-2)/amortYears)+1) - G428,
      INDEX(FILTER('RE Portfolio'!L$2:L2000,'RE Portfolio'!D$2:D2000=""BUY""), INT((ROW()-2)/amortYears)+1"&amp;")
   )
)
"),9984.44829252734)</f>
        <v>9984.448293</v>
      </c>
      <c r="L428" s="15">
        <f>IFERROR(__xludf.DUMMYFUNCTION("IF(A428="""","""",
  INDEX(FILTER('RE Portfolio'!C$2:C2000,'RE Portfolio'!D$2:D2000=""BUY""), INT((ROW()-2)/amortYears)+1)
  * (1 + VALUE(Assumptions!$B$11))^(D428-1)
)
"),780204.5330996516)</f>
        <v>780204.5331</v>
      </c>
    </row>
    <row r="429">
      <c r="A429" s="15">
        <f>IFERROR(__xludf.DUMMYFUNCTION("IFERROR(INDEX(FILTER('RE Portfolio'!A$2:A2000,'RE Portfolio'!D$2:D2000=""BUY""), INT((ROW()-2)/amortYears)+1), )
"),12.0)</f>
        <v>12</v>
      </c>
      <c r="B429" s="15">
        <f>IFERROR(__xludf.DUMMYFUNCTION("IFERROR(INDEX(FILTER('RE Portfolio'!B$2:B2000,'RE Portfolio'!D$2:D2000=""BUY""), INT((ROW()-2)/amortYears)+1), )
"),50.0)</f>
        <v>50</v>
      </c>
      <c r="C429" s="15">
        <f>IFERROR(__xludf.DUMMYFUNCTION("IFERROR(INDEX(FILTER('RE Portfolio'!G$2:G2000,'RE Portfolio'!D$2:D2000=""BUY""), INT((ROW()-2)/amortYears)+1), )
"),427565.8576755462)</f>
        <v>427565.8577</v>
      </c>
      <c r="D429" s="15">
        <f>MOD(ROW()-2, amortYears)+1</f>
        <v>10</v>
      </c>
      <c r="E429" s="15">
        <f t="shared" si="1"/>
        <v>59</v>
      </c>
      <c r="F429" s="16">
        <f t="shared" si="2"/>
        <v>371038.5245</v>
      </c>
      <c r="G429" s="16">
        <f>IF(D429&lt;=mortTerm, -PMT(mortRate/12, mortTerm*12, C429)*12, 0)
</f>
        <v>32430.08479</v>
      </c>
      <c r="H429" s="16">
        <f>IF(D429&lt;=mortTerm, G429 - I429, 0)
</f>
        <v>23865.33211</v>
      </c>
      <c r="I429" s="16">
        <f>IF(D429&lt;=mortTerm, F429 - J429, 0)
</f>
        <v>8564.752681</v>
      </c>
      <c r="J429" s="16">
        <f>IF(D429&lt;=mortTerm,
   F429*(1+mortRate/12)^12 - (-PMT(mortRate/12, mortTerm*12, C429))*(((1+mortRate/12)^12 - 1)/(mortRate/12)),
   0
)
</f>
        <v>362473.7718</v>
      </c>
      <c r="K429" s="13">
        <f>IFERROR(__xludf.DUMMYFUNCTION("IF(A429="""","""",
   IF(F429&gt;0,
      INDEX(FILTER('RE Portfolio'!L$2:L2000,'RE Portfolio'!D$2:D2000=""BUY""), INT((ROW()-2)/amortYears)+1) - G429,
      INDEX(FILTER('RE Portfolio'!L$2:L2000,'RE Portfolio'!D$2:D2000=""BUY""), INT((ROW()-2)/amortYears)+1"&amp;")
   )
)
"),9984.44829252734)</f>
        <v>9984.448293</v>
      </c>
      <c r="L429" s="15">
        <f>IFERROR(__xludf.DUMMYFUNCTION("IF(A429="""","""",
  INDEX(FILTER('RE Portfolio'!C$2:C2000,'RE Portfolio'!D$2:D2000=""BUY""), INT((ROW()-2)/amortYears)+1)
  * (1 + VALUE(Assumptions!$B$11))^(D429-1)
)
"),811412.7144236377)</f>
        <v>811412.7144</v>
      </c>
    </row>
    <row r="430">
      <c r="A430" s="15">
        <f>IFERROR(__xludf.DUMMYFUNCTION("IFERROR(INDEX(FILTER('RE Portfolio'!A$2:A2000,'RE Portfolio'!D$2:D2000=""BUY""), INT((ROW()-2)/amortYears)+1), )
"),12.0)</f>
        <v>12</v>
      </c>
      <c r="B430" s="15">
        <f>IFERROR(__xludf.DUMMYFUNCTION("IFERROR(INDEX(FILTER('RE Portfolio'!B$2:B2000,'RE Portfolio'!D$2:D2000=""BUY""), INT((ROW()-2)/amortYears)+1), )
"),50.0)</f>
        <v>50</v>
      </c>
      <c r="C430" s="15">
        <f>IFERROR(__xludf.DUMMYFUNCTION("IFERROR(INDEX(FILTER('RE Portfolio'!G$2:G2000,'RE Portfolio'!D$2:D2000=""BUY""), INT((ROW()-2)/amortYears)+1), )
"),427565.8576755462)</f>
        <v>427565.8577</v>
      </c>
      <c r="D430" s="15">
        <f>MOD(ROW()-2, amortYears)+1</f>
        <v>11</v>
      </c>
      <c r="E430" s="15">
        <f t="shared" si="1"/>
        <v>60</v>
      </c>
      <c r="F430" s="16">
        <f t="shared" si="2"/>
        <v>362473.7718</v>
      </c>
      <c r="G430" s="16">
        <f>IF(D430&lt;=mortTerm, -PMT(mortRate/12, mortTerm*12, C430)*12, 0)
</f>
        <v>32430.08479</v>
      </c>
      <c r="H430" s="16">
        <f>IF(D430&lt;=mortTerm, G430 - I430, 0)
</f>
        <v>23291.73476</v>
      </c>
      <c r="I430" s="16">
        <f>IF(D430&lt;=mortTerm, F430 - J430, 0)
</f>
        <v>9138.35003</v>
      </c>
      <c r="J430" s="16">
        <f>IF(D430&lt;=mortTerm,
   F430*(1+mortRate/12)^12 - (-PMT(mortRate/12, mortTerm*12, C430))*(((1+mortRate/12)^12 - 1)/(mortRate/12)),
   0
)
</f>
        <v>353335.4218</v>
      </c>
      <c r="K430" s="13">
        <f>IFERROR(__xludf.DUMMYFUNCTION("IF(A430="""","""",
   IF(F430&gt;0,
      INDEX(FILTER('RE Portfolio'!L$2:L2000,'RE Portfolio'!D$2:D2000=""BUY""), INT((ROW()-2)/amortYears)+1) - G430,
      INDEX(FILTER('RE Portfolio'!L$2:L2000,'RE Portfolio'!D$2:D2000=""BUY""), INT((ROW()-2)/amortYears)+1"&amp;")
   )
)
"),9984.44829252734)</f>
        <v>9984.448293</v>
      </c>
      <c r="L430" s="15">
        <f>IFERROR(__xludf.DUMMYFUNCTION("IF(A430="""","""",
  INDEX(FILTER('RE Portfolio'!C$2:C2000,'RE Portfolio'!D$2:D2000=""BUY""), INT((ROW()-2)/amortYears)+1)
  * (1 + VALUE(Assumptions!$B$11))^(D430-1)
)
"),843869.2230005832)</f>
        <v>843869.223</v>
      </c>
    </row>
    <row r="431">
      <c r="A431" s="15">
        <f>IFERROR(__xludf.DUMMYFUNCTION("IFERROR(INDEX(FILTER('RE Portfolio'!A$2:A2000,'RE Portfolio'!D$2:D2000=""BUY""), INT((ROW()-2)/amortYears)+1), )
"),12.0)</f>
        <v>12</v>
      </c>
      <c r="B431" s="15">
        <f>IFERROR(__xludf.DUMMYFUNCTION("IFERROR(INDEX(FILTER('RE Portfolio'!B$2:B2000,'RE Portfolio'!D$2:D2000=""BUY""), INT((ROW()-2)/amortYears)+1), )
"),50.0)</f>
        <v>50</v>
      </c>
      <c r="C431" s="15">
        <f>IFERROR(__xludf.DUMMYFUNCTION("IFERROR(INDEX(FILTER('RE Portfolio'!G$2:G2000,'RE Portfolio'!D$2:D2000=""BUY""), INT((ROW()-2)/amortYears)+1), )
"),427565.8576755462)</f>
        <v>427565.8577</v>
      </c>
      <c r="D431" s="15">
        <f>MOD(ROW()-2, amortYears)+1</f>
        <v>12</v>
      </c>
      <c r="E431" s="15">
        <f t="shared" si="1"/>
        <v>61</v>
      </c>
      <c r="F431" s="16">
        <f t="shared" si="2"/>
        <v>353335.4218</v>
      </c>
      <c r="G431" s="16">
        <f>IF(D431&lt;=mortTerm, -PMT(mortRate/12, mortTerm*12, C431)*12, 0)
</f>
        <v>32430.08479</v>
      </c>
      <c r="H431" s="16">
        <f>IF(D431&lt;=mortTerm, G431 - I431, 0)
</f>
        <v>22679.72253</v>
      </c>
      <c r="I431" s="16">
        <f>IF(D431&lt;=mortTerm, F431 - J431, 0)
</f>
        <v>9750.362256</v>
      </c>
      <c r="J431" s="16">
        <f>IF(D431&lt;=mortTerm,
   F431*(1+mortRate/12)^12 - (-PMT(mortRate/12, mortTerm*12, C431))*(((1+mortRate/12)^12 - 1)/(mortRate/12)),
   0
)
</f>
        <v>343585.0595</v>
      </c>
      <c r="K431" s="13">
        <f>IFERROR(__xludf.DUMMYFUNCTION("IF(A431="""","""",
   IF(F431&gt;0,
      INDEX(FILTER('RE Portfolio'!L$2:L2000,'RE Portfolio'!D$2:D2000=""BUY""), INT((ROW()-2)/amortYears)+1) - G431,
      INDEX(FILTER('RE Portfolio'!L$2:L2000,'RE Portfolio'!D$2:D2000=""BUY""), INT((ROW()-2)/amortYears)+1"&amp;")
   )
)
"),9984.44829252734)</f>
        <v>9984.448293</v>
      </c>
      <c r="L431" s="15">
        <f>IFERROR(__xludf.DUMMYFUNCTION("IF(A431="""","""",
  INDEX(FILTER('RE Portfolio'!C$2:C2000,'RE Portfolio'!D$2:D2000=""BUY""), INT((ROW()-2)/amortYears)+1)
  * (1 + VALUE(Assumptions!$B$11))^(D431-1)
)
"),877623.9919206067)</f>
        <v>877623.9919</v>
      </c>
    </row>
    <row r="432">
      <c r="A432" s="15">
        <f>IFERROR(__xludf.DUMMYFUNCTION("IFERROR(INDEX(FILTER('RE Portfolio'!A$2:A2000,'RE Portfolio'!D$2:D2000=""BUY""), INT((ROW()-2)/amortYears)+1), )
"),12.0)</f>
        <v>12</v>
      </c>
      <c r="B432" s="15">
        <f>IFERROR(__xludf.DUMMYFUNCTION("IFERROR(INDEX(FILTER('RE Portfolio'!B$2:B2000,'RE Portfolio'!D$2:D2000=""BUY""), INT((ROW()-2)/amortYears)+1), )
"),50.0)</f>
        <v>50</v>
      </c>
      <c r="C432" s="15">
        <f>IFERROR(__xludf.DUMMYFUNCTION("IFERROR(INDEX(FILTER('RE Portfolio'!G$2:G2000,'RE Portfolio'!D$2:D2000=""BUY""), INT((ROW()-2)/amortYears)+1), )
"),427565.8576755462)</f>
        <v>427565.8577</v>
      </c>
      <c r="D432" s="15">
        <f>MOD(ROW()-2, amortYears)+1</f>
        <v>13</v>
      </c>
      <c r="E432" s="15">
        <f t="shared" si="1"/>
        <v>62</v>
      </c>
      <c r="F432" s="16">
        <f t="shared" si="2"/>
        <v>343585.0595</v>
      </c>
      <c r="G432" s="16">
        <f>IF(D432&lt;=mortTerm, -PMT(mortRate/12, mortTerm*12, C432)*12, 0)
</f>
        <v>32430.08479</v>
      </c>
      <c r="H432" s="16">
        <f>IF(D432&lt;=mortTerm, G432 - I432, 0)
</f>
        <v>22026.72271</v>
      </c>
      <c r="I432" s="16">
        <f>IF(D432&lt;=mortTerm, F432 - J432, 0)
</f>
        <v>10403.36207</v>
      </c>
      <c r="J432" s="16">
        <f>IF(D432&lt;=mortTerm,
   F432*(1+mortRate/12)^12 - (-PMT(mortRate/12, mortTerm*12, C432))*(((1+mortRate/12)^12 - 1)/(mortRate/12)),
   0
)
</f>
        <v>333181.6974</v>
      </c>
      <c r="K432" s="13">
        <f>IFERROR(__xludf.DUMMYFUNCTION("IF(A432="""","""",
   IF(F432&gt;0,
      INDEX(FILTER('RE Portfolio'!L$2:L2000,'RE Portfolio'!D$2:D2000=""BUY""), INT((ROW()-2)/amortYears)+1) - G432,
      INDEX(FILTER('RE Portfolio'!L$2:L2000,'RE Portfolio'!D$2:D2000=""BUY""), INT((ROW()-2)/amortYears)+1"&amp;")
   )
)
"),9984.44829252734)</f>
        <v>9984.448293</v>
      </c>
      <c r="L432" s="15">
        <f>IFERROR(__xludf.DUMMYFUNCTION("IF(A432="""","""",
  INDEX(FILTER('RE Portfolio'!C$2:C2000,'RE Portfolio'!D$2:D2000=""BUY""), INT((ROW()-2)/amortYears)+1)
  * (1 + VALUE(Assumptions!$B$11))^(D432-1)
)
"),912728.951597431)</f>
        <v>912728.9516</v>
      </c>
    </row>
    <row r="433">
      <c r="A433" s="15">
        <f>IFERROR(__xludf.DUMMYFUNCTION("IFERROR(INDEX(FILTER('RE Portfolio'!A$2:A2000,'RE Portfolio'!D$2:D2000=""BUY""), INT((ROW()-2)/amortYears)+1), )
"),12.0)</f>
        <v>12</v>
      </c>
      <c r="B433" s="15">
        <f>IFERROR(__xludf.DUMMYFUNCTION("IFERROR(INDEX(FILTER('RE Portfolio'!B$2:B2000,'RE Portfolio'!D$2:D2000=""BUY""), INT((ROW()-2)/amortYears)+1), )
"),50.0)</f>
        <v>50</v>
      </c>
      <c r="C433" s="15">
        <f>IFERROR(__xludf.DUMMYFUNCTION("IFERROR(INDEX(FILTER('RE Portfolio'!G$2:G2000,'RE Portfolio'!D$2:D2000=""BUY""), INT((ROW()-2)/amortYears)+1), )
"),427565.8576755462)</f>
        <v>427565.8577</v>
      </c>
      <c r="D433" s="15">
        <f>MOD(ROW()-2, amortYears)+1</f>
        <v>14</v>
      </c>
      <c r="E433" s="15">
        <f t="shared" si="1"/>
        <v>63</v>
      </c>
      <c r="F433" s="16">
        <f t="shared" si="2"/>
        <v>333181.6974</v>
      </c>
      <c r="G433" s="16">
        <f>IF(D433&lt;=mortTerm, -PMT(mortRate/12, mortTerm*12, C433)*12, 0)
</f>
        <v>32430.08479</v>
      </c>
      <c r="H433" s="16">
        <f>IF(D433&lt;=mortTerm, G433 - I433, 0)
</f>
        <v>21329.99029</v>
      </c>
      <c r="I433" s="16">
        <f>IF(D433&lt;=mortTerm, F433 - J433, 0)
</f>
        <v>11100.0945</v>
      </c>
      <c r="J433" s="16">
        <f>IF(D433&lt;=mortTerm,
   F433*(1+mortRate/12)^12 - (-PMT(mortRate/12, mortTerm*12, C433))*(((1+mortRate/12)^12 - 1)/(mortRate/12)),
   0
)
</f>
        <v>322081.6029</v>
      </c>
      <c r="K433" s="13">
        <f>IFERROR(__xludf.DUMMYFUNCTION("IF(A433="""","""",
   IF(F433&gt;0,
      INDEX(FILTER('RE Portfolio'!L$2:L2000,'RE Portfolio'!D$2:D2000=""BUY""), INT((ROW()-2)/amortYears)+1) - G433,
      INDEX(FILTER('RE Portfolio'!L$2:L2000,'RE Portfolio'!D$2:D2000=""BUY""), INT((ROW()-2)/amortYears)+1"&amp;")
   )
)
"),9984.44829252734)</f>
        <v>9984.448293</v>
      </c>
      <c r="L433" s="15">
        <f>IFERROR(__xludf.DUMMYFUNCTION("IF(A433="""","""",
  INDEX(FILTER('RE Portfolio'!C$2:C2000,'RE Portfolio'!D$2:D2000=""BUY""), INT((ROW()-2)/amortYears)+1)
  * (1 + VALUE(Assumptions!$B$11))^(D433-1)
)
"),949238.1096613283)</f>
        <v>949238.1097</v>
      </c>
    </row>
    <row r="434">
      <c r="A434" s="15">
        <f>IFERROR(__xludf.DUMMYFUNCTION("IFERROR(INDEX(FILTER('RE Portfolio'!A$2:A2000,'RE Portfolio'!D$2:D2000=""BUY""), INT((ROW()-2)/amortYears)+1), )
"),12.0)</f>
        <v>12</v>
      </c>
      <c r="B434" s="15">
        <f>IFERROR(__xludf.DUMMYFUNCTION("IFERROR(INDEX(FILTER('RE Portfolio'!B$2:B2000,'RE Portfolio'!D$2:D2000=""BUY""), INT((ROW()-2)/amortYears)+1), )
"),50.0)</f>
        <v>50</v>
      </c>
      <c r="C434" s="15">
        <f>IFERROR(__xludf.DUMMYFUNCTION("IFERROR(INDEX(FILTER('RE Portfolio'!G$2:G2000,'RE Portfolio'!D$2:D2000=""BUY""), INT((ROW()-2)/amortYears)+1), )
"),427565.8576755462)</f>
        <v>427565.8577</v>
      </c>
      <c r="D434" s="15">
        <f>MOD(ROW()-2, amortYears)+1</f>
        <v>15</v>
      </c>
      <c r="E434" s="15">
        <f t="shared" si="1"/>
        <v>64</v>
      </c>
      <c r="F434" s="16">
        <f t="shared" si="2"/>
        <v>322081.6029</v>
      </c>
      <c r="G434" s="16">
        <f>IF(D434&lt;=mortTerm, -PMT(mortRate/12, mortTerm*12, C434)*12, 0)
</f>
        <v>32430.08479</v>
      </c>
      <c r="H434" s="16">
        <f>IF(D434&lt;=mortTerm, G434 - I434, 0)
</f>
        <v>20586.5964</v>
      </c>
      <c r="I434" s="16">
        <f>IF(D434&lt;=mortTerm, F434 - J434, 0)
</f>
        <v>11843.48839</v>
      </c>
      <c r="J434" s="16">
        <f>IF(D434&lt;=mortTerm,
   F434*(1+mortRate/12)^12 - (-PMT(mortRate/12, mortTerm*12, C434))*(((1+mortRate/12)^12 - 1)/(mortRate/12)),
   0
)
</f>
        <v>310238.1145</v>
      </c>
      <c r="K434" s="13">
        <f>IFERROR(__xludf.DUMMYFUNCTION("IF(A434="""","""",
   IF(F434&gt;0,
      INDEX(FILTER('RE Portfolio'!L$2:L2000,'RE Portfolio'!D$2:D2000=""BUY""), INT((ROW()-2)/amortYears)+1) - G434,
      INDEX(FILTER('RE Portfolio'!L$2:L2000,'RE Portfolio'!D$2:D2000=""BUY""), INT((ROW()-2)/amortYears)+1"&amp;")
   )
)
"),9984.44829252734)</f>
        <v>9984.448293</v>
      </c>
      <c r="L434" s="15">
        <f>IFERROR(__xludf.DUMMYFUNCTION("IF(A434="""","""",
  INDEX(FILTER('RE Portfolio'!C$2:C2000,'RE Portfolio'!D$2:D2000=""BUY""), INT((ROW()-2)/amortYears)+1)
  * (1 + VALUE(Assumptions!$B$11))^(D434-1)
)
"),987207.6340477814)</f>
        <v>987207.634</v>
      </c>
    </row>
    <row r="435">
      <c r="A435" s="15">
        <f>IFERROR(__xludf.DUMMYFUNCTION("IFERROR(INDEX(FILTER('RE Portfolio'!A$2:A2000,'RE Portfolio'!D$2:D2000=""BUY""), INT((ROW()-2)/amortYears)+1), )
"),12.0)</f>
        <v>12</v>
      </c>
      <c r="B435" s="15">
        <f>IFERROR(__xludf.DUMMYFUNCTION("IFERROR(INDEX(FILTER('RE Portfolio'!B$2:B2000,'RE Portfolio'!D$2:D2000=""BUY""), INT((ROW()-2)/amortYears)+1), )
"),50.0)</f>
        <v>50</v>
      </c>
      <c r="C435" s="15">
        <f>IFERROR(__xludf.DUMMYFUNCTION("IFERROR(INDEX(FILTER('RE Portfolio'!G$2:G2000,'RE Portfolio'!D$2:D2000=""BUY""), INT((ROW()-2)/amortYears)+1), )
"),427565.8576755462)</f>
        <v>427565.8577</v>
      </c>
      <c r="D435" s="15">
        <f>MOD(ROW()-2, amortYears)+1</f>
        <v>16</v>
      </c>
      <c r="E435" s="15">
        <f t="shared" si="1"/>
        <v>65</v>
      </c>
      <c r="F435" s="16">
        <f t="shared" si="2"/>
        <v>310238.1145</v>
      </c>
      <c r="G435" s="16">
        <f>IF(D435&lt;=mortTerm, -PMT(mortRate/12, mortTerm*12, C435)*12, 0)
</f>
        <v>32430.08479</v>
      </c>
      <c r="H435" s="16">
        <f>IF(D435&lt;=mortTerm, G435 - I435, 0)
</f>
        <v>19793.41605</v>
      </c>
      <c r="I435" s="16">
        <f>IF(D435&lt;=mortTerm, F435 - J435, 0)
</f>
        <v>12636.66874</v>
      </c>
      <c r="J435" s="16">
        <f>IF(D435&lt;=mortTerm,
   F435*(1+mortRate/12)^12 - (-PMT(mortRate/12, mortTerm*12, C435))*(((1+mortRate/12)^12 - 1)/(mortRate/12)),
   0
)
</f>
        <v>297601.4458</v>
      </c>
      <c r="K435" s="13">
        <f>IFERROR(__xludf.DUMMYFUNCTION("IF(A435="""","""",
   IF(F435&gt;0,
      INDEX(FILTER('RE Portfolio'!L$2:L2000,'RE Portfolio'!D$2:D2000=""BUY""), INT((ROW()-2)/amortYears)+1) - G435,
      INDEX(FILTER('RE Portfolio'!L$2:L2000,'RE Portfolio'!D$2:D2000=""BUY""), INT((ROW()-2)/amortYears)+1"&amp;")
   )
)
"),9984.44829252734)</f>
        <v>9984.448293</v>
      </c>
      <c r="L435" s="15">
        <f>IFERROR(__xludf.DUMMYFUNCTION("IF(A435="""","""",
  INDEX(FILTER('RE Portfolio'!C$2:C2000,'RE Portfolio'!D$2:D2000=""BUY""), INT((ROW()-2)/amortYears)+1)
  * (1 + VALUE(Assumptions!$B$11))^(D435-1)
)
"),1026695.9394096927)</f>
        <v>1026695.939</v>
      </c>
    </row>
    <row r="436">
      <c r="A436" s="15">
        <f>IFERROR(__xludf.DUMMYFUNCTION("IFERROR(INDEX(FILTER('RE Portfolio'!A$2:A2000,'RE Portfolio'!D$2:D2000=""BUY""), INT((ROW()-2)/amortYears)+1), )
"),12.0)</f>
        <v>12</v>
      </c>
      <c r="B436" s="15">
        <f>IFERROR(__xludf.DUMMYFUNCTION("IFERROR(INDEX(FILTER('RE Portfolio'!B$2:B2000,'RE Portfolio'!D$2:D2000=""BUY""), INT((ROW()-2)/amortYears)+1), )
"),50.0)</f>
        <v>50</v>
      </c>
      <c r="C436" s="15">
        <f>IFERROR(__xludf.DUMMYFUNCTION("IFERROR(INDEX(FILTER('RE Portfolio'!G$2:G2000,'RE Portfolio'!D$2:D2000=""BUY""), INT((ROW()-2)/amortYears)+1), )
"),427565.8576755462)</f>
        <v>427565.8577</v>
      </c>
      <c r="D436" s="15">
        <f>MOD(ROW()-2, amortYears)+1</f>
        <v>17</v>
      </c>
      <c r="E436" s="15">
        <f t="shared" si="1"/>
        <v>66</v>
      </c>
      <c r="F436" s="16">
        <f t="shared" si="2"/>
        <v>297601.4458</v>
      </c>
      <c r="G436" s="16">
        <f>IF(D436&lt;=mortTerm, -PMT(mortRate/12, mortTerm*12, C436)*12, 0)
</f>
        <v>32430.08479</v>
      </c>
      <c r="H436" s="16">
        <f>IF(D436&lt;=mortTerm, G436 - I436, 0)
</f>
        <v>18947.11494</v>
      </c>
      <c r="I436" s="16">
        <f>IF(D436&lt;=mortTerm, F436 - J436, 0)
</f>
        <v>13482.96985</v>
      </c>
      <c r="J436" s="16">
        <f>IF(D436&lt;=mortTerm,
   F436*(1+mortRate/12)^12 - (-PMT(mortRate/12, mortTerm*12, C436))*(((1+mortRate/12)^12 - 1)/(mortRate/12)),
   0
)
</f>
        <v>284118.476</v>
      </c>
      <c r="K436" s="13">
        <f>IFERROR(__xludf.DUMMYFUNCTION("IF(A436="""","""",
   IF(F436&gt;0,
      INDEX(FILTER('RE Portfolio'!L$2:L2000,'RE Portfolio'!D$2:D2000=""BUY""), INT((ROW()-2)/amortYears)+1) - G436,
      INDEX(FILTER('RE Portfolio'!L$2:L2000,'RE Portfolio'!D$2:D2000=""BUY""), INT((ROW()-2)/amortYears)+1"&amp;")
   )
)
"),9984.44829252734)</f>
        <v>9984.448293</v>
      </c>
      <c r="L436" s="15">
        <f>IFERROR(__xludf.DUMMYFUNCTION("IF(A436="""","""",
  INDEX(FILTER('RE Portfolio'!C$2:C2000,'RE Portfolio'!D$2:D2000=""BUY""), INT((ROW()-2)/amortYears)+1)
  * (1 + VALUE(Assumptions!$B$11))^(D436-1)
)
"),1067763.7769860805)</f>
        <v>1067763.777</v>
      </c>
    </row>
    <row r="437">
      <c r="A437" s="15">
        <f>IFERROR(__xludf.DUMMYFUNCTION("IFERROR(INDEX(FILTER('RE Portfolio'!A$2:A2000,'RE Portfolio'!D$2:D2000=""BUY""), INT((ROW()-2)/amortYears)+1), )
"),12.0)</f>
        <v>12</v>
      </c>
      <c r="B437" s="15">
        <f>IFERROR(__xludf.DUMMYFUNCTION("IFERROR(INDEX(FILTER('RE Portfolio'!B$2:B2000,'RE Portfolio'!D$2:D2000=""BUY""), INT((ROW()-2)/amortYears)+1), )
"),50.0)</f>
        <v>50</v>
      </c>
      <c r="C437" s="15">
        <f>IFERROR(__xludf.DUMMYFUNCTION("IFERROR(INDEX(FILTER('RE Portfolio'!G$2:G2000,'RE Portfolio'!D$2:D2000=""BUY""), INT((ROW()-2)/amortYears)+1), )
"),427565.8576755462)</f>
        <v>427565.8577</v>
      </c>
      <c r="D437" s="15">
        <f>MOD(ROW()-2, amortYears)+1</f>
        <v>18</v>
      </c>
      <c r="E437" s="15">
        <f t="shared" si="1"/>
        <v>67</v>
      </c>
      <c r="F437" s="16">
        <f t="shared" si="2"/>
        <v>284118.476</v>
      </c>
      <c r="G437" s="16">
        <f>IF(D437&lt;=mortTerm, -PMT(mortRate/12, mortTerm*12, C437)*12, 0)
</f>
        <v>32430.08479</v>
      </c>
      <c r="H437" s="16">
        <f>IF(D437&lt;=mortTerm, G437 - I437, 0)
</f>
        <v>18044.13548</v>
      </c>
      <c r="I437" s="16">
        <f>IF(D437&lt;=mortTerm, F437 - J437, 0)
</f>
        <v>14385.94931</v>
      </c>
      <c r="J437" s="16">
        <f>IF(D437&lt;=mortTerm,
   F437*(1+mortRate/12)^12 - (-PMT(mortRate/12, mortTerm*12, C437))*(((1+mortRate/12)^12 - 1)/(mortRate/12)),
   0
)
</f>
        <v>269732.5267</v>
      </c>
      <c r="K437" s="13">
        <f>IFERROR(__xludf.DUMMYFUNCTION("IF(A437="""","""",
   IF(F437&gt;0,
      INDEX(FILTER('RE Portfolio'!L$2:L2000,'RE Portfolio'!D$2:D2000=""BUY""), INT((ROW()-2)/amortYears)+1) - G437,
      INDEX(FILTER('RE Portfolio'!L$2:L2000,'RE Portfolio'!D$2:D2000=""BUY""), INT((ROW()-2)/amortYears)+1"&amp;")
   )
)
"),9984.44829252734)</f>
        <v>9984.448293</v>
      </c>
      <c r="L437" s="15">
        <f>IFERROR(__xludf.DUMMYFUNCTION("IF(A437="""","""",
  INDEX(FILTER('RE Portfolio'!C$2:C2000,'RE Portfolio'!D$2:D2000=""BUY""), INT((ROW()-2)/amortYears)+1)
  * (1 + VALUE(Assumptions!$B$11))^(D437-1)
)
"),1110474.3280655236)</f>
        <v>1110474.328</v>
      </c>
    </row>
    <row r="438">
      <c r="A438" s="15">
        <f>IFERROR(__xludf.DUMMYFUNCTION("IFERROR(INDEX(FILTER('RE Portfolio'!A$2:A2000,'RE Portfolio'!D$2:D2000=""BUY""), INT((ROW()-2)/amortYears)+1), )
"),12.0)</f>
        <v>12</v>
      </c>
      <c r="B438" s="15">
        <f>IFERROR(__xludf.DUMMYFUNCTION("IFERROR(INDEX(FILTER('RE Portfolio'!B$2:B2000,'RE Portfolio'!D$2:D2000=""BUY""), INT((ROW()-2)/amortYears)+1), )
"),50.0)</f>
        <v>50</v>
      </c>
      <c r="C438" s="15">
        <f>IFERROR(__xludf.DUMMYFUNCTION("IFERROR(INDEX(FILTER('RE Portfolio'!G$2:G2000,'RE Portfolio'!D$2:D2000=""BUY""), INT((ROW()-2)/amortYears)+1), )
"),427565.8576755462)</f>
        <v>427565.8577</v>
      </c>
      <c r="D438" s="15">
        <f>MOD(ROW()-2, amortYears)+1</f>
        <v>19</v>
      </c>
      <c r="E438" s="15">
        <f t="shared" si="1"/>
        <v>68</v>
      </c>
      <c r="F438" s="16">
        <f t="shared" si="2"/>
        <v>269732.5267</v>
      </c>
      <c r="G438" s="16">
        <f>IF(D438&lt;=mortTerm, -PMT(mortRate/12, mortTerm*12, C438)*12, 0)
</f>
        <v>32430.08479</v>
      </c>
      <c r="H438" s="16">
        <f>IF(D438&lt;=mortTerm, G438 - I438, 0)
</f>
        <v>17080.68181</v>
      </c>
      <c r="I438" s="16">
        <f>IF(D438&lt;=mortTerm, F438 - J438, 0)
</f>
        <v>15349.40297</v>
      </c>
      <c r="J438" s="16">
        <f>IF(D438&lt;=mortTerm,
   F438*(1+mortRate/12)^12 - (-PMT(mortRate/12, mortTerm*12, C438))*(((1+mortRate/12)^12 - 1)/(mortRate/12)),
   0
)
</f>
        <v>254383.1237</v>
      </c>
      <c r="K438" s="13">
        <f>IFERROR(__xludf.DUMMYFUNCTION("IF(A438="""","""",
   IF(F438&gt;0,
      INDEX(FILTER('RE Portfolio'!L$2:L2000,'RE Portfolio'!D$2:D2000=""BUY""), INT((ROW()-2)/amortYears)+1) - G438,
      INDEX(FILTER('RE Portfolio'!L$2:L2000,'RE Portfolio'!D$2:D2000=""BUY""), INT((ROW()-2)/amortYears)+1"&amp;")
   )
)
"),9984.44829252734)</f>
        <v>9984.448293</v>
      </c>
      <c r="L438" s="15">
        <f>IFERROR(__xludf.DUMMYFUNCTION("IF(A438="""","""",
  INDEX(FILTER('RE Portfolio'!C$2:C2000,'RE Portfolio'!D$2:D2000=""BUY""), INT((ROW()-2)/amortYears)+1)
  * (1 + VALUE(Assumptions!$B$11))^(D438-1)
)
"),1154893.3011881448)</f>
        <v>1154893.301</v>
      </c>
    </row>
    <row r="439">
      <c r="A439" s="15">
        <f>IFERROR(__xludf.DUMMYFUNCTION("IFERROR(INDEX(FILTER('RE Portfolio'!A$2:A2000,'RE Portfolio'!D$2:D2000=""BUY""), INT((ROW()-2)/amortYears)+1), )
"),12.0)</f>
        <v>12</v>
      </c>
      <c r="B439" s="15">
        <f>IFERROR(__xludf.DUMMYFUNCTION("IFERROR(INDEX(FILTER('RE Portfolio'!B$2:B2000,'RE Portfolio'!D$2:D2000=""BUY""), INT((ROW()-2)/amortYears)+1), )
"),50.0)</f>
        <v>50</v>
      </c>
      <c r="C439" s="15">
        <f>IFERROR(__xludf.DUMMYFUNCTION("IFERROR(INDEX(FILTER('RE Portfolio'!G$2:G2000,'RE Portfolio'!D$2:D2000=""BUY""), INT((ROW()-2)/amortYears)+1), )
"),427565.8576755462)</f>
        <v>427565.8577</v>
      </c>
      <c r="D439" s="15">
        <f>MOD(ROW()-2, amortYears)+1</f>
        <v>20</v>
      </c>
      <c r="E439" s="15">
        <f t="shared" si="1"/>
        <v>69</v>
      </c>
      <c r="F439" s="16">
        <f t="shared" si="2"/>
        <v>254383.1237</v>
      </c>
      <c r="G439" s="16">
        <f>IF(D439&lt;=mortTerm, -PMT(mortRate/12, mortTerm*12, C439)*12, 0)
</f>
        <v>32430.08479</v>
      </c>
      <c r="H439" s="16">
        <f>IF(D439&lt;=mortTerm, G439 - I439, 0)
</f>
        <v>16052.70387</v>
      </c>
      <c r="I439" s="16">
        <f>IF(D439&lt;=mortTerm, F439 - J439, 0)
</f>
        <v>16377.38092</v>
      </c>
      <c r="J439" s="16">
        <f>IF(D439&lt;=mortTerm,
   F439*(1+mortRate/12)^12 - (-PMT(mortRate/12, mortTerm*12, C439))*(((1+mortRate/12)^12 - 1)/(mortRate/12)),
   0
)
</f>
        <v>238005.7428</v>
      </c>
      <c r="K439" s="13">
        <f>IFERROR(__xludf.DUMMYFUNCTION("IF(A439="""","""",
   IF(F439&gt;0,
      INDEX(FILTER('RE Portfolio'!L$2:L2000,'RE Portfolio'!D$2:D2000=""BUY""), INT((ROW()-2)/amortYears)+1) - G439,
      INDEX(FILTER('RE Portfolio'!L$2:L2000,'RE Portfolio'!D$2:D2000=""BUY""), INT((ROW()-2)/amortYears)+1"&amp;")
   )
)
"),9984.44829252734)</f>
        <v>9984.448293</v>
      </c>
      <c r="L439" s="15">
        <f>IFERROR(__xludf.DUMMYFUNCTION("IF(A439="""","""",
  INDEX(FILTER('RE Portfolio'!C$2:C2000,'RE Portfolio'!D$2:D2000=""BUY""), INT((ROW()-2)/amortYears)+1)
  * (1 + VALUE(Assumptions!$B$11))^(D439-1)
)
"),1201089.0332356705)</f>
        <v>1201089.033</v>
      </c>
    </row>
    <row r="440">
      <c r="A440" s="15">
        <f>IFERROR(__xludf.DUMMYFUNCTION("IFERROR(INDEX(FILTER('RE Portfolio'!A$2:A2000,'RE Portfolio'!D$2:D2000=""BUY""), INT((ROW()-2)/amortYears)+1), )
"),12.0)</f>
        <v>12</v>
      </c>
      <c r="B440" s="15">
        <f>IFERROR(__xludf.DUMMYFUNCTION("IFERROR(INDEX(FILTER('RE Portfolio'!B$2:B2000,'RE Portfolio'!D$2:D2000=""BUY""), INT((ROW()-2)/amortYears)+1), )
"),50.0)</f>
        <v>50</v>
      </c>
      <c r="C440" s="15">
        <f>IFERROR(__xludf.DUMMYFUNCTION("IFERROR(INDEX(FILTER('RE Portfolio'!G$2:G2000,'RE Portfolio'!D$2:D2000=""BUY""), INT((ROW()-2)/amortYears)+1), )
"),427565.8576755462)</f>
        <v>427565.8577</v>
      </c>
      <c r="D440" s="15">
        <f>MOD(ROW()-2, amortYears)+1</f>
        <v>21</v>
      </c>
      <c r="E440" s="15">
        <f t="shared" si="1"/>
        <v>70</v>
      </c>
      <c r="F440" s="16">
        <f t="shared" si="2"/>
        <v>238005.7428</v>
      </c>
      <c r="G440" s="16">
        <f>IF(D440&lt;=mortTerm, -PMT(mortRate/12, mortTerm*12, C440)*12, 0)
</f>
        <v>32430.08479</v>
      </c>
      <c r="H440" s="16">
        <f>IF(D440&lt;=mortTerm, G440 - I440, 0)
</f>
        <v>14955.88034</v>
      </c>
      <c r="I440" s="16">
        <f>IF(D440&lt;=mortTerm, F440 - J440, 0)
</f>
        <v>17474.20445</v>
      </c>
      <c r="J440" s="16">
        <f>IF(D440&lt;=mortTerm,
   F440*(1+mortRate/12)^12 - (-PMT(mortRate/12, mortTerm*12, C440))*(((1+mortRate/12)^12 - 1)/(mortRate/12)),
   0
)
</f>
        <v>220531.5383</v>
      </c>
      <c r="K440" s="13">
        <f>IFERROR(__xludf.DUMMYFUNCTION("IF(A440="""","""",
   IF(F440&gt;0,
      INDEX(FILTER('RE Portfolio'!L$2:L2000,'RE Portfolio'!D$2:D2000=""BUY""), INT((ROW()-2)/amortYears)+1) - G440,
      INDEX(FILTER('RE Portfolio'!L$2:L2000,'RE Portfolio'!D$2:D2000=""BUY""), INT((ROW()-2)/amortYears)+1"&amp;")
   )
)
"),9984.44829252734)</f>
        <v>9984.448293</v>
      </c>
      <c r="L440" s="15">
        <f>IFERROR(__xludf.DUMMYFUNCTION("IF(A440="""","""",
  INDEX(FILTER('RE Portfolio'!C$2:C2000,'RE Portfolio'!D$2:D2000=""BUY""), INT((ROW()-2)/amortYears)+1)
  * (1 + VALUE(Assumptions!$B$11))^(D440-1)
)
"),1249132.5945650972)</f>
        <v>1249132.595</v>
      </c>
    </row>
    <row r="441">
      <c r="A441" s="15">
        <f>IFERROR(__xludf.DUMMYFUNCTION("IFERROR(INDEX(FILTER('RE Portfolio'!A$2:A2000,'RE Portfolio'!D$2:D2000=""BUY""), INT((ROW()-2)/amortYears)+1), )
"),12.0)</f>
        <v>12</v>
      </c>
      <c r="B441" s="15">
        <f>IFERROR(__xludf.DUMMYFUNCTION("IFERROR(INDEX(FILTER('RE Portfolio'!B$2:B2000,'RE Portfolio'!D$2:D2000=""BUY""), INT((ROW()-2)/amortYears)+1), )
"),50.0)</f>
        <v>50</v>
      </c>
      <c r="C441" s="15">
        <f>IFERROR(__xludf.DUMMYFUNCTION("IFERROR(INDEX(FILTER('RE Portfolio'!G$2:G2000,'RE Portfolio'!D$2:D2000=""BUY""), INT((ROW()-2)/amortYears)+1), )
"),427565.8576755462)</f>
        <v>427565.8577</v>
      </c>
      <c r="D441" s="15">
        <f>MOD(ROW()-2, amortYears)+1</f>
        <v>22</v>
      </c>
      <c r="E441" s="15">
        <f t="shared" si="1"/>
        <v>71</v>
      </c>
      <c r="F441" s="16">
        <f t="shared" si="2"/>
        <v>220531.5383</v>
      </c>
      <c r="G441" s="16">
        <f>IF(D441&lt;=mortTerm, -PMT(mortRate/12, mortTerm*12, C441)*12, 0)
</f>
        <v>32430.08479</v>
      </c>
      <c r="H441" s="16">
        <f>IF(D441&lt;=mortTerm, G441 - I441, 0)
</f>
        <v>13785.60051</v>
      </c>
      <c r="I441" s="16">
        <f>IF(D441&lt;=mortTerm, F441 - J441, 0)
</f>
        <v>18644.48428</v>
      </c>
      <c r="J441" s="16">
        <f>IF(D441&lt;=mortTerm,
   F441*(1+mortRate/12)^12 - (-PMT(mortRate/12, mortTerm*12, C441))*(((1+mortRate/12)^12 - 1)/(mortRate/12)),
   0
)
</f>
        <v>201887.054</v>
      </c>
      <c r="K441" s="13">
        <f>IFERROR(__xludf.DUMMYFUNCTION("IF(A441="""","""",
   IF(F441&gt;0,
      INDEX(FILTER('RE Portfolio'!L$2:L2000,'RE Portfolio'!D$2:D2000=""BUY""), INT((ROW()-2)/amortYears)+1) - G441,
      INDEX(FILTER('RE Portfolio'!L$2:L2000,'RE Portfolio'!D$2:D2000=""BUY""), INT((ROW()-2)/amortYears)+1"&amp;")
   )
)
"),9984.44829252734)</f>
        <v>9984.448293</v>
      </c>
      <c r="L441" s="15">
        <f>IFERROR(__xludf.DUMMYFUNCTION("IF(A441="""","""",
  INDEX(FILTER('RE Portfolio'!C$2:C2000,'RE Portfolio'!D$2:D2000=""BUY""), INT((ROW()-2)/amortYears)+1)
  * (1 + VALUE(Assumptions!$B$11))^(D441-1)
)
"),1299097.8983477014)</f>
        <v>1299097.898</v>
      </c>
    </row>
    <row r="442">
      <c r="A442" s="15">
        <f>IFERROR(__xludf.DUMMYFUNCTION("IFERROR(INDEX(FILTER('RE Portfolio'!A$2:A2000,'RE Portfolio'!D$2:D2000=""BUY""), INT((ROW()-2)/amortYears)+1), )
"),12.0)</f>
        <v>12</v>
      </c>
      <c r="B442" s="15">
        <f>IFERROR(__xludf.DUMMYFUNCTION("IFERROR(INDEX(FILTER('RE Portfolio'!B$2:B2000,'RE Portfolio'!D$2:D2000=""BUY""), INT((ROW()-2)/amortYears)+1), )
"),50.0)</f>
        <v>50</v>
      </c>
      <c r="C442" s="15">
        <f>IFERROR(__xludf.DUMMYFUNCTION("IFERROR(INDEX(FILTER('RE Portfolio'!G$2:G2000,'RE Portfolio'!D$2:D2000=""BUY""), INT((ROW()-2)/amortYears)+1), )
"),427565.8576755462)</f>
        <v>427565.8577</v>
      </c>
      <c r="D442" s="15">
        <f>MOD(ROW()-2, amortYears)+1</f>
        <v>23</v>
      </c>
      <c r="E442" s="15">
        <f t="shared" si="1"/>
        <v>72</v>
      </c>
      <c r="F442" s="16">
        <f t="shared" si="2"/>
        <v>201887.054</v>
      </c>
      <c r="G442" s="16">
        <f>IF(D442&lt;=mortTerm, -PMT(mortRate/12, mortTerm*12, C442)*12, 0)
</f>
        <v>32430.08479</v>
      </c>
      <c r="H442" s="16">
        <f>IF(D442&lt;=mortTerm, G442 - I442, 0)
</f>
        <v>12536.94486</v>
      </c>
      <c r="I442" s="16">
        <f>IF(D442&lt;=mortTerm, F442 - J442, 0)
</f>
        <v>19893.13993</v>
      </c>
      <c r="J442" s="16">
        <f>IF(D442&lt;=mortTerm,
   F442*(1+mortRate/12)^12 - (-PMT(mortRate/12, mortTerm*12, C442))*(((1+mortRate/12)^12 - 1)/(mortRate/12)),
   0
)
</f>
        <v>181993.9141</v>
      </c>
      <c r="K442" s="13">
        <f>IFERROR(__xludf.DUMMYFUNCTION("IF(A442="""","""",
   IF(F442&gt;0,
      INDEX(FILTER('RE Portfolio'!L$2:L2000,'RE Portfolio'!D$2:D2000=""BUY""), INT((ROW()-2)/amortYears)+1) - G442,
      INDEX(FILTER('RE Portfolio'!L$2:L2000,'RE Portfolio'!D$2:D2000=""BUY""), INT((ROW()-2)/amortYears)+1"&amp;")
   )
)
"),9984.44829252734)</f>
        <v>9984.448293</v>
      </c>
      <c r="L442" s="15">
        <f>IFERROR(__xludf.DUMMYFUNCTION("IF(A442="""","""",
  INDEX(FILTER('RE Portfolio'!C$2:C2000,'RE Portfolio'!D$2:D2000=""BUY""), INT((ROW()-2)/amortYears)+1)
  * (1 + VALUE(Assumptions!$B$11))^(D442-1)
)
"),1351061.8142816094)</f>
        <v>1351061.814</v>
      </c>
    </row>
    <row r="443">
      <c r="A443" s="15">
        <f>IFERROR(__xludf.DUMMYFUNCTION("IFERROR(INDEX(FILTER('RE Portfolio'!A$2:A2000,'RE Portfolio'!D$2:D2000=""BUY""), INT((ROW()-2)/amortYears)+1), )
"),12.0)</f>
        <v>12</v>
      </c>
      <c r="B443" s="15">
        <f>IFERROR(__xludf.DUMMYFUNCTION("IFERROR(INDEX(FILTER('RE Portfolio'!B$2:B2000,'RE Portfolio'!D$2:D2000=""BUY""), INT((ROW()-2)/amortYears)+1), )
"),50.0)</f>
        <v>50</v>
      </c>
      <c r="C443" s="15">
        <f>IFERROR(__xludf.DUMMYFUNCTION("IFERROR(INDEX(FILTER('RE Portfolio'!G$2:G2000,'RE Portfolio'!D$2:D2000=""BUY""), INT((ROW()-2)/amortYears)+1), )
"),427565.8576755462)</f>
        <v>427565.8577</v>
      </c>
      <c r="D443" s="15">
        <f>MOD(ROW()-2, amortYears)+1</f>
        <v>24</v>
      </c>
      <c r="E443" s="15">
        <f t="shared" si="1"/>
        <v>73</v>
      </c>
      <c r="F443" s="16">
        <f t="shared" si="2"/>
        <v>181993.9141</v>
      </c>
      <c r="G443" s="16">
        <f>IF(D443&lt;=mortTerm, -PMT(mortRate/12, mortTerm*12, C443)*12, 0)
</f>
        <v>32430.08479</v>
      </c>
      <c r="H443" s="16">
        <f>IF(D443&lt;=mortTerm, G443 - I443, 0)
</f>
        <v>11204.66444</v>
      </c>
      <c r="I443" s="16">
        <f>IF(D443&lt;=mortTerm, F443 - J443, 0)
</f>
        <v>21225.42035</v>
      </c>
      <c r="J443" s="16">
        <f>IF(D443&lt;=mortTerm,
   F443*(1+mortRate/12)^12 - (-PMT(mortRate/12, mortTerm*12, C443))*(((1+mortRate/12)^12 - 1)/(mortRate/12)),
   0
)
</f>
        <v>160768.4938</v>
      </c>
      <c r="K443" s="13">
        <f>IFERROR(__xludf.DUMMYFUNCTION("IF(A443="""","""",
   IF(F443&gt;0,
      INDEX(FILTER('RE Portfolio'!L$2:L2000,'RE Portfolio'!D$2:D2000=""BUY""), INT((ROW()-2)/amortYears)+1) - G443,
      INDEX(FILTER('RE Portfolio'!L$2:L2000,'RE Portfolio'!D$2:D2000=""BUY""), INT((ROW()-2)/amortYears)+1"&amp;")
   )
)
"),9984.44829252734)</f>
        <v>9984.448293</v>
      </c>
      <c r="L443" s="15">
        <f>IFERROR(__xludf.DUMMYFUNCTION("IF(A443="""","""",
  INDEX(FILTER('RE Portfolio'!C$2:C2000,'RE Portfolio'!D$2:D2000=""BUY""), INT((ROW()-2)/amortYears)+1)
  * (1 + VALUE(Assumptions!$B$11))^(D443-1)
)
"),1405104.2868528739)</f>
        <v>1405104.287</v>
      </c>
    </row>
    <row r="444">
      <c r="A444" s="15">
        <f>IFERROR(__xludf.DUMMYFUNCTION("IFERROR(INDEX(FILTER('RE Portfolio'!A$2:A2000,'RE Portfolio'!D$2:D2000=""BUY""), INT((ROW()-2)/amortYears)+1), )
"),12.0)</f>
        <v>12</v>
      </c>
      <c r="B444" s="15">
        <f>IFERROR(__xludf.DUMMYFUNCTION("IFERROR(INDEX(FILTER('RE Portfolio'!B$2:B2000,'RE Portfolio'!D$2:D2000=""BUY""), INT((ROW()-2)/amortYears)+1), )
"),50.0)</f>
        <v>50</v>
      </c>
      <c r="C444" s="15">
        <f>IFERROR(__xludf.DUMMYFUNCTION("IFERROR(INDEX(FILTER('RE Portfolio'!G$2:G2000,'RE Portfolio'!D$2:D2000=""BUY""), INT((ROW()-2)/amortYears)+1), )
"),427565.8576755462)</f>
        <v>427565.8577</v>
      </c>
      <c r="D444" s="15">
        <f>MOD(ROW()-2, amortYears)+1</f>
        <v>25</v>
      </c>
      <c r="E444" s="15">
        <f t="shared" si="1"/>
        <v>74</v>
      </c>
      <c r="F444" s="16">
        <f t="shared" si="2"/>
        <v>160768.4938</v>
      </c>
      <c r="G444" s="16">
        <f>IF(D444&lt;=mortTerm, -PMT(mortRate/12, mortTerm*12, C444)*12, 0)
</f>
        <v>32430.08479</v>
      </c>
      <c r="H444" s="16">
        <f>IF(D444&lt;=mortTerm, G444 - I444, 0)
</f>
        <v>9783.15873</v>
      </c>
      <c r="I444" s="16">
        <f>IF(D444&lt;=mortTerm, F444 - J444, 0)
</f>
        <v>22646.92606</v>
      </c>
      <c r="J444" s="16">
        <f>IF(D444&lt;=mortTerm,
   F444*(1+mortRate/12)^12 - (-PMT(mortRate/12, mortTerm*12, C444))*(((1+mortRate/12)^12 - 1)/(mortRate/12)),
   0
)
</f>
        <v>138121.5677</v>
      </c>
      <c r="K444" s="13">
        <f>IFERROR(__xludf.DUMMYFUNCTION("IF(A444="""","""",
   IF(F444&gt;0,
      INDEX(FILTER('RE Portfolio'!L$2:L2000,'RE Portfolio'!D$2:D2000=""BUY""), INT((ROW()-2)/amortYears)+1) - G444,
      INDEX(FILTER('RE Portfolio'!L$2:L2000,'RE Portfolio'!D$2:D2000=""BUY""), INT((ROW()-2)/amortYears)+1"&amp;")
   )
)
"),9984.44829252734)</f>
        <v>9984.448293</v>
      </c>
      <c r="L444" s="15">
        <f>IFERROR(__xludf.DUMMYFUNCTION("IF(A444="""","""",
  INDEX(FILTER('RE Portfolio'!C$2:C2000,'RE Portfolio'!D$2:D2000=""BUY""), INT((ROW()-2)/amortYears)+1)
  * (1 + VALUE(Assumptions!$B$11))^(D444-1)
)
"),1461308.4583269889)</f>
        <v>1461308.458</v>
      </c>
    </row>
    <row r="445">
      <c r="A445" s="15">
        <f>IFERROR(__xludf.DUMMYFUNCTION("IFERROR(INDEX(FILTER('RE Portfolio'!A$2:A2000,'RE Portfolio'!D$2:D2000=""BUY""), INT((ROW()-2)/amortYears)+1), )
"),12.0)</f>
        <v>12</v>
      </c>
      <c r="B445" s="15">
        <f>IFERROR(__xludf.DUMMYFUNCTION("IFERROR(INDEX(FILTER('RE Portfolio'!B$2:B2000,'RE Portfolio'!D$2:D2000=""BUY""), INT((ROW()-2)/amortYears)+1), )
"),50.0)</f>
        <v>50</v>
      </c>
      <c r="C445" s="15">
        <f>IFERROR(__xludf.DUMMYFUNCTION("IFERROR(INDEX(FILTER('RE Portfolio'!G$2:G2000,'RE Portfolio'!D$2:D2000=""BUY""), INT((ROW()-2)/amortYears)+1), )
"),427565.8576755462)</f>
        <v>427565.8577</v>
      </c>
      <c r="D445" s="15">
        <f>MOD(ROW()-2, amortYears)+1</f>
        <v>26</v>
      </c>
      <c r="E445" s="15">
        <f t="shared" si="1"/>
        <v>75</v>
      </c>
      <c r="F445" s="16">
        <f t="shared" si="2"/>
        <v>138121.5677</v>
      </c>
      <c r="G445" s="16">
        <f>IF(D445&lt;=mortTerm, -PMT(mortRate/12, mortTerm*12, C445)*12, 0)
</f>
        <v>32430.08479</v>
      </c>
      <c r="H445" s="16">
        <f>IF(D445&lt;=mortTerm, G445 - I445, 0)
</f>
        <v>8266.45215</v>
      </c>
      <c r="I445" s="16">
        <f>IF(D445&lt;=mortTerm, F445 - J445, 0)
</f>
        <v>24163.63264</v>
      </c>
      <c r="J445" s="16">
        <f>IF(D445&lt;=mortTerm,
   F445*(1+mortRate/12)^12 - (-PMT(mortRate/12, mortTerm*12, C445))*(((1+mortRate/12)^12 - 1)/(mortRate/12)),
   0
)
</f>
        <v>113957.9351</v>
      </c>
      <c r="K445" s="13">
        <f>IFERROR(__xludf.DUMMYFUNCTION("IF(A445="""","""",
   IF(F445&gt;0,
      INDEX(FILTER('RE Portfolio'!L$2:L2000,'RE Portfolio'!D$2:D2000=""BUY""), INT((ROW()-2)/amortYears)+1) - G445,
      INDEX(FILTER('RE Portfolio'!L$2:L2000,'RE Portfolio'!D$2:D2000=""BUY""), INT((ROW()-2)/amortYears)+1"&amp;")
   )
)
"),9984.44829252734)</f>
        <v>9984.448293</v>
      </c>
      <c r="L445" s="15">
        <f>IFERROR(__xludf.DUMMYFUNCTION("IF(A445="""","""",
  INDEX(FILTER('RE Portfolio'!C$2:C2000,'RE Portfolio'!D$2:D2000=""BUY""), INT((ROW()-2)/amortYears)+1)
  * (1 + VALUE(Assumptions!$B$11))^(D445-1)
)
"),1519760.7966600682)</f>
        <v>1519760.797</v>
      </c>
    </row>
    <row r="446">
      <c r="A446" s="15">
        <f>IFERROR(__xludf.DUMMYFUNCTION("IFERROR(INDEX(FILTER('RE Portfolio'!A$2:A2000,'RE Portfolio'!D$2:D2000=""BUY""), INT((ROW()-2)/amortYears)+1), )
"),12.0)</f>
        <v>12</v>
      </c>
      <c r="B446" s="15">
        <f>IFERROR(__xludf.DUMMYFUNCTION("IFERROR(INDEX(FILTER('RE Portfolio'!B$2:B2000,'RE Portfolio'!D$2:D2000=""BUY""), INT((ROW()-2)/amortYears)+1), )
"),50.0)</f>
        <v>50</v>
      </c>
      <c r="C446" s="15">
        <f>IFERROR(__xludf.DUMMYFUNCTION("IFERROR(INDEX(FILTER('RE Portfolio'!G$2:G2000,'RE Portfolio'!D$2:D2000=""BUY""), INT((ROW()-2)/amortYears)+1), )
"),427565.8576755462)</f>
        <v>427565.8577</v>
      </c>
      <c r="D446" s="15">
        <f>MOD(ROW()-2, amortYears)+1</f>
        <v>27</v>
      </c>
      <c r="E446" s="15">
        <f t="shared" si="1"/>
        <v>76</v>
      </c>
      <c r="F446" s="16">
        <f t="shared" si="2"/>
        <v>113957.9351</v>
      </c>
      <c r="G446" s="16">
        <f>IF(D446&lt;=mortTerm, -PMT(mortRate/12, mortTerm*12, C446)*12, 0)
</f>
        <v>32430.08479</v>
      </c>
      <c r="H446" s="16">
        <f>IF(D446&lt;=mortTerm, G446 - I446, 0)
</f>
        <v>6648.168921</v>
      </c>
      <c r="I446" s="16">
        <f>IF(D446&lt;=mortTerm, F446 - J446, 0)
</f>
        <v>25781.91587</v>
      </c>
      <c r="J446" s="16">
        <f>IF(D446&lt;=mortTerm,
   F446*(1+mortRate/12)^12 - (-PMT(mortRate/12, mortTerm*12, C446))*(((1+mortRate/12)^12 - 1)/(mortRate/12)),
   0
)
</f>
        <v>88176.01919</v>
      </c>
      <c r="K446" s="13">
        <f>IFERROR(__xludf.DUMMYFUNCTION("IF(A446="""","""",
   IF(F446&gt;0,
      INDEX(FILTER('RE Portfolio'!L$2:L2000,'RE Portfolio'!D$2:D2000=""BUY""), INT((ROW()-2)/amortYears)+1) - G446,
      INDEX(FILTER('RE Portfolio'!L$2:L2000,'RE Portfolio'!D$2:D2000=""BUY""), INT((ROW()-2)/amortYears)+1"&amp;")
   )
)
"),9984.44829252734)</f>
        <v>9984.448293</v>
      </c>
      <c r="L446" s="15">
        <f>IFERROR(__xludf.DUMMYFUNCTION("IF(A446="""","""",
  INDEX(FILTER('RE Portfolio'!C$2:C2000,'RE Portfolio'!D$2:D2000=""BUY""), INT((ROW()-2)/amortYears)+1)
  * (1 + VALUE(Assumptions!$B$11))^(D446-1)
)
"),1580551.2285264712)</f>
        <v>1580551.229</v>
      </c>
    </row>
    <row r="447">
      <c r="A447" s="15">
        <f>IFERROR(__xludf.DUMMYFUNCTION("IFERROR(INDEX(FILTER('RE Portfolio'!A$2:A2000,'RE Portfolio'!D$2:D2000=""BUY""), INT((ROW()-2)/amortYears)+1), )
"),12.0)</f>
        <v>12</v>
      </c>
      <c r="B447" s="15">
        <f>IFERROR(__xludf.DUMMYFUNCTION("IFERROR(INDEX(FILTER('RE Portfolio'!B$2:B2000,'RE Portfolio'!D$2:D2000=""BUY""), INT((ROW()-2)/amortYears)+1), )
"),50.0)</f>
        <v>50</v>
      </c>
      <c r="C447" s="15">
        <f>IFERROR(__xludf.DUMMYFUNCTION("IFERROR(INDEX(FILTER('RE Portfolio'!G$2:G2000,'RE Portfolio'!D$2:D2000=""BUY""), INT((ROW()-2)/amortYears)+1), )
"),427565.8576755462)</f>
        <v>427565.8577</v>
      </c>
      <c r="D447" s="15">
        <f>MOD(ROW()-2, amortYears)+1</f>
        <v>28</v>
      </c>
      <c r="E447" s="15">
        <f t="shared" si="1"/>
        <v>77</v>
      </c>
      <c r="F447" s="16">
        <f t="shared" si="2"/>
        <v>88176.01919</v>
      </c>
      <c r="G447" s="16">
        <f>IF(D447&lt;=mortTerm, -PMT(mortRate/12, mortTerm*12, C447)*12, 0)
</f>
        <v>32430.08479</v>
      </c>
      <c r="H447" s="16">
        <f>IF(D447&lt;=mortTerm, G447 - I447, 0)
</f>
        <v>4921.506267</v>
      </c>
      <c r="I447" s="16">
        <f>IF(D447&lt;=mortTerm, F447 - J447, 0)
</f>
        <v>27508.57852</v>
      </c>
      <c r="J447" s="16">
        <f>IF(D447&lt;=mortTerm,
   F447*(1+mortRate/12)^12 - (-PMT(mortRate/12, mortTerm*12, C447))*(((1+mortRate/12)^12 - 1)/(mortRate/12)),
   0
)
</f>
        <v>60667.44067</v>
      </c>
      <c r="K447" s="13">
        <f>IFERROR(__xludf.DUMMYFUNCTION("IF(A447="""","""",
   IF(F447&gt;0,
      INDEX(FILTER('RE Portfolio'!L$2:L2000,'RE Portfolio'!D$2:D2000=""BUY""), INT((ROW()-2)/amortYears)+1) - G447,
      INDEX(FILTER('RE Portfolio'!L$2:L2000,'RE Portfolio'!D$2:D2000=""BUY""), INT((ROW()-2)/amortYears)+1"&amp;")
   )
)
"),9984.44829252734)</f>
        <v>9984.448293</v>
      </c>
      <c r="L447" s="15">
        <f>IFERROR(__xludf.DUMMYFUNCTION("IF(A447="""","""",
  INDEX(FILTER('RE Portfolio'!C$2:C2000,'RE Portfolio'!D$2:D2000=""BUY""), INT((ROW()-2)/amortYears)+1)
  * (1 + VALUE(Assumptions!$B$11))^(D447-1)
)
"),1643773.27766753)</f>
        <v>1643773.278</v>
      </c>
    </row>
    <row r="448">
      <c r="A448" s="15">
        <f>IFERROR(__xludf.DUMMYFUNCTION("IFERROR(INDEX(FILTER('RE Portfolio'!A$2:A2000,'RE Portfolio'!D$2:D2000=""BUY""), INT((ROW()-2)/amortYears)+1), )
"),12.0)</f>
        <v>12</v>
      </c>
      <c r="B448" s="15">
        <f>IFERROR(__xludf.DUMMYFUNCTION("IFERROR(INDEX(FILTER('RE Portfolio'!B$2:B2000,'RE Portfolio'!D$2:D2000=""BUY""), INT((ROW()-2)/amortYears)+1), )
"),50.0)</f>
        <v>50</v>
      </c>
      <c r="C448" s="15">
        <f>IFERROR(__xludf.DUMMYFUNCTION("IFERROR(INDEX(FILTER('RE Portfolio'!G$2:G2000,'RE Portfolio'!D$2:D2000=""BUY""), INT((ROW()-2)/amortYears)+1), )
"),427565.8576755462)</f>
        <v>427565.8577</v>
      </c>
      <c r="D448" s="15">
        <f>MOD(ROW()-2, amortYears)+1</f>
        <v>29</v>
      </c>
      <c r="E448" s="15">
        <f t="shared" si="1"/>
        <v>78</v>
      </c>
      <c r="F448" s="16">
        <f t="shared" si="2"/>
        <v>60667.44067</v>
      </c>
      <c r="G448" s="16">
        <f>IF(D448&lt;=mortTerm, -PMT(mortRate/12, mortTerm*12, C448)*12, 0)
</f>
        <v>32430.08479</v>
      </c>
      <c r="H448" s="16">
        <f>IF(D448&lt;=mortTerm, G448 - I448, 0)
</f>
        <v>3079.205817</v>
      </c>
      <c r="I448" s="16">
        <f>IF(D448&lt;=mortTerm, F448 - J448, 0)
</f>
        <v>29350.87897</v>
      </c>
      <c r="J448" s="16">
        <f>IF(D448&lt;=mortTerm,
   F448*(1+mortRate/12)^12 - (-PMT(mortRate/12, mortTerm*12, C448))*(((1+mortRate/12)^12 - 1)/(mortRate/12)),
   0
)
</f>
        <v>31316.56169</v>
      </c>
      <c r="K448" s="13">
        <f>IFERROR(__xludf.DUMMYFUNCTION("IF(A448="""","""",
   IF(F448&gt;0,
      INDEX(FILTER('RE Portfolio'!L$2:L2000,'RE Portfolio'!D$2:D2000=""BUY""), INT((ROW()-2)/amortYears)+1) - G448,
      INDEX(FILTER('RE Portfolio'!L$2:L2000,'RE Portfolio'!D$2:D2000=""BUY""), INT((ROW()-2)/amortYears)+1"&amp;")
   )
)
"),9984.44829252734)</f>
        <v>9984.448293</v>
      </c>
      <c r="L448" s="15">
        <f>IFERROR(__xludf.DUMMYFUNCTION("IF(A448="""","""",
  INDEX(FILTER('RE Portfolio'!C$2:C2000,'RE Portfolio'!D$2:D2000=""BUY""), INT((ROW()-2)/amortYears)+1)
  * (1 + VALUE(Assumptions!$B$11))^(D448-1)
)
"),1709524.2087742314)</f>
        <v>1709524.209</v>
      </c>
    </row>
    <row r="449">
      <c r="A449" s="15">
        <f>IFERROR(__xludf.DUMMYFUNCTION("IFERROR(INDEX(FILTER('RE Portfolio'!A$2:A2000,'RE Portfolio'!D$2:D2000=""BUY""), INT((ROW()-2)/amortYears)+1), )
"),12.0)</f>
        <v>12</v>
      </c>
      <c r="B449" s="15">
        <f>IFERROR(__xludf.DUMMYFUNCTION("IFERROR(INDEX(FILTER('RE Portfolio'!B$2:B2000,'RE Portfolio'!D$2:D2000=""BUY""), INT((ROW()-2)/amortYears)+1), )
"),50.0)</f>
        <v>50</v>
      </c>
      <c r="C449" s="15">
        <f>IFERROR(__xludf.DUMMYFUNCTION("IFERROR(INDEX(FILTER('RE Portfolio'!G$2:G2000,'RE Portfolio'!D$2:D2000=""BUY""), INT((ROW()-2)/amortYears)+1), )
"),427565.8576755462)</f>
        <v>427565.8577</v>
      </c>
      <c r="D449" s="15">
        <f>MOD(ROW()-2, amortYears)+1</f>
        <v>30</v>
      </c>
      <c r="E449" s="15">
        <f t="shared" si="1"/>
        <v>79</v>
      </c>
      <c r="F449" s="16">
        <f t="shared" si="2"/>
        <v>31316.56169</v>
      </c>
      <c r="G449" s="16">
        <f>IF(D449&lt;=mortTerm, -PMT(mortRate/12, mortTerm*12, C449)*12, 0)
</f>
        <v>32430.08479</v>
      </c>
      <c r="H449" s="16">
        <f>IF(D449&lt;=mortTerm, G449 - I449, 0)
</f>
        <v>1113.523095</v>
      </c>
      <c r="I449" s="16">
        <f>IF(D449&lt;=mortTerm, F449 - J449, 0)
</f>
        <v>31316.56169</v>
      </c>
      <c r="J449" s="16">
        <f>IF(D449&lt;=mortTerm,
   F449*(1+mortRate/12)^12 - (-PMT(mortRate/12, mortTerm*12, C449))*(((1+mortRate/12)^12 - 1)/(mortRate/12)),
   0
)
</f>
        <v>-0.000000001447915565</v>
      </c>
      <c r="K449" s="13">
        <f>IFERROR(__xludf.DUMMYFUNCTION("IF(A449="""","""",
   IF(F449&gt;0,
      INDEX(FILTER('RE Portfolio'!L$2:L2000,'RE Portfolio'!D$2:D2000=""BUY""), INT((ROW()-2)/amortYears)+1) - G449,
      INDEX(FILTER('RE Portfolio'!L$2:L2000,'RE Portfolio'!D$2:D2000=""BUY""), INT((ROW()-2)/amortYears)+1"&amp;")
   )
)
"),9984.44829252734)</f>
        <v>9984.448293</v>
      </c>
      <c r="L449" s="15">
        <f>IFERROR(__xludf.DUMMYFUNCTION("IF(A449="""","""",
  INDEX(FILTER('RE Portfolio'!C$2:C2000,'RE Portfolio'!D$2:D2000=""BUY""), INT((ROW()-2)/amortYears)+1)
  * (1 + VALUE(Assumptions!$B$11))^(D449-1)
)
"),1777905.1771252006)</f>
        <v>1777905.177</v>
      </c>
    </row>
    <row r="450">
      <c r="A450" s="15">
        <f>IFERROR(__xludf.DUMMYFUNCTION("IFERROR(INDEX(FILTER('RE Portfolio'!A$2:A2000,'RE Portfolio'!D$2:D2000=""BUY""), INT((ROW()-2)/amortYears)+1), )
"),12.0)</f>
        <v>12</v>
      </c>
      <c r="B450" s="15">
        <f>IFERROR(__xludf.DUMMYFUNCTION("IFERROR(INDEX(FILTER('RE Portfolio'!B$2:B2000,'RE Portfolio'!D$2:D2000=""BUY""), INT((ROW()-2)/amortYears)+1), )
"),50.0)</f>
        <v>50</v>
      </c>
      <c r="C450" s="15">
        <f>IFERROR(__xludf.DUMMYFUNCTION("IFERROR(INDEX(FILTER('RE Portfolio'!G$2:G2000,'RE Portfolio'!D$2:D2000=""BUY""), INT((ROW()-2)/amortYears)+1), )
"),427565.8576755462)</f>
        <v>427565.8577</v>
      </c>
      <c r="D450" s="15">
        <f>MOD(ROW()-2, amortYears)+1</f>
        <v>31</v>
      </c>
      <c r="E450" s="15">
        <f t="shared" si="1"/>
        <v>80</v>
      </c>
      <c r="F450" s="16">
        <f t="shared" si="2"/>
        <v>-0.000000001447915565</v>
      </c>
      <c r="G450" s="15">
        <f>IF(D450&lt;=mortTerm, -PMT(mortRate/12, mortTerm*12, C450)*12, 0)
</f>
        <v>0</v>
      </c>
      <c r="H450" s="15">
        <f>IF(D450&lt;=mortTerm, G450 - I450, 0)
</f>
        <v>0</v>
      </c>
      <c r="I450" s="15">
        <f>IF(D450&lt;=mortTerm, F450 - J450, 0)
</f>
        <v>0</v>
      </c>
      <c r="J450" s="15">
        <f>IF(D450&lt;=mortTerm,
   F450*(1+mortRate/12)^12 - (-PMT(mortRate/12, mortTerm*12, C450))*(((1+mortRate/12)^12 - 1)/(mortRate/12)),
   0
)
</f>
        <v>0</v>
      </c>
      <c r="K450" s="13">
        <f>IFERROR(__xludf.DUMMYFUNCTION("IF(A450="""","""",
   IF(F450&gt;0,
      INDEX(FILTER('RE Portfolio'!L$2:L2000,'RE Portfolio'!D$2:D2000=""BUY""), INT((ROW()-2)/amortYears)+1) - G450,
      INDEX(FILTER('RE Portfolio'!L$2:L2000,'RE Portfolio'!D$2:D2000=""BUY""), INT((ROW()-2)/amortYears)+1"&amp;")
   )
)
"),42414.53308141418)</f>
        <v>42414.53308</v>
      </c>
      <c r="L450" s="15">
        <f>IFERROR(__xludf.DUMMYFUNCTION("IF(A450="""","""",
  INDEX(FILTER('RE Portfolio'!C$2:C2000,'RE Portfolio'!D$2:D2000=""BUY""), INT((ROW()-2)/amortYears)+1)
  * (1 + VALUE(Assumptions!$B$11))^(D450-1)
)
"),1849021.384210209)</f>
        <v>1849021.384</v>
      </c>
    </row>
    <row r="451">
      <c r="A451" s="15">
        <f>IFERROR(__xludf.DUMMYFUNCTION("IFERROR(INDEX(FILTER('RE Portfolio'!A$2:A2000,'RE Portfolio'!D$2:D2000=""BUY""), INT((ROW()-2)/amortYears)+1), )
"),12.0)</f>
        <v>12</v>
      </c>
      <c r="B451" s="15">
        <f>IFERROR(__xludf.DUMMYFUNCTION("IFERROR(INDEX(FILTER('RE Portfolio'!B$2:B2000,'RE Portfolio'!D$2:D2000=""BUY""), INT((ROW()-2)/amortYears)+1), )
"),50.0)</f>
        <v>50</v>
      </c>
      <c r="C451" s="15">
        <f>IFERROR(__xludf.DUMMYFUNCTION("IFERROR(INDEX(FILTER('RE Portfolio'!G$2:G2000,'RE Portfolio'!D$2:D2000=""BUY""), INT((ROW()-2)/amortYears)+1), )
"),427565.8576755462)</f>
        <v>427565.8577</v>
      </c>
      <c r="D451" s="15">
        <f>MOD(ROW()-2, amortYears)+1</f>
        <v>32</v>
      </c>
      <c r="E451" s="15">
        <f t="shared" si="1"/>
        <v>81</v>
      </c>
      <c r="F451" s="15">
        <f t="shared" si="2"/>
        <v>0</v>
      </c>
      <c r="G451" s="15">
        <f>IF(D451&lt;=mortTerm, -PMT(mortRate/12, mortTerm*12, C451)*12, 0)
</f>
        <v>0</v>
      </c>
      <c r="H451" s="15">
        <f>IF(D451&lt;=mortTerm, G451 - I451, 0)
</f>
        <v>0</v>
      </c>
      <c r="I451" s="15">
        <f>IF(D451&lt;=mortTerm, F451 - J451, 0)
</f>
        <v>0</v>
      </c>
      <c r="J451" s="15">
        <f>IF(D451&lt;=mortTerm,
   F451*(1+mortRate/12)^12 - (-PMT(mortRate/12, mortTerm*12, C451))*(((1+mortRate/12)^12 - 1)/(mortRate/12)),
   0
)
</f>
        <v>0</v>
      </c>
      <c r="K451" s="13">
        <f>IFERROR(__xludf.DUMMYFUNCTION("IF(A451="""","""",
   IF(F451&gt;0,
      INDEX(FILTER('RE Portfolio'!L$2:L2000,'RE Portfolio'!D$2:D2000=""BUY""), INT((ROW()-2)/amortYears)+1) - G451,
      INDEX(FILTER('RE Portfolio'!L$2:L2000,'RE Portfolio'!D$2:D2000=""BUY""), INT((ROW()-2)/amortYears)+1"&amp;")
   )
)
"),42414.53308141418)</f>
        <v>42414.53308</v>
      </c>
      <c r="L451" s="15">
        <f>IFERROR(__xludf.DUMMYFUNCTION("IF(A451="""","""",
  INDEX(FILTER('RE Portfolio'!C$2:C2000,'RE Portfolio'!D$2:D2000=""BUY""), INT((ROW()-2)/amortYears)+1)
  * (1 + VALUE(Assumptions!$B$11))^(D451-1)
)
"),1922982.2395786173)</f>
        <v>1922982.24</v>
      </c>
    </row>
    <row r="452">
      <c r="A452" s="15">
        <f>IFERROR(__xludf.DUMMYFUNCTION("IFERROR(INDEX(FILTER('RE Portfolio'!A$2:A2000,'RE Portfolio'!D$2:D2000=""BUY""), INT((ROW()-2)/amortYears)+1), )
"),12.0)</f>
        <v>12</v>
      </c>
      <c r="B452" s="15">
        <f>IFERROR(__xludf.DUMMYFUNCTION("IFERROR(INDEX(FILTER('RE Portfolio'!B$2:B2000,'RE Portfolio'!D$2:D2000=""BUY""), INT((ROW()-2)/amortYears)+1), )
"),50.0)</f>
        <v>50</v>
      </c>
      <c r="C452" s="15">
        <f>IFERROR(__xludf.DUMMYFUNCTION("IFERROR(INDEX(FILTER('RE Portfolio'!G$2:G2000,'RE Portfolio'!D$2:D2000=""BUY""), INT((ROW()-2)/amortYears)+1), )
"),427565.8576755462)</f>
        <v>427565.8577</v>
      </c>
      <c r="D452" s="15">
        <f>MOD(ROW()-2, amortYears)+1</f>
        <v>33</v>
      </c>
      <c r="E452" s="15">
        <f t="shared" si="1"/>
        <v>82</v>
      </c>
      <c r="F452" s="15">
        <f t="shared" si="2"/>
        <v>0</v>
      </c>
      <c r="G452" s="15">
        <f>IF(D452&lt;=mortTerm, -PMT(mortRate/12, mortTerm*12, C452)*12, 0)
</f>
        <v>0</v>
      </c>
      <c r="H452" s="15">
        <f>IF(D452&lt;=mortTerm, G452 - I452, 0)
</f>
        <v>0</v>
      </c>
      <c r="I452" s="15">
        <f>IF(D452&lt;=mortTerm, F452 - J452, 0)
</f>
        <v>0</v>
      </c>
      <c r="J452" s="15">
        <f>IF(D452&lt;=mortTerm,
   F452*(1+mortRate/12)^12 - (-PMT(mortRate/12, mortTerm*12, C452))*(((1+mortRate/12)^12 - 1)/(mortRate/12)),
   0
)
</f>
        <v>0</v>
      </c>
      <c r="K452" s="13">
        <f>IFERROR(__xludf.DUMMYFUNCTION("IF(A452="""","""",
   IF(F452&gt;0,
      INDEX(FILTER('RE Portfolio'!L$2:L2000,'RE Portfolio'!D$2:D2000=""BUY""), INT((ROW()-2)/amortYears)+1) - G452,
      INDEX(FILTER('RE Portfolio'!L$2:L2000,'RE Portfolio'!D$2:D2000=""BUY""), INT((ROW()-2)/amortYears)+1"&amp;")
   )
)
"),42414.53308141418)</f>
        <v>42414.53308</v>
      </c>
      <c r="L452" s="15">
        <f>IFERROR(__xludf.DUMMYFUNCTION("IF(A452="""","""",
  INDEX(FILTER('RE Portfolio'!C$2:C2000,'RE Portfolio'!D$2:D2000=""BUY""), INT((ROW()-2)/amortYears)+1)
  * (1 + VALUE(Assumptions!$B$11))^(D452-1)
)
"),1999901.529161762)</f>
        <v>1999901.529</v>
      </c>
    </row>
    <row r="453">
      <c r="A453" s="15">
        <f>IFERROR(__xludf.DUMMYFUNCTION("IFERROR(INDEX(FILTER('RE Portfolio'!A$2:A2000,'RE Portfolio'!D$2:D2000=""BUY""), INT((ROW()-2)/amortYears)+1), )
"),12.0)</f>
        <v>12</v>
      </c>
      <c r="B453" s="15">
        <f>IFERROR(__xludf.DUMMYFUNCTION("IFERROR(INDEX(FILTER('RE Portfolio'!B$2:B2000,'RE Portfolio'!D$2:D2000=""BUY""), INT((ROW()-2)/amortYears)+1), )
"),50.0)</f>
        <v>50</v>
      </c>
      <c r="C453" s="15">
        <f>IFERROR(__xludf.DUMMYFUNCTION("IFERROR(INDEX(FILTER('RE Portfolio'!G$2:G2000,'RE Portfolio'!D$2:D2000=""BUY""), INT((ROW()-2)/amortYears)+1), )
"),427565.8576755462)</f>
        <v>427565.8577</v>
      </c>
      <c r="D453" s="15">
        <f>MOD(ROW()-2, amortYears)+1</f>
        <v>34</v>
      </c>
      <c r="E453" s="15">
        <f t="shared" si="1"/>
        <v>83</v>
      </c>
      <c r="F453" s="15">
        <f t="shared" si="2"/>
        <v>0</v>
      </c>
      <c r="G453" s="15">
        <f>IF(D453&lt;=mortTerm, -PMT(mortRate/12, mortTerm*12, C453)*12, 0)
</f>
        <v>0</v>
      </c>
      <c r="H453" s="15">
        <f>IF(D453&lt;=mortTerm, G453 - I453, 0)
</f>
        <v>0</v>
      </c>
      <c r="I453" s="15">
        <f>IF(D453&lt;=mortTerm, F453 - J453, 0)
</f>
        <v>0</v>
      </c>
      <c r="J453" s="15">
        <f>IF(D453&lt;=mortTerm,
   F453*(1+mortRate/12)^12 - (-PMT(mortRate/12, mortTerm*12, C453))*(((1+mortRate/12)^12 - 1)/(mortRate/12)),
   0
)
</f>
        <v>0</v>
      </c>
      <c r="K453" s="13">
        <f>IFERROR(__xludf.DUMMYFUNCTION("IF(A453="""","""",
   IF(F453&gt;0,
      INDEX(FILTER('RE Portfolio'!L$2:L2000,'RE Portfolio'!D$2:D2000=""BUY""), INT((ROW()-2)/amortYears)+1) - G453,
      INDEX(FILTER('RE Portfolio'!L$2:L2000,'RE Portfolio'!D$2:D2000=""BUY""), INT((ROW()-2)/amortYears)+1"&amp;")
   )
)
"),42414.53308141418)</f>
        <v>42414.53308</v>
      </c>
      <c r="L453" s="15">
        <f>IFERROR(__xludf.DUMMYFUNCTION("IF(A453="""","""",
  INDEX(FILTER('RE Portfolio'!C$2:C2000,'RE Portfolio'!D$2:D2000=""BUY""), INT((ROW()-2)/amortYears)+1)
  * (1 + VALUE(Assumptions!$B$11))^(D453-1)
)
"),2079897.5903282326)</f>
        <v>2079897.59</v>
      </c>
    </row>
    <row r="454">
      <c r="A454" s="15">
        <f>IFERROR(__xludf.DUMMYFUNCTION("IFERROR(INDEX(FILTER('RE Portfolio'!A$2:A2000,'RE Portfolio'!D$2:D2000=""BUY""), INT((ROW()-2)/amortYears)+1), )
"),12.0)</f>
        <v>12</v>
      </c>
      <c r="B454" s="15">
        <f>IFERROR(__xludf.DUMMYFUNCTION("IFERROR(INDEX(FILTER('RE Portfolio'!B$2:B2000,'RE Portfolio'!D$2:D2000=""BUY""), INT((ROW()-2)/amortYears)+1), )
"),50.0)</f>
        <v>50</v>
      </c>
      <c r="C454" s="15">
        <f>IFERROR(__xludf.DUMMYFUNCTION("IFERROR(INDEX(FILTER('RE Portfolio'!G$2:G2000,'RE Portfolio'!D$2:D2000=""BUY""), INT((ROW()-2)/amortYears)+1), )
"),427565.8576755462)</f>
        <v>427565.8577</v>
      </c>
      <c r="D454" s="15">
        <f>MOD(ROW()-2, amortYears)+1</f>
        <v>35</v>
      </c>
      <c r="E454" s="15">
        <f t="shared" si="1"/>
        <v>84</v>
      </c>
      <c r="F454" s="15">
        <f t="shared" si="2"/>
        <v>0</v>
      </c>
      <c r="G454" s="15">
        <f>IF(D454&lt;=mortTerm, -PMT(mortRate/12, mortTerm*12, C454)*12, 0)
</f>
        <v>0</v>
      </c>
      <c r="H454" s="15">
        <f>IF(D454&lt;=mortTerm, G454 - I454, 0)
</f>
        <v>0</v>
      </c>
      <c r="I454" s="15">
        <f>IF(D454&lt;=mortTerm, F454 - J454, 0)
</f>
        <v>0</v>
      </c>
      <c r="J454" s="15">
        <f>IF(D454&lt;=mortTerm,
   F454*(1+mortRate/12)^12 - (-PMT(mortRate/12, mortTerm*12, C454))*(((1+mortRate/12)^12 - 1)/(mortRate/12)),
   0
)
</f>
        <v>0</v>
      </c>
      <c r="K454" s="13">
        <f>IFERROR(__xludf.DUMMYFUNCTION("IF(A454="""","""",
   IF(F454&gt;0,
      INDEX(FILTER('RE Portfolio'!L$2:L2000,'RE Portfolio'!D$2:D2000=""BUY""), INT((ROW()-2)/amortYears)+1) - G454,
      INDEX(FILTER('RE Portfolio'!L$2:L2000,'RE Portfolio'!D$2:D2000=""BUY""), INT((ROW()-2)/amortYears)+1"&amp;")
   )
)
"),42414.53308141418)</f>
        <v>42414.53308</v>
      </c>
      <c r="L454" s="15">
        <f>IFERROR(__xludf.DUMMYFUNCTION("IF(A454="""","""",
  INDEX(FILTER('RE Portfolio'!C$2:C2000,'RE Portfolio'!D$2:D2000=""BUY""), INT((ROW()-2)/amortYears)+1)
  * (1 + VALUE(Assumptions!$B$11))^(D454-1)
)
"),2163093.493941362)</f>
        <v>2163093.494</v>
      </c>
    </row>
    <row r="455">
      <c r="A455" s="15">
        <f>IFERROR(__xludf.DUMMYFUNCTION("IFERROR(INDEX(FILTER('RE Portfolio'!A$2:A2000,'RE Portfolio'!D$2:D2000=""BUY""), INT((ROW()-2)/amortYears)+1), )
"),12.0)</f>
        <v>12</v>
      </c>
      <c r="B455" s="15">
        <f>IFERROR(__xludf.DUMMYFUNCTION("IFERROR(INDEX(FILTER('RE Portfolio'!B$2:B2000,'RE Portfolio'!D$2:D2000=""BUY""), INT((ROW()-2)/amortYears)+1), )
"),50.0)</f>
        <v>50</v>
      </c>
      <c r="C455" s="15">
        <f>IFERROR(__xludf.DUMMYFUNCTION("IFERROR(INDEX(FILTER('RE Portfolio'!G$2:G2000,'RE Portfolio'!D$2:D2000=""BUY""), INT((ROW()-2)/amortYears)+1), )
"),427565.8576755462)</f>
        <v>427565.8577</v>
      </c>
      <c r="D455" s="15">
        <f>MOD(ROW()-2, amortYears)+1</f>
        <v>36</v>
      </c>
      <c r="E455" s="15">
        <f t="shared" si="1"/>
        <v>85</v>
      </c>
      <c r="F455" s="15">
        <f t="shared" si="2"/>
        <v>0</v>
      </c>
      <c r="G455" s="15">
        <f>IF(D455&lt;=mortTerm, -PMT(mortRate/12, mortTerm*12, C455)*12, 0)
</f>
        <v>0</v>
      </c>
      <c r="H455" s="15">
        <f>IF(D455&lt;=mortTerm, G455 - I455, 0)
</f>
        <v>0</v>
      </c>
      <c r="I455" s="15">
        <f>IF(D455&lt;=mortTerm, F455 - J455, 0)
</f>
        <v>0</v>
      </c>
      <c r="J455" s="15">
        <f>IF(D455&lt;=mortTerm,
   F455*(1+mortRate/12)^12 - (-PMT(mortRate/12, mortTerm*12, C455))*(((1+mortRate/12)^12 - 1)/(mortRate/12)),
   0
)
</f>
        <v>0</v>
      </c>
      <c r="K455" s="13">
        <f>IFERROR(__xludf.DUMMYFUNCTION("IF(A455="""","""",
   IF(F455&gt;0,
      INDEX(FILTER('RE Portfolio'!L$2:L2000,'RE Portfolio'!D$2:D2000=""BUY""), INT((ROW()-2)/amortYears)+1) - G455,
      INDEX(FILTER('RE Portfolio'!L$2:L2000,'RE Portfolio'!D$2:D2000=""BUY""), INT((ROW()-2)/amortYears)+1"&amp;")
   )
)
"),42414.53308141418)</f>
        <v>42414.53308</v>
      </c>
      <c r="L455" s="15">
        <f>IFERROR(__xludf.DUMMYFUNCTION("IF(A455="""","""",
  INDEX(FILTER('RE Portfolio'!C$2:C2000,'RE Portfolio'!D$2:D2000=""BUY""), INT((ROW()-2)/amortYears)+1)
  * (1 + VALUE(Assumptions!$B$11))^(D455-1)
)
"),2249617.2336990167)</f>
        <v>2249617.234</v>
      </c>
    </row>
    <row r="456">
      <c r="A456" s="15">
        <f>IFERROR(__xludf.DUMMYFUNCTION("IFERROR(INDEX(FILTER('RE Portfolio'!A$2:A2000,'RE Portfolio'!D$2:D2000=""BUY""), INT((ROW()-2)/amortYears)+1), )
"),12.0)</f>
        <v>12</v>
      </c>
      <c r="B456" s="15">
        <f>IFERROR(__xludf.DUMMYFUNCTION("IFERROR(INDEX(FILTER('RE Portfolio'!B$2:B2000,'RE Portfolio'!D$2:D2000=""BUY""), INT((ROW()-2)/amortYears)+1), )
"),50.0)</f>
        <v>50</v>
      </c>
      <c r="C456" s="15">
        <f>IFERROR(__xludf.DUMMYFUNCTION("IFERROR(INDEX(FILTER('RE Portfolio'!G$2:G2000,'RE Portfolio'!D$2:D2000=""BUY""), INT((ROW()-2)/amortYears)+1), )
"),427565.8576755462)</f>
        <v>427565.8577</v>
      </c>
      <c r="D456" s="15">
        <f>MOD(ROW()-2, amortYears)+1</f>
        <v>37</v>
      </c>
      <c r="E456" s="15">
        <f t="shared" si="1"/>
        <v>86</v>
      </c>
      <c r="F456" s="15">
        <f t="shared" si="2"/>
        <v>0</v>
      </c>
      <c r="G456" s="15">
        <f>IF(D456&lt;=mortTerm, -PMT(mortRate/12, mortTerm*12, C456)*12, 0)
</f>
        <v>0</v>
      </c>
      <c r="H456" s="15">
        <f>IF(D456&lt;=mortTerm, G456 - I456, 0)
</f>
        <v>0</v>
      </c>
      <c r="I456" s="15">
        <f>IF(D456&lt;=mortTerm, F456 - J456, 0)
</f>
        <v>0</v>
      </c>
      <c r="J456" s="15">
        <f>IF(D456&lt;=mortTerm,
   F456*(1+mortRate/12)^12 - (-PMT(mortRate/12, mortTerm*12, C456))*(((1+mortRate/12)^12 - 1)/(mortRate/12)),
   0
)
</f>
        <v>0</v>
      </c>
      <c r="K456" s="13">
        <f>IFERROR(__xludf.DUMMYFUNCTION("IF(A456="""","""",
   IF(F456&gt;0,
      INDEX(FILTER('RE Portfolio'!L$2:L2000,'RE Portfolio'!D$2:D2000=""BUY""), INT((ROW()-2)/amortYears)+1) - G456,
      INDEX(FILTER('RE Portfolio'!L$2:L2000,'RE Portfolio'!D$2:D2000=""BUY""), INT((ROW()-2)/amortYears)+1"&amp;")
   )
)
"),42414.53308141418)</f>
        <v>42414.53308</v>
      </c>
      <c r="L456" s="15">
        <f>IFERROR(__xludf.DUMMYFUNCTION("IF(A456="""","""",
  INDEX(FILTER('RE Portfolio'!C$2:C2000,'RE Portfolio'!D$2:D2000=""BUY""), INT((ROW()-2)/amortYears)+1)
  * (1 + VALUE(Assumptions!$B$11))^(D456-1)
)
"),2339601.9230469773)</f>
        <v>2339601.923</v>
      </c>
    </row>
    <row r="457">
      <c r="A457" s="15">
        <f>IFERROR(__xludf.DUMMYFUNCTION("IFERROR(INDEX(FILTER('RE Portfolio'!A$2:A2000,'RE Portfolio'!D$2:D2000=""BUY""), INT((ROW()-2)/amortYears)+1), )
"),12.0)</f>
        <v>12</v>
      </c>
      <c r="B457" s="15">
        <f>IFERROR(__xludf.DUMMYFUNCTION("IFERROR(INDEX(FILTER('RE Portfolio'!B$2:B2000,'RE Portfolio'!D$2:D2000=""BUY""), INT((ROW()-2)/amortYears)+1), )
"),50.0)</f>
        <v>50</v>
      </c>
      <c r="C457" s="15">
        <f>IFERROR(__xludf.DUMMYFUNCTION("IFERROR(INDEX(FILTER('RE Portfolio'!G$2:G2000,'RE Portfolio'!D$2:D2000=""BUY""), INT((ROW()-2)/amortYears)+1), )
"),427565.8576755462)</f>
        <v>427565.8577</v>
      </c>
      <c r="D457" s="15">
        <f>MOD(ROW()-2, amortYears)+1</f>
        <v>38</v>
      </c>
      <c r="E457" s="15">
        <f t="shared" si="1"/>
        <v>87</v>
      </c>
      <c r="F457" s="15">
        <f t="shared" si="2"/>
        <v>0</v>
      </c>
      <c r="G457" s="15">
        <f>IF(D457&lt;=mortTerm, -PMT(mortRate/12, mortTerm*12, C457)*12, 0)
</f>
        <v>0</v>
      </c>
      <c r="H457" s="15">
        <f>IF(D457&lt;=mortTerm, G457 - I457, 0)
</f>
        <v>0</v>
      </c>
      <c r="I457" s="15">
        <f>IF(D457&lt;=mortTerm, F457 - J457, 0)
</f>
        <v>0</v>
      </c>
      <c r="J457" s="15">
        <f>IF(D457&lt;=mortTerm,
   F457*(1+mortRate/12)^12 - (-PMT(mortRate/12, mortTerm*12, C457))*(((1+mortRate/12)^12 - 1)/(mortRate/12)),
   0
)
</f>
        <v>0</v>
      </c>
      <c r="K457" s="13">
        <f>IFERROR(__xludf.DUMMYFUNCTION("IF(A457="""","""",
   IF(F457&gt;0,
      INDEX(FILTER('RE Portfolio'!L$2:L2000,'RE Portfolio'!D$2:D2000=""BUY""), INT((ROW()-2)/amortYears)+1) - G457,
      INDEX(FILTER('RE Portfolio'!L$2:L2000,'RE Portfolio'!D$2:D2000=""BUY""), INT((ROW()-2)/amortYears)+1"&amp;")
   )
)
"),42414.53308141418)</f>
        <v>42414.53308</v>
      </c>
      <c r="L457" s="15">
        <f>IFERROR(__xludf.DUMMYFUNCTION("IF(A457="""","""",
  INDEX(FILTER('RE Portfolio'!C$2:C2000,'RE Portfolio'!D$2:D2000=""BUY""), INT((ROW()-2)/amortYears)+1)
  * (1 + VALUE(Assumptions!$B$11))^(D457-1)
)
"),2433185.999968856)</f>
        <v>2433186</v>
      </c>
    </row>
    <row r="458">
      <c r="A458" s="15">
        <f>IFERROR(__xludf.DUMMYFUNCTION("IFERROR(INDEX(FILTER('RE Portfolio'!A$2:A2000,'RE Portfolio'!D$2:D2000=""BUY""), INT((ROW()-2)/amortYears)+1), )
"),13.0)</f>
        <v>13</v>
      </c>
      <c r="B458" s="15">
        <f>IFERROR(__xludf.DUMMYFUNCTION("IFERROR(INDEX(FILTER('RE Portfolio'!B$2:B2000,'RE Portfolio'!D$2:D2000=""BUY""), INT((ROW()-2)/amortYears)+1), )
"),52.0)</f>
        <v>52</v>
      </c>
      <c r="C458" s="15">
        <f>IFERROR(__xludf.DUMMYFUNCTION("IFERROR(INDEX(FILTER('RE Portfolio'!G$2:G2000,'RE Portfolio'!D$2:D2000=""BUY""), INT((ROW()-2)/amortYears)+1), )
"),449211.37922037067)</f>
        <v>449211.3792</v>
      </c>
      <c r="D458" s="15">
        <f>MOD(ROW()-2, amortYears)+1</f>
        <v>1</v>
      </c>
      <c r="E458" s="15">
        <f t="shared" si="1"/>
        <v>52</v>
      </c>
      <c r="F458" s="15">
        <f t="shared" si="2"/>
        <v>449211.3792</v>
      </c>
      <c r="G458" s="16">
        <f>IF(D458&lt;=mortTerm, -PMT(mortRate/12, mortTerm*12, C458)*12, 0)
</f>
        <v>34071.85783</v>
      </c>
      <c r="H458" s="16">
        <f>IF(D458&lt;=mortTerm, G458 - I458, 0)
</f>
        <v>29050.90784</v>
      </c>
      <c r="I458" s="16">
        <f>IF(D458&lt;=mortTerm, F458 - J458, 0)
</f>
        <v>5020.949995</v>
      </c>
      <c r="J458" s="16">
        <f>IF(D458&lt;=mortTerm,
   F458*(1+mortRate/12)^12 - (-PMT(mortRate/12, mortTerm*12, C458))*(((1+mortRate/12)^12 - 1)/(mortRate/12)),
   0
)
</f>
        <v>444190.4292</v>
      </c>
      <c r="K458" s="13">
        <f>IFERROR(__xludf.DUMMYFUNCTION("IF(A458="""","""",
   IF(F458&gt;0,
      INDEX(FILTER('RE Portfolio'!L$2:L2000,'RE Portfolio'!D$2:D2000=""BUY""), INT((ROW()-2)/amortYears)+1) - G458,
      INDEX(FILTER('RE Portfolio'!L$2:L2000,'RE Portfolio'!D$2:D2000=""BUY""), INT((ROW()-2)/amortYears)+1"&amp;")
   )
)
"),10489.91098733653)</f>
        <v>10489.91099</v>
      </c>
      <c r="L458" s="15">
        <f>IFERROR(__xludf.DUMMYFUNCTION("IF(A458="""","""",
  INDEX(FILTER('RE Portfolio'!C$2:C2000,'RE Portfolio'!D$2:D2000=""BUY""), INT((ROW()-2)/amortYears)+1)
  * (1 + VALUE(Assumptions!$B$11))^(D458-1)
)
"),598948.5056271609)</f>
        <v>598948.5056</v>
      </c>
    </row>
    <row r="459">
      <c r="A459" s="15">
        <f>IFERROR(__xludf.DUMMYFUNCTION("IFERROR(INDEX(FILTER('RE Portfolio'!A$2:A2000,'RE Portfolio'!D$2:D2000=""BUY""), INT((ROW()-2)/amortYears)+1), )
"),13.0)</f>
        <v>13</v>
      </c>
      <c r="B459" s="15">
        <f>IFERROR(__xludf.DUMMYFUNCTION("IFERROR(INDEX(FILTER('RE Portfolio'!B$2:B2000,'RE Portfolio'!D$2:D2000=""BUY""), INT((ROW()-2)/amortYears)+1), )
"),52.0)</f>
        <v>52</v>
      </c>
      <c r="C459" s="15">
        <f>IFERROR(__xludf.DUMMYFUNCTION("IFERROR(INDEX(FILTER('RE Portfolio'!G$2:G2000,'RE Portfolio'!D$2:D2000=""BUY""), INT((ROW()-2)/amortYears)+1), )
"),449211.37922037067)</f>
        <v>449211.3792</v>
      </c>
      <c r="D459" s="15">
        <f>MOD(ROW()-2, amortYears)+1</f>
        <v>2</v>
      </c>
      <c r="E459" s="15">
        <f t="shared" si="1"/>
        <v>53</v>
      </c>
      <c r="F459" s="16">
        <f t="shared" si="2"/>
        <v>444190.4292</v>
      </c>
      <c r="G459" s="16">
        <f>IF(D459&lt;=mortTerm, -PMT(mortRate/12, mortTerm*12, C459)*12, 0)
</f>
        <v>34071.85783</v>
      </c>
      <c r="H459" s="16">
        <f>IF(D459&lt;=mortTerm, G459 - I459, 0)
</f>
        <v>28714.64552</v>
      </c>
      <c r="I459" s="16">
        <f>IF(D459&lt;=mortTerm, F459 - J459, 0)
</f>
        <v>5357.212315</v>
      </c>
      <c r="J459" s="16">
        <f>IF(D459&lt;=mortTerm,
   F459*(1+mortRate/12)^12 - (-PMT(mortRate/12, mortTerm*12, C459))*(((1+mortRate/12)^12 - 1)/(mortRate/12)),
   0
)
</f>
        <v>438833.2169</v>
      </c>
      <c r="K459" s="13">
        <f>IFERROR(__xludf.DUMMYFUNCTION("IF(A459="""","""",
   IF(F459&gt;0,
      INDEX(FILTER('RE Portfolio'!L$2:L2000,'RE Portfolio'!D$2:D2000=""BUY""), INT((ROW()-2)/amortYears)+1) - G459,
      INDEX(FILTER('RE Portfolio'!L$2:L2000,'RE Portfolio'!D$2:D2000=""BUY""), INT((ROW()-2)/amortYears)+1"&amp;")
   )
)
"),10489.91098733653)</f>
        <v>10489.91099</v>
      </c>
      <c r="L459" s="15">
        <f>IFERROR(__xludf.DUMMYFUNCTION("IF(A459="""","""",
  INDEX(FILTER('RE Portfolio'!C$2:C2000,'RE Portfolio'!D$2:D2000=""BUY""), INT((ROW()-2)/amortYears)+1)
  * (1 + VALUE(Assumptions!$B$11))^(D459-1)
)
"),622906.4458522473)</f>
        <v>622906.4459</v>
      </c>
    </row>
    <row r="460">
      <c r="A460" s="15">
        <f>IFERROR(__xludf.DUMMYFUNCTION("IFERROR(INDEX(FILTER('RE Portfolio'!A$2:A2000,'RE Portfolio'!D$2:D2000=""BUY""), INT((ROW()-2)/amortYears)+1), )
"),13.0)</f>
        <v>13</v>
      </c>
      <c r="B460" s="15">
        <f>IFERROR(__xludf.DUMMYFUNCTION("IFERROR(INDEX(FILTER('RE Portfolio'!B$2:B2000,'RE Portfolio'!D$2:D2000=""BUY""), INT((ROW()-2)/amortYears)+1), )
"),52.0)</f>
        <v>52</v>
      </c>
      <c r="C460" s="15">
        <f>IFERROR(__xludf.DUMMYFUNCTION("IFERROR(INDEX(FILTER('RE Portfolio'!G$2:G2000,'RE Portfolio'!D$2:D2000=""BUY""), INT((ROW()-2)/amortYears)+1), )
"),449211.37922037067)</f>
        <v>449211.3792</v>
      </c>
      <c r="D460" s="15">
        <f>MOD(ROW()-2, amortYears)+1</f>
        <v>3</v>
      </c>
      <c r="E460" s="15">
        <f t="shared" si="1"/>
        <v>54</v>
      </c>
      <c r="F460" s="16">
        <f t="shared" si="2"/>
        <v>438833.2169</v>
      </c>
      <c r="G460" s="16">
        <f>IF(D460&lt;=mortTerm, -PMT(mortRate/12, mortTerm*12, C460)*12, 0)
</f>
        <v>34071.85783</v>
      </c>
      <c r="H460" s="16">
        <f>IF(D460&lt;=mortTerm, G460 - I460, 0)
</f>
        <v>28355.86309</v>
      </c>
      <c r="I460" s="16">
        <f>IF(D460&lt;=mortTerm, F460 - J460, 0)
</f>
        <v>5715.994745</v>
      </c>
      <c r="J460" s="16">
        <f>IF(D460&lt;=mortTerm,
   F460*(1+mortRate/12)^12 - (-PMT(mortRate/12, mortTerm*12, C460))*(((1+mortRate/12)^12 - 1)/(mortRate/12)),
   0
)
</f>
        <v>433117.2222</v>
      </c>
      <c r="K460" s="13">
        <f>IFERROR(__xludf.DUMMYFUNCTION("IF(A460="""","""",
   IF(F460&gt;0,
      INDEX(FILTER('RE Portfolio'!L$2:L2000,'RE Portfolio'!D$2:D2000=""BUY""), INT((ROW()-2)/amortYears)+1) - G460,
      INDEX(FILTER('RE Portfolio'!L$2:L2000,'RE Portfolio'!D$2:D2000=""BUY""), INT((ROW()-2)/amortYears)+1"&amp;")
   )
)
"),10489.91098733653)</f>
        <v>10489.91099</v>
      </c>
      <c r="L460" s="15">
        <f>IFERROR(__xludf.DUMMYFUNCTION("IF(A460="""","""",
  INDEX(FILTER('RE Portfolio'!C$2:C2000,'RE Portfolio'!D$2:D2000=""BUY""), INT((ROW()-2)/amortYears)+1)
  * (1 + VALUE(Assumptions!$B$11))^(D460-1)
)
"),647822.7036863373)</f>
        <v>647822.7037</v>
      </c>
    </row>
    <row r="461">
      <c r="A461" s="15">
        <f>IFERROR(__xludf.DUMMYFUNCTION("IFERROR(INDEX(FILTER('RE Portfolio'!A$2:A2000,'RE Portfolio'!D$2:D2000=""BUY""), INT((ROW()-2)/amortYears)+1), )
"),13.0)</f>
        <v>13</v>
      </c>
      <c r="B461" s="15">
        <f>IFERROR(__xludf.DUMMYFUNCTION("IFERROR(INDEX(FILTER('RE Portfolio'!B$2:B2000,'RE Portfolio'!D$2:D2000=""BUY""), INT((ROW()-2)/amortYears)+1), )
"),52.0)</f>
        <v>52</v>
      </c>
      <c r="C461" s="15">
        <f>IFERROR(__xludf.DUMMYFUNCTION("IFERROR(INDEX(FILTER('RE Portfolio'!G$2:G2000,'RE Portfolio'!D$2:D2000=""BUY""), INT((ROW()-2)/amortYears)+1), )
"),449211.37922037067)</f>
        <v>449211.3792</v>
      </c>
      <c r="D461" s="15">
        <f>MOD(ROW()-2, amortYears)+1</f>
        <v>4</v>
      </c>
      <c r="E461" s="15">
        <f t="shared" si="1"/>
        <v>55</v>
      </c>
      <c r="F461" s="16">
        <f t="shared" si="2"/>
        <v>433117.2222</v>
      </c>
      <c r="G461" s="16">
        <f>IF(D461&lt;=mortTerm, -PMT(mortRate/12, mortTerm*12, C461)*12, 0)
</f>
        <v>34071.85783</v>
      </c>
      <c r="H461" s="16">
        <f>IF(D461&lt;=mortTerm, G461 - I461, 0)
</f>
        <v>27973.05233</v>
      </c>
      <c r="I461" s="16">
        <f>IF(D461&lt;=mortTerm, F461 - J461, 0)
</f>
        <v>6098.805499</v>
      </c>
      <c r="J461" s="16">
        <f>IF(D461&lt;=mortTerm,
   F461*(1+mortRate/12)^12 - (-PMT(mortRate/12, mortTerm*12, C461))*(((1+mortRate/12)^12 - 1)/(mortRate/12)),
   0
)
</f>
        <v>427018.4167</v>
      </c>
      <c r="K461" s="13">
        <f>IFERROR(__xludf.DUMMYFUNCTION("IF(A461="""","""",
   IF(F461&gt;0,
      INDEX(FILTER('RE Portfolio'!L$2:L2000,'RE Portfolio'!D$2:D2000=""BUY""), INT((ROW()-2)/amortYears)+1) - G461,
      INDEX(FILTER('RE Portfolio'!L$2:L2000,'RE Portfolio'!D$2:D2000=""BUY""), INT((ROW()-2)/amortYears)+1"&amp;")
   )
)
"),10489.91098733653)</f>
        <v>10489.91099</v>
      </c>
      <c r="L461" s="15">
        <f>IFERROR(__xludf.DUMMYFUNCTION("IF(A461="""","""",
  INDEX(FILTER('RE Portfolio'!C$2:C2000,'RE Portfolio'!D$2:D2000=""BUY""), INT((ROW()-2)/amortYears)+1)
  * (1 + VALUE(Assumptions!$B$11))^(D461-1)
)
"),673735.6118337908)</f>
        <v>673735.6118</v>
      </c>
    </row>
    <row r="462">
      <c r="A462" s="15">
        <f>IFERROR(__xludf.DUMMYFUNCTION("IFERROR(INDEX(FILTER('RE Portfolio'!A$2:A2000,'RE Portfolio'!D$2:D2000=""BUY""), INT((ROW()-2)/amortYears)+1), )
"),13.0)</f>
        <v>13</v>
      </c>
      <c r="B462" s="15">
        <f>IFERROR(__xludf.DUMMYFUNCTION("IFERROR(INDEX(FILTER('RE Portfolio'!B$2:B2000,'RE Portfolio'!D$2:D2000=""BUY""), INT((ROW()-2)/amortYears)+1), )
"),52.0)</f>
        <v>52</v>
      </c>
      <c r="C462" s="15">
        <f>IFERROR(__xludf.DUMMYFUNCTION("IFERROR(INDEX(FILTER('RE Portfolio'!G$2:G2000,'RE Portfolio'!D$2:D2000=""BUY""), INT((ROW()-2)/amortYears)+1), )
"),449211.37922037067)</f>
        <v>449211.3792</v>
      </c>
      <c r="D462" s="15">
        <f>MOD(ROW()-2, amortYears)+1</f>
        <v>5</v>
      </c>
      <c r="E462" s="15">
        <f t="shared" si="1"/>
        <v>56</v>
      </c>
      <c r="F462" s="16">
        <f t="shared" si="2"/>
        <v>427018.4167</v>
      </c>
      <c r="G462" s="16">
        <f>IF(D462&lt;=mortTerm, -PMT(mortRate/12, mortTerm*12, C462)*12, 0)
</f>
        <v>34071.85783</v>
      </c>
      <c r="H462" s="16">
        <f>IF(D462&lt;=mortTerm, G462 - I462, 0)
</f>
        <v>27564.60403</v>
      </c>
      <c r="I462" s="16">
        <f>IF(D462&lt;=mortTerm, F462 - J462, 0)
</f>
        <v>6507.253799</v>
      </c>
      <c r="J462" s="16">
        <f>IF(D462&lt;=mortTerm,
   F462*(1+mortRate/12)^12 - (-PMT(mortRate/12, mortTerm*12, C462))*(((1+mortRate/12)^12 - 1)/(mortRate/12)),
   0
)
</f>
        <v>420511.1629</v>
      </c>
      <c r="K462" s="13">
        <f>IFERROR(__xludf.DUMMYFUNCTION("IF(A462="""","""",
   IF(F462&gt;0,
      INDEX(FILTER('RE Portfolio'!L$2:L2000,'RE Portfolio'!D$2:D2000=""BUY""), INT((ROW()-2)/amortYears)+1) - G462,
      INDEX(FILTER('RE Portfolio'!L$2:L2000,'RE Portfolio'!D$2:D2000=""BUY""), INT((ROW()-2)/amortYears)+1"&amp;")
   )
)
"),10489.91098733653)</f>
        <v>10489.91099</v>
      </c>
      <c r="L462" s="15">
        <f>IFERROR(__xludf.DUMMYFUNCTION("IF(A462="""","""",
  INDEX(FILTER('RE Portfolio'!C$2:C2000,'RE Portfolio'!D$2:D2000=""BUY""), INT((ROW()-2)/amortYears)+1)
  * (1 + VALUE(Assumptions!$B$11))^(D462-1)
)
"),700685.0363071425)</f>
        <v>700685.0363</v>
      </c>
    </row>
    <row r="463">
      <c r="A463" s="15">
        <f>IFERROR(__xludf.DUMMYFUNCTION("IFERROR(INDEX(FILTER('RE Portfolio'!A$2:A2000,'RE Portfolio'!D$2:D2000=""BUY""), INT((ROW()-2)/amortYears)+1), )
"),13.0)</f>
        <v>13</v>
      </c>
      <c r="B463" s="15">
        <f>IFERROR(__xludf.DUMMYFUNCTION("IFERROR(INDEX(FILTER('RE Portfolio'!B$2:B2000,'RE Portfolio'!D$2:D2000=""BUY""), INT((ROW()-2)/amortYears)+1), )
"),52.0)</f>
        <v>52</v>
      </c>
      <c r="C463" s="15">
        <f>IFERROR(__xludf.DUMMYFUNCTION("IFERROR(INDEX(FILTER('RE Portfolio'!G$2:G2000,'RE Portfolio'!D$2:D2000=""BUY""), INT((ROW()-2)/amortYears)+1), )
"),449211.37922037067)</f>
        <v>449211.3792</v>
      </c>
      <c r="D463" s="15">
        <f>MOD(ROW()-2, amortYears)+1</f>
        <v>6</v>
      </c>
      <c r="E463" s="15">
        <f t="shared" si="1"/>
        <v>57</v>
      </c>
      <c r="F463" s="16">
        <f t="shared" si="2"/>
        <v>420511.1629</v>
      </c>
      <c r="G463" s="16">
        <f>IF(D463&lt;=mortTerm, -PMT(mortRate/12, mortTerm*12, C463)*12, 0)
</f>
        <v>34071.85783</v>
      </c>
      <c r="H463" s="16">
        <f>IF(D463&lt;=mortTerm, G463 - I463, 0)
</f>
        <v>27128.80119</v>
      </c>
      <c r="I463" s="16">
        <f>IF(D463&lt;=mortTerm, F463 - J463, 0)
</f>
        <v>6943.056637</v>
      </c>
      <c r="J463" s="16">
        <f>IF(D463&lt;=mortTerm,
   F463*(1+mortRate/12)^12 - (-PMT(mortRate/12, mortTerm*12, C463))*(((1+mortRate/12)^12 - 1)/(mortRate/12)),
   0
)
</f>
        <v>413568.1062</v>
      </c>
      <c r="K463" s="13">
        <f>IFERROR(__xludf.DUMMYFUNCTION("IF(A463="""","""",
   IF(F463&gt;0,
      INDEX(FILTER('RE Portfolio'!L$2:L2000,'RE Portfolio'!D$2:D2000=""BUY""), INT((ROW()-2)/amortYears)+1) - G463,
      INDEX(FILTER('RE Portfolio'!L$2:L2000,'RE Portfolio'!D$2:D2000=""BUY""), INT((ROW()-2)/amortYears)+1"&amp;")
   )
)
"),10489.91098733653)</f>
        <v>10489.91099</v>
      </c>
      <c r="L463" s="15">
        <f>IFERROR(__xludf.DUMMYFUNCTION("IF(A463="""","""",
  INDEX(FILTER('RE Portfolio'!C$2:C2000,'RE Portfolio'!D$2:D2000=""BUY""), INT((ROW()-2)/amortYears)+1)
  * (1 + VALUE(Assumptions!$B$11))^(D463-1)
)
"),728712.437759428)</f>
        <v>728712.4378</v>
      </c>
    </row>
    <row r="464">
      <c r="A464" s="15">
        <f>IFERROR(__xludf.DUMMYFUNCTION("IFERROR(INDEX(FILTER('RE Portfolio'!A$2:A2000,'RE Portfolio'!D$2:D2000=""BUY""), INT((ROW()-2)/amortYears)+1), )
"),13.0)</f>
        <v>13</v>
      </c>
      <c r="B464" s="15">
        <f>IFERROR(__xludf.DUMMYFUNCTION("IFERROR(INDEX(FILTER('RE Portfolio'!B$2:B2000,'RE Portfolio'!D$2:D2000=""BUY""), INT((ROW()-2)/amortYears)+1), )
"),52.0)</f>
        <v>52</v>
      </c>
      <c r="C464" s="15">
        <f>IFERROR(__xludf.DUMMYFUNCTION("IFERROR(INDEX(FILTER('RE Portfolio'!G$2:G2000,'RE Portfolio'!D$2:D2000=""BUY""), INT((ROW()-2)/amortYears)+1), )
"),449211.37922037067)</f>
        <v>449211.3792</v>
      </c>
      <c r="D464" s="15">
        <f>MOD(ROW()-2, amortYears)+1</f>
        <v>7</v>
      </c>
      <c r="E464" s="15">
        <f t="shared" si="1"/>
        <v>58</v>
      </c>
      <c r="F464" s="16">
        <f t="shared" si="2"/>
        <v>413568.1062</v>
      </c>
      <c r="G464" s="16">
        <f>IF(D464&lt;=mortTerm, -PMT(mortRate/12, mortTerm*12, C464)*12, 0)
</f>
        <v>34071.85783</v>
      </c>
      <c r="H464" s="16">
        <f>IF(D464&lt;=mortTerm, G464 - I464, 0)
</f>
        <v>26663.81183</v>
      </c>
      <c r="I464" s="16">
        <f>IF(D464&lt;=mortTerm, F464 - J464, 0)
</f>
        <v>7408.045999</v>
      </c>
      <c r="J464" s="16">
        <f>IF(D464&lt;=mortTerm,
   F464*(1+mortRate/12)^12 - (-PMT(mortRate/12, mortTerm*12, C464))*(((1+mortRate/12)^12 - 1)/(mortRate/12)),
   0
)
</f>
        <v>406160.0602</v>
      </c>
      <c r="K464" s="13">
        <f>IFERROR(__xludf.DUMMYFUNCTION("IF(A464="""","""",
   IF(F464&gt;0,
      INDEX(FILTER('RE Portfolio'!L$2:L2000,'RE Portfolio'!D$2:D2000=""BUY""), INT((ROW()-2)/amortYears)+1) - G464,
      INDEX(FILTER('RE Portfolio'!L$2:L2000,'RE Portfolio'!D$2:D2000=""BUY""), INT((ROW()-2)/amortYears)+1"&amp;")
   )
)
"),10489.91098733653)</f>
        <v>10489.91099</v>
      </c>
      <c r="L464" s="15">
        <f>IFERROR(__xludf.DUMMYFUNCTION("IF(A464="""","""",
  INDEX(FILTER('RE Portfolio'!C$2:C2000,'RE Portfolio'!D$2:D2000=""BUY""), INT((ROW()-2)/amortYears)+1)
  * (1 + VALUE(Assumptions!$B$11))^(D464-1)
)
"),757860.9352698054)</f>
        <v>757860.9353</v>
      </c>
    </row>
    <row r="465">
      <c r="A465" s="15">
        <f>IFERROR(__xludf.DUMMYFUNCTION("IFERROR(INDEX(FILTER('RE Portfolio'!A$2:A2000,'RE Portfolio'!D$2:D2000=""BUY""), INT((ROW()-2)/amortYears)+1), )
"),13.0)</f>
        <v>13</v>
      </c>
      <c r="B465" s="15">
        <f>IFERROR(__xludf.DUMMYFUNCTION("IFERROR(INDEX(FILTER('RE Portfolio'!B$2:B2000,'RE Portfolio'!D$2:D2000=""BUY""), INT((ROW()-2)/amortYears)+1), )
"),52.0)</f>
        <v>52</v>
      </c>
      <c r="C465" s="15">
        <f>IFERROR(__xludf.DUMMYFUNCTION("IFERROR(INDEX(FILTER('RE Portfolio'!G$2:G2000,'RE Portfolio'!D$2:D2000=""BUY""), INT((ROW()-2)/amortYears)+1), )
"),449211.37922037067)</f>
        <v>449211.3792</v>
      </c>
      <c r="D465" s="15">
        <f>MOD(ROW()-2, amortYears)+1</f>
        <v>8</v>
      </c>
      <c r="E465" s="15">
        <f t="shared" si="1"/>
        <v>59</v>
      </c>
      <c r="F465" s="16">
        <f t="shared" si="2"/>
        <v>406160.0602</v>
      </c>
      <c r="G465" s="16">
        <f>IF(D465&lt;=mortTerm, -PMT(mortRate/12, mortTerm*12, C465)*12, 0)
</f>
        <v>34071.85783</v>
      </c>
      <c r="H465" s="16">
        <f>IF(D465&lt;=mortTerm, G465 - I465, 0)
</f>
        <v>26167.68127</v>
      </c>
      <c r="I465" s="16">
        <f>IF(D465&lt;=mortTerm, F465 - J465, 0)
</f>
        <v>7904.176559</v>
      </c>
      <c r="J465" s="16">
        <f>IF(D465&lt;=mortTerm,
   F465*(1+mortRate/12)^12 - (-PMT(mortRate/12, mortTerm*12, C465))*(((1+mortRate/12)^12 - 1)/(mortRate/12)),
   0
)
</f>
        <v>398255.8837</v>
      </c>
      <c r="K465" s="13">
        <f>IFERROR(__xludf.DUMMYFUNCTION("IF(A465="""","""",
   IF(F465&gt;0,
      INDEX(FILTER('RE Portfolio'!L$2:L2000,'RE Portfolio'!D$2:D2000=""BUY""), INT((ROW()-2)/amortYears)+1) - G465,
      INDEX(FILTER('RE Portfolio'!L$2:L2000,'RE Portfolio'!D$2:D2000=""BUY""), INT((ROW()-2)/amortYears)+1"&amp;")
   )
)
"),10489.91098733653)</f>
        <v>10489.91099</v>
      </c>
      <c r="L465" s="15">
        <f>IFERROR(__xludf.DUMMYFUNCTION("IF(A465="""","""",
  INDEX(FILTER('RE Portfolio'!C$2:C2000,'RE Portfolio'!D$2:D2000=""BUY""), INT((ROW()-2)/amortYears)+1)
  * (1 + VALUE(Assumptions!$B$11))^(D465-1)
)
"),788175.3726805975)</f>
        <v>788175.3727</v>
      </c>
    </row>
    <row r="466">
      <c r="A466" s="15">
        <f>IFERROR(__xludf.DUMMYFUNCTION("IFERROR(INDEX(FILTER('RE Portfolio'!A$2:A2000,'RE Portfolio'!D$2:D2000=""BUY""), INT((ROW()-2)/amortYears)+1), )
"),13.0)</f>
        <v>13</v>
      </c>
      <c r="B466" s="15">
        <f>IFERROR(__xludf.DUMMYFUNCTION("IFERROR(INDEX(FILTER('RE Portfolio'!B$2:B2000,'RE Portfolio'!D$2:D2000=""BUY""), INT((ROW()-2)/amortYears)+1), )
"),52.0)</f>
        <v>52</v>
      </c>
      <c r="C466" s="15">
        <f>IFERROR(__xludf.DUMMYFUNCTION("IFERROR(INDEX(FILTER('RE Portfolio'!G$2:G2000,'RE Portfolio'!D$2:D2000=""BUY""), INT((ROW()-2)/amortYears)+1), )
"),449211.37922037067)</f>
        <v>449211.3792</v>
      </c>
      <c r="D466" s="15">
        <f>MOD(ROW()-2, amortYears)+1</f>
        <v>9</v>
      </c>
      <c r="E466" s="15">
        <f t="shared" si="1"/>
        <v>60</v>
      </c>
      <c r="F466" s="16">
        <f t="shared" si="2"/>
        <v>398255.8837</v>
      </c>
      <c r="G466" s="16">
        <f>IF(D466&lt;=mortTerm, -PMT(mortRate/12, mortTerm*12, C466)*12, 0)
</f>
        <v>34071.85783</v>
      </c>
      <c r="H466" s="16">
        <f>IF(D466&lt;=mortTerm, G466 - I466, 0)
</f>
        <v>25638.32393</v>
      </c>
      <c r="I466" s="16">
        <f>IF(D466&lt;=mortTerm, F466 - J466, 0)
</f>
        <v>8433.533902</v>
      </c>
      <c r="J466" s="16">
        <f>IF(D466&lt;=mortTerm,
   F466*(1+mortRate/12)^12 - (-PMT(mortRate/12, mortTerm*12, C466))*(((1+mortRate/12)^12 - 1)/(mortRate/12)),
   0
)
</f>
        <v>389822.3498</v>
      </c>
      <c r="K466" s="13">
        <f>IFERROR(__xludf.DUMMYFUNCTION("IF(A466="""","""",
   IF(F466&gt;0,
      INDEX(FILTER('RE Portfolio'!L$2:L2000,'RE Portfolio'!D$2:D2000=""BUY""), INT((ROW()-2)/amortYears)+1) - G466,
      INDEX(FILTER('RE Portfolio'!L$2:L2000,'RE Portfolio'!D$2:D2000=""BUY""), INT((ROW()-2)/amortYears)+1"&amp;")
   )
)
"),10489.91098733653)</f>
        <v>10489.91099</v>
      </c>
      <c r="L466" s="15">
        <f>IFERROR(__xludf.DUMMYFUNCTION("IF(A466="""","""",
  INDEX(FILTER('RE Portfolio'!C$2:C2000,'RE Portfolio'!D$2:D2000=""BUY""), INT((ROW()-2)/amortYears)+1)
  * (1 + VALUE(Assumptions!$B$11))^(D466-1)
)
"),819702.3875878215)</f>
        <v>819702.3876</v>
      </c>
    </row>
    <row r="467">
      <c r="A467" s="15">
        <f>IFERROR(__xludf.DUMMYFUNCTION("IFERROR(INDEX(FILTER('RE Portfolio'!A$2:A2000,'RE Portfolio'!D$2:D2000=""BUY""), INT((ROW()-2)/amortYears)+1), )
"),13.0)</f>
        <v>13</v>
      </c>
      <c r="B467" s="15">
        <f>IFERROR(__xludf.DUMMYFUNCTION("IFERROR(INDEX(FILTER('RE Portfolio'!B$2:B2000,'RE Portfolio'!D$2:D2000=""BUY""), INT((ROW()-2)/amortYears)+1), )
"),52.0)</f>
        <v>52</v>
      </c>
      <c r="C467" s="15">
        <f>IFERROR(__xludf.DUMMYFUNCTION("IFERROR(INDEX(FILTER('RE Portfolio'!G$2:G2000,'RE Portfolio'!D$2:D2000=""BUY""), INT((ROW()-2)/amortYears)+1), )
"),449211.37922037067)</f>
        <v>449211.3792</v>
      </c>
      <c r="D467" s="15">
        <f>MOD(ROW()-2, amortYears)+1</f>
        <v>10</v>
      </c>
      <c r="E467" s="15">
        <f t="shared" si="1"/>
        <v>61</v>
      </c>
      <c r="F467" s="16">
        <f t="shared" si="2"/>
        <v>389822.3498</v>
      </c>
      <c r="G467" s="16">
        <f>IF(D467&lt;=mortTerm, -PMT(mortRate/12, mortTerm*12, C467)*12, 0)
</f>
        <v>34071.85783</v>
      </c>
      <c r="H467" s="16">
        <f>IF(D467&lt;=mortTerm, G467 - I467, 0)
</f>
        <v>25073.51455</v>
      </c>
      <c r="I467" s="16">
        <f>IF(D467&lt;=mortTerm, F467 - J467, 0)
</f>
        <v>8998.343286</v>
      </c>
      <c r="J467" s="16">
        <f>IF(D467&lt;=mortTerm,
   F467*(1+mortRate/12)^12 - (-PMT(mortRate/12, mortTerm*12, C467))*(((1+mortRate/12)^12 - 1)/(mortRate/12)),
   0
)
</f>
        <v>380824.0065</v>
      </c>
      <c r="K467" s="13">
        <f>IFERROR(__xludf.DUMMYFUNCTION("IF(A467="""","""",
   IF(F467&gt;0,
      INDEX(FILTER('RE Portfolio'!L$2:L2000,'RE Portfolio'!D$2:D2000=""BUY""), INT((ROW()-2)/amortYears)+1) - G467,
      INDEX(FILTER('RE Portfolio'!L$2:L2000,'RE Portfolio'!D$2:D2000=""BUY""), INT((ROW()-2)/amortYears)+1"&amp;")
   )
)
"),10489.91098733653)</f>
        <v>10489.91099</v>
      </c>
      <c r="L467" s="15">
        <f>IFERROR(__xludf.DUMMYFUNCTION("IF(A467="""","""",
  INDEX(FILTER('RE Portfolio'!C$2:C2000,'RE Portfolio'!D$2:D2000=""BUY""), INT((ROW()-2)/amortYears)+1)
  * (1 + VALUE(Assumptions!$B$11))^(D467-1)
)
"),852490.4830913343)</f>
        <v>852490.4831</v>
      </c>
    </row>
    <row r="468">
      <c r="A468" s="15">
        <f>IFERROR(__xludf.DUMMYFUNCTION("IFERROR(INDEX(FILTER('RE Portfolio'!A$2:A2000,'RE Portfolio'!D$2:D2000=""BUY""), INT((ROW()-2)/amortYears)+1), )
"),13.0)</f>
        <v>13</v>
      </c>
      <c r="B468" s="15">
        <f>IFERROR(__xludf.DUMMYFUNCTION("IFERROR(INDEX(FILTER('RE Portfolio'!B$2:B2000,'RE Portfolio'!D$2:D2000=""BUY""), INT((ROW()-2)/amortYears)+1), )
"),52.0)</f>
        <v>52</v>
      </c>
      <c r="C468" s="15">
        <f>IFERROR(__xludf.DUMMYFUNCTION("IFERROR(INDEX(FILTER('RE Portfolio'!G$2:G2000,'RE Portfolio'!D$2:D2000=""BUY""), INT((ROW()-2)/amortYears)+1), )
"),449211.37922037067)</f>
        <v>449211.3792</v>
      </c>
      <c r="D468" s="15">
        <f>MOD(ROW()-2, amortYears)+1</f>
        <v>11</v>
      </c>
      <c r="E468" s="15">
        <f t="shared" si="1"/>
        <v>62</v>
      </c>
      <c r="F468" s="16">
        <f t="shared" si="2"/>
        <v>380824.0065</v>
      </c>
      <c r="G468" s="16">
        <f>IF(D468&lt;=mortTerm, -PMT(mortRate/12, mortTerm*12, C468)*12, 0)
</f>
        <v>34071.85783</v>
      </c>
      <c r="H468" s="16">
        <f>IF(D468&lt;=mortTerm, G468 - I468, 0)
</f>
        <v>24470.87883</v>
      </c>
      <c r="I468" s="16">
        <f>IF(D468&lt;=mortTerm, F468 - J468, 0)
</f>
        <v>9600.979001</v>
      </c>
      <c r="J468" s="16">
        <f>IF(D468&lt;=mortTerm,
   F468*(1+mortRate/12)^12 - (-PMT(mortRate/12, mortTerm*12, C468))*(((1+mortRate/12)^12 - 1)/(mortRate/12)),
   0
)
</f>
        <v>371223.0275</v>
      </c>
      <c r="K468" s="13">
        <f>IFERROR(__xludf.DUMMYFUNCTION("IF(A468="""","""",
   IF(F468&gt;0,
      INDEX(FILTER('RE Portfolio'!L$2:L2000,'RE Portfolio'!D$2:D2000=""BUY""), INT((ROW()-2)/amortYears)+1) - G468,
      INDEX(FILTER('RE Portfolio'!L$2:L2000,'RE Portfolio'!D$2:D2000=""BUY""), INT((ROW()-2)/amortYears)+1"&amp;")
   )
)
"),10489.91098733653)</f>
        <v>10489.91099</v>
      </c>
      <c r="L468" s="15">
        <f>IFERROR(__xludf.DUMMYFUNCTION("IF(A468="""","""",
  INDEX(FILTER('RE Portfolio'!C$2:C2000,'RE Portfolio'!D$2:D2000=""BUY""), INT((ROW()-2)/amortYears)+1)
  * (1 + VALUE(Assumptions!$B$11))^(D468-1)
)
"),886590.1024149877)</f>
        <v>886590.1024</v>
      </c>
    </row>
    <row r="469">
      <c r="A469" s="15">
        <f>IFERROR(__xludf.DUMMYFUNCTION("IFERROR(INDEX(FILTER('RE Portfolio'!A$2:A2000,'RE Portfolio'!D$2:D2000=""BUY""), INT((ROW()-2)/amortYears)+1), )
"),13.0)</f>
        <v>13</v>
      </c>
      <c r="B469" s="15">
        <f>IFERROR(__xludf.DUMMYFUNCTION("IFERROR(INDEX(FILTER('RE Portfolio'!B$2:B2000,'RE Portfolio'!D$2:D2000=""BUY""), INT((ROW()-2)/amortYears)+1), )
"),52.0)</f>
        <v>52</v>
      </c>
      <c r="C469" s="15">
        <f>IFERROR(__xludf.DUMMYFUNCTION("IFERROR(INDEX(FILTER('RE Portfolio'!G$2:G2000,'RE Portfolio'!D$2:D2000=""BUY""), INT((ROW()-2)/amortYears)+1), )
"),449211.37922037067)</f>
        <v>449211.3792</v>
      </c>
      <c r="D469" s="15">
        <f>MOD(ROW()-2, amortYears)+1</f>
        <v>12</v>
      </c>
      <c r="E469" s="15">
        <f t="shared" si="1"/>
        <v>63</v>
      </c>
      <c r="F469" s="16">
        <f t="shared" si="2"/>
        <v>371223.0275</v>
      </c>
      <c r="G469" s="16">
        <f>IF(D469&lt;=mortTerm, -PMT(mortRate/12, mortTerm*12, C469)*12, 0)
</f>
        <v>34071.85783</v>
      </c>
      <c r="H469" s="16">
        <f>IF(D469&lt;=mortTerm, G469 - I469, 0)
</f>
        <v>23827.88349</v>
      </c>
      <c r="I469" s="16">
        <f>IF(D469&lt;=mortTerm, F469 - J469, 0)
</f>
        <v>10243.97435</v>
      </c>
      <c r="J469" s="16">
        <f>IF(D469&lt;=mortTerm,
   F469*(1+mortRate/12)^12 - (-PMT(mortRate/12, mortTerm*12, C469))*(((1+mortRate/12)^12 - 1)/(mortRate/12)),
   0
)
</f>
        <v>360979.0531</v>
      </c>
      <c r="K469" s="13">
        <f>IFERROR(__xludf.DUMMYFUNCTION("IF(A469="""","""",
   IF(F469&gt;0,
      INDEX(FILTER('RE Portfolio'!L$2:L2000,'RE Portfolio'!D$2:D2000=""BUY""), INT((ROW()-2)/amortYears)+1) - G469,
      INDEX(FILTER('RE Portfolio'!L$2:L2000,'RE Portfolio'!D$2:D2000=""BUY""), INT((ROW()-2)/amortYears)+1"&amp;")
   )
)
"),10489.91098733653)</f>
        <v>10489.91099</v>
      </c>
      <c r="L469" s="15">
        <f>IFERROR(__xludf.DUMMYFUNCTION("IF(A469="""","""",
  INDEX(FILTER('RE Portfolio'!C$2:C2000,'RE Portfolio'!D$2:D2000=""BUY""), INT((ROW()-2)/amortYears)+1)
  * (1 + VALUE(Assumptions!$B$11))^(D469-1)
)
"),922053.7065115873)</f>
        <v>922053.7065</v>
      </c>
    </row>
    <row r="470">
      <c r="A470" s="15">
        <f>IFERROR(__xludf.DUMMYFUNCTION("IFERROR(INDEX(FILTER('RE Portfolio'!A$2:A2000,'RE Portfolio'!D$2:D2000=""BUY""), INT((ROW()-2)/amortYears)+1), )
"),13.0)</f>
        <v>13</v>
      </c>
      <c r="B470" s="15">
        <f>IFERROR(__xludf.DUMMYFUNCTION("IFERROR(INDEX(FILTER('RE Portfolio'!B$2:B2000,'RE Portfolio'!D$2:D2000=""BUY""), INT((ROW()-2)/amortYears)+1), )
"),52.0)</f>
        <v>52</v>
      </c>
      <c r="C470" s="15">
        <f>IFERROR(__xludf.DUMMYFUNCTION("IFERROR(INDEX(FILTER('RE Portfolio'!G$2:G2000,'RE Portfolio'!D$2:D2000=""BUY""), INT((ROW()-2)/amortYears)+1), )
"),449211.37922037067)</f>
        <v>449211.3792</v>
      </c>
      <c r="D470" s="15">
        <f>MOD(ROW()-2, amortYears)+1</f>
        <v>13</v>
      </c>
      <c r="E470" s="15">
        <f t="shared" si="1"/>
        <v>64</v>
      </c>
      <c r="F470" s="16">
        <f t="shared" si="2"/>
        <v>360979.0531</v>
      </c>
      <c r="G470" s="16">
        <f>IF(D470&lt;=mortTerm, -PMT(mortRate/12, mortTerm*12, C470)*12, 0)
</f>
        <v>34071.85783</v>
      </c>
      <c r="H470" s="16">
        <f>IF(D470&lt;=mortTerm, G470 - I470, 0)
</f>
        <v>23141.82555</v>
      </c>
      <c r="I470" s="16">
        <f>IF(D470&lt;=mortTerm, F470 - J470, 0)
</f>
        <v>10930.03228</v>
      </c>
      <c r="J470" s="16">
        <f>IF(D470&lt;=mortTerm,
   F470*(1+mortRate/12)^12 - (-PMT(mortRate/12, mortTerm*12, C470))*(((1+mortRate/12)^12 - 1)/(mortRate/12)),
   0
)
</f>
        <v>350049.0209</v>
      </c>
      <c r="K470" s="13">
        <f>IFERROR(__xludf.DUMMYFUNCTION("IF(A470="""","""",
   IF(F470&gt;0,
      INDEX(FILTER('RE Portfolio'!L$2:L2000,'RE Portfolio'!D$2:D2000=""BUY""), INT((ROW()-2)/amortYears)+1) - G470,
      INDEX(FILTER('RE Portfolio'!L$2:L2000,'RE Portfolio'!D$2:D2000=""BUY""), INT((ROW()-2)/amortYears)+1"&amp;")
   )
)
"),10489.91098733653)</f>
        <v>10489.91099</v>
      </c>
      <c r="L470" s="15">
        <f>IFERROR(__xludf.DUMMYFUNCTION("IF(A470="""","""",
  INDEX(FILTER('RE Portfolio'!C$2:C2000,'RE Portfolio'!D$2:D2000=""BUY""), INT((ROW()-2)/amortYears)+1)
  * (1 + VALUE(Assumptions!$B$11))^(D470-1)
)
"),958935.8547720509)</f>
        <v>958935.8548</v>
      </c>
    </row>
    <row r="471">
      <c r="A471" s="15">
        <f>IFERROR(__xludf.DUMMYFUNCTION("IFERROR(INDEX(FILTER('RE Portfolio'!A$2:A2000,'RE Portfolio'!D$2:D2000=""BUY""), INT((ROW()-2)/amortYears)+1), )
"),13.0)</f>
        <v>13</v>
      </c>
      <c r="B471" s="15">
        <f>IFERROR(__xludf.DUMMYFUNCTION("IFERROR(INDEX(FILTER('RE Portfolio'!B$2:B2000,'RE Portfolio'!D$2:D2000=""BUY""), INT((ROW()-2)/amortYears)+1), )
"),52.0)</f>
        <v>52</v>
      </c>
      <c r="C471" s="15">
        <f>IFERROR(__xludf.DUMMYFUNCTION("IFERROR(INDEX(FILTER('RE Portfolio'!G$2:G2000,'RE Portfolio'!D$2:D2000=""BUY""), INT((ROW()-2)/amortYears)+1), )
"),449211.37922037067)</f>
        <v>449211.3792</v>
      </c>
      <c r="D471" s="15">
        <f>MOD(ROW()-2, amortYears)+1</f>
        <v>14</v>
      </c>
      <c r="E471" s="15">
        <f t="shared" si="1"/>
        <v>65</v>
      </c>
      <c r="F471" s="16">
        <f t="shared" si="2"/>
        <v>350049.0209</v>
      </c>
      <c r="G471" s="16">
        <f>IF(D471&lt;=mortTerm, -PMT(mortRate/12, mortTerm*12, C471)*12, 0)
</f>
        <v>34071.85783</v>
      </c>
      <c r="H471" s="16">
        <f>IF(D471&lt;=mortTerm, G471 - I471, 0)
</f>
        <v>22409.82105</v>
      </c>
      <c r="I471" s="16">
        <f>IF(D471&lt;=mortTerm, F471 - J471, 0)
</f>
        <v>11662.03678</v>
      </c>
      <c r="J471" s="16">
        <f>IF(D471&lt;=mortTerm,
   F471*(1+mortRate/12)^12 - (-PMT(mortRate/12, mortTerm*12, C471))*(((1+mortRate/12)^12 - 1)/(mortRate/12)),
   0
)
</f>
        <v>338386.9841</v>
      </c>
      <c r="K471" s="13">
        <f>IFERROR(__xludf.DUMMYFUNCTION("IF(A471="""","""",
   IF(F471&gt;0,
      INDEX(FILTER('RE Portfolio'!L$2:L2000,'RE Portfolio'!D$2:D2000=""BUY""), INT((ROW()-2)/amortYears)+1) - G471,
      INDEX(FILTER('RE Portfolio'!L$2:L2000,'RE Portfolio'!D$2:D2000=""BUY""), INT((ROW()-2)/amortYears)+1"&amp;")
   )
)
"),10489.91098733653)</f>
        <v>10489.91099</v>
      </c>
      <c r="L471" s="15">
        <f>IFERROR(__xludf.DUMMYFUNCTION("IF(A471="""","""",
  INDEX(FILTER('RE Portfolio'!C$2:C2000,'RE Portfolio'!D$2:D2000=""BUY""), INT((ROW()-2)/amortYears)+1)
  * (1 + VALUE(Assumptions!$B$11))^(D471-1)
)
"),997293.288962933)</f>
        <v>997293.289</v>
      </c>
    </row>
    <row r="472">
      <c r="A472" s="15">
        <f>IFERROR(__xludf.DUMMYFUNCTION("IFERROR(INDEX(FILTER('RE Portfolio'!A$2:A2000,'RE Portfolio'!D$2:D2000=""BUY""), INT((ROW()-2)/amortYears)+1), )
"),13.0)</f>
        <v>13</v>
      </c>
      <c r="B472" s="15">
        <f>IFERROR(__xludf.DUMMYFUNCTION("IFERROR(INDEX(FILTER('RE Portfolio'!B$2:B2000,'RE Portfolio'!D$2:D2000=""BUY""), INT((ROW()-2)/amortYears)+1), )
"),52.0)</f>
        <v>52</v>
      </c>
      <c r="C472" s="15">
        <f>IFERROR(__xludf.DUMMYFUNCTION("IFERROR(INDEX(FILTER('RE Portfolio'!G$2:G2000,'RE Portfolio'!D$2:D2000=""BUY""), INT((ROW()-2)/amortYears)+1), )
"),449211.37922037067)</f>
        <v>449211.3792</v>
      </c>
      <c r="D472" s="15">
        <f>MOD(ROW()-2, amortYears)+1</f>
        <v>15</v>
      </c>
      <c r="E472" s="15">
        <f t="shared" si="1"/>
        <v>66</v>
      </c>
      <c r="F472" s="16">
        <f t="shared" si="2"/>
        <v>338386.9841</v>
      </c>
      <c r="G472" s="16">
        <f>IF(D472&lt;=mortTerm, -PMT(mortRate/12, mortTerm*12, C472)*12, 0)
</f>
        <v>34071.85783</v>
      </c>
      <c r="H472" s="16">
        <f>IF(D472&lt;=mortTerm, G472 - I472, 0)
</f>
        <v>21628.79285</v>
      </c>
      <c r="I472" s="16">
        <f>IF(D472&lt;=mortTerm, F472 - J472, 0)
</f>
        <v>12443.06498</v>
      </c>
      <c r="J472" s="16">
        <f>IF(D472&lt;=mortTerm,
   F472*(1+mortRate/12)^12 - (-PMT(mortRate/12, mortTerm*12, C472))*(((1+mortRate/12)^12 - 1)/(mortRate/12)),
   0
)
</f>
        <v>325943.9191</v>
      </c>
      <c r="K472" s="13">
        <f>IFERROR(__xludf.DUMMYFUNCTION("IF(A472="""","""",
   IF(F472&gt;0,
      INDEX(FILTER('RE Portfolio'!L$2:L2000,'RE Portfolio'!D$2:D2000=""BUY""), INT((ROW()-2)/amortYears)+1) - G472,
      INDEX(FILTER('RE Portfolio'!L$2:L2000,'RE Portfolio'!D$2:D2000=""BUY""), INT((ROW()-2)/amortYears)+1"&amp;")
   )
)
"),10489.91098733653)</f>
        <v>10489.91099</v>
      </c>
      <c r="L472" s="15">
        <f>IFERROR(__xludf.DUMMYFUNCTION("IF(A472="""","""",
  INDEX(FILTER('RE Portfolio'!C$2:C2000,'RE Portfolio'!D$2:D2000=""BUY""), INT((ROW()-2)/amortYears)+1)
  * (1 + VALUE(Assumptions!$B$11))^(D472-1)
)
"),1037185.0205214502)</f>
        <v>1037185.021</v>
      </c>
    </row>
    <row r="473">
      <c r="A473" s="15">
        <f>IFERROR(__xludf.DUMMYFUNCTION("IFERROR(INDEX(FILTER('RE Portfolio'!A$2:A2000,'RE Portfolio'!D$2:D2000=""BUY""), INT((ROW()-2)/amortYears)+1), )
"),13.0)</f>
        <v>13</v>
      </c>
      <c r="B473" s="15">
        <f>IFERROR(__xludf.DUMMYFUNCTION("IFERROR(INDEX(FILTER('RE Portfolio'!B$2:B2000,'RE Portfolio'!D$2:D2000=""BUY""), INT((ROW()-2)/amortYears)+1), )
"),52.0)</f>
        <v>52</v>
      </c>
      <c r="C473" s="15">
        <f>IFERROR(__xludf.DUMMYFUNCTION("IFERROR(INDEX(FILTER('RE Portfolio'!G$2:G2000,'RE Portfolio'!D$2:D2000=""BUY""), INT((ROW()-2)/amortYears)+1), )
"),449211.37922037067)</f>
        <v>449211.3792</v>
      </c>
      <c r="D473" s="15">
        <f>MOD(ROW()-2, amortYears)+1</f>
        <v>16</v>
      </c>
      <c r="E473" s="15">
        <f t="shared" si="1"/>
        <v>67</v>
      </c>
      <c r="F473" s="16">
        <f t="shared" si="2"/>
        <v>325943.9191</v>
      </c>
      <c r="G473" s="16">
        <f>IF(D473&lt;=mortTerm, -PMT(mortRate/12, mortTerm*12, C473)*12, 0)
</f>
        <v>34071.85783</v>
      </c>
      <c r="H473" s="16">
        <f>IF(D473&lt;=mortTerm, G473 - I473, 0)
</f>
        <v>20795.45774</v>
      </c>
      <c r="I473" s="16">
        <f>IF(D473&lt;=mortTerm, F473 - J473, 0)
</f>
        <v>13276.40009</v>
      </c>
      <c r="J473" s="16">
        <f>IF(D473&lt;=mortTerm,
   F473*(1+mortRate/12)^12 - (-PMT(mortRate/12, mortTerm*12, C473))*(((1+mortRate/12)^12 - 1)/(mortRate/12)),
   0
)
</f>
        <v>312667.519</v>
      </c>
      <c r="K473" s="13">
        <f>IFERROR(__xludf.DUMMYFUNCTION("IF(A473="""","""",
   IF(F473&gt;0,
      INDEX(FILTER('RE Portfolio'!L$2:L2000,'RE Portfolio'!D$2:D2000=""BUY""), INT((ROW()-2)/amortYears)+1) - G473,
      INDEX(FILTER('RE Portfolio'!L$2:L2000,'RE Portfolio'!D$2:D2000=""BUY""), INT((ROW()-2)/amortYears)+1"&amp;")
   )
)
"),10489.91098733653)</f>
        <v>10489.91099</v>
      </c>
      <c r="L473" s="15">
        <f>IFERROR(__xludf.DUMMYFUNCTION("IF(A473="""","""",
  INDEX(FILTER('RE Portfolio'!C$2:C2000,'RE Portfolio'!D$2:D2000=""BUY""), INT((ROW()-2)/amortYears)+1)
  * (1 + VALUE(Assumptions!$B$11))^(D473-1)
)
"),1078672.4213423082)</f>
        <v>1078672.421</v>
      </c>
    </row>
    <row r="474">
      <c r="A474" s="15">
        <f>IFERROR(__xludf.DUMMYFUNCTION("IFERROR(INDEX(FILTER('RE Portfolio'!A$2:A2000,'RE Portfolio'!D$2:D2000=""BUY""), INT((ROW()-2)/amortYears)+1), )
"),13.0)</f>
        <v>13</v>
      </c>
      <c r="B474" s="15">
        <f>IFERROR(__xludf.DUMMYFUNCTION("IFERROR(INDEX(FILTER('RE Portfolio'!B$2:B2000,'RE Portfolio'!D$2:D2000=""BUY""), INT((ROW()-2)/amortYears)+1), )
"),52.0)</f>
        <v>52</v>
      </c>
      <c r="C474" s="15">
        <f>IFERROR(__xludf.DUMMYFUNCTION("IFERROR(INDEX(FILTER('RE Portfolio'!G$2:G2000,'RE Portfolio'!D$2:D2000=""BUY""), INT((ROW()-2)/amortYears)+1), )
"),449211.37922037067)</f>
        <v>449211.3792</v>
      </c>
      <c r="D474" s="15">
        <f>MOD(ROW()-2, amortYears)+1</f>
        <v>17</v>
      </c>
      <c r="E474" s="15">
        <f t="shared" si="1"/>
        <v>68</v>
      </c>
      <c r="F474" s="16">
        <f t="shared" si="2"/>
        <v>312667.519</v>
      </c>
      <c r="G474" s="16">
        <f>IF(D474&lt;=mortTerm, -PMT(mortRate/12, mortTerm*12, C474)*12, 0)
</f>
        <v>34071.85783</v>
      </c>
      <c r="H474" s="16">
        <f>IF(D474&lt;=mortTerm, G474 - I474, 0)
</f>
        <v>19906.31264</v>
      </c>
      <c r="I474" s="16">
        <f>IF(D474&lt;=mortTerm, F474 - J474, 0)
</f>
        <v>14165.54519</v>
      </c>
      <c r="J474" s="16">
        <f>IF(D474&lt;=mortTerm,
   F474*(1+mortRate/12)^12 - (-PMT(mortRate/12, mortTerm*12, C474))*(((1+mortRate/12)^12 - 1)/(mortRate/12)),
   0
)
</f>
        <v>298501.9738</v>
      </c>
      <c r="K474" s="13">
        <f>IFERROR(__xludf.DUMMYFUNCTION("IF(A474="""","""",
   IF(F474&gt;0,
      INDEX(FILTER('RE Portfolio'!L$2:L2000,'RE Portfolio'!D$2:D2000=""BUY""), INT((ROW()-2)/amortYears)+1) - G474,
      INDEX(FILTER('RE Portfolio'!L$2:L2000,'RE Portfolio'!D$2:D2000=""BUY""), INT((ROW()-2)/amortYears)+1"&amp;")
   )
)
"),10489.91098733653)</f>
        <v>10489.91099</v>
      </c>
      <c r="L474" s="15">
        <f>IFERROR(__xludf.DUMMYFUNCTION("IF(A474="""","""",
  INDEX(FILTER('RE Portfolio'!C$2:C2000,'RE Portfolio'!D$2:D2000=""BUY""), INT((ROW()-2)/amortYears)+1)
  * (1 + VALUE(Assumptions!$B$11))^(D474-1)
)
"),1121819.3181960005)</f>
        <v>1121819.318</v>
      </c>
    </row>
    <row r="475">
      <c r="A475" s="15">
        <f>IFERROR(__xludf.DUMMYFUNCTION("IFERROR(INDEX(FILTER('RE Portfolio'!A$2:A2000,'RE Portfolio'!D$2:D2000=""BUY""), INT((ROW()-2)/amortYears)+1), )
"),13.0)</f>
        <v>13</v>
      </c>
      <c r="B475" s="15">
        <f>IFERROR(__xludf.DUMMYFUNCTION("IFERROR(INDEX(FILTER('RE Portfolio'!B$2:B2000,'RE Portfolio'!D$2:D2000=""BUY""), INT((ROW()-2)/amortYears)+1), )
"),52.0)</f>
        <v>52</v>
      </c>
      <c r="C475" s="15">
        <f>IFERROR(__xludf.DUMMYFUNCTION("IFERROR(INDEX(FILTER('RE Portfolio'!G$2:G2000,'RE Portfolio'!D$2:D2000=""BUY""), INT((ROW()-2)/amortYears)+1), )
"),449211.37922037067)</f>
        <v>449211.3792</v>
      </c>
      <c r="D475" s="15">
        <f>MOD(ROW()-2, amortYears)+1</f>
        <v>18</v>
      </c>
      <c r="E475" s="15">
        <f t="shared" si="1"/>
        <v>69</v>
      </c>
      <c r="F475" s="16">
        <f t="shared" si="2"/>
        <v>298501.9738</v>
      </c>
      <c r="G475" s="16">
        <f>IF(D475&lt;=mortTerm, -PMT(mortRate/12, mortTerm*12, C475)*12, 0)
</f>
        <v>34071.85783</v>
      </c>
      <c r="H475" s="16">
        <f>IF(D475&lt;=mortTerm, G475 - I475, 0)
</f>
        <v>18957.61984</v>
      </c>
      <c r="I475" s="16">
        <f>IF(D475&lt;=mortTerm, F475 - J475, 0)
</f>
        <v>15114.23799</v>
      </c>
      <c r="J475" s="16">
        <f>IF(D475&lt;=mortTerm,
   F475*(1+mortRate/12)^12 - (-PMT(mortRate/12, mortTerm*12, C475))*(((1+mortRate/12)^12 - 1)/(mortRate/12)),
   0
)
</f>
        <v>283387.7358</v>
      </c>
      <c r="K475" s="13">
        <f>IFERROR(__xludf.DUMMYFUNCTION("IF(A475="""","""",
   IF(F475&gt;0,
      INDEX(FILTER('RE Portfolio'!L$2:L2000,'RE Portfolio'!D$2:D2000=""BUY""), INT((ROW()-2)/amortYears)+1) - G475,
      INDEX(FILTER('RE Portfolio'!L$2:L2000,'RE Portfolio'!D$2:D2000=""BUY""), INT((ROW()-2)/amortYears)+1"&amp;")
   )
)
"),10489.91098733653)</f>
        <v>10489.91099</v>
      </c>
      <c r="L475" s="15">
        <f>IFERROR(__xludf.DUMMYFUNCTION("IF(A475="""","""",
  INDEX(FILTER('RE Portfolio'!C$2:C2000,'RE Portfolio'!D$2:D2000=""BUY""), INT((ROW()-2)/amortYears)+1)
  * (1 + VALUE(Assumptions!$B$11))^(D475-1)
)
"),1166692.0909238406)</f>
        <v>1166692.091</v>
      </c>
    </row>
    <row r="476">
      <c r="A476" s="15">
        <f>IFERROR(__xludf.DUMMYFUNCTION("IFERROR(INDEX(FILTER('RE Portfolio'!A$2:A2000,'RE Portfolio'!D$2:D2000=""BUY""), INT((ROW()-2)/amortYears)+1), )
"),13.0)</f>
        <v>13</v>
      </c>
      <c r="B476" s="15">
        <f>IFERROR(__xludf.DUMMYFUNCTION("IFERROR(INDEX(FILTER('RE Portfolio'!B$2:B2000,'RE Portfolio'!D$2:D2000=""BUY""), INT((ROW()-2)/amortYears)+1), )
"),52.0)</f>
        <v>52</v>
      </c>
      <c r="C476" s="15">
        <f>IFERROR(__xludf.DUMMYFUNCTION("IFERROR(INDEX(FILTER('RE Portfolio'!G$2:G2000,'RE Portfolio'!D$2:D2000=""BUY""), INT((ROW()-2)/amortYears)+1), )
"),449211.37922037067)</f>
        <v>449211.3792</v>
      </c>
      <c r="D476" s="15">
        <f>MOD(ROW()-2, amortYears)+1</f>
        <v>19</v>
      </c>
      <c r="E476" s="15">
        <f t="shared" si="1"/>
        <v>70</v>
      </c>
      <c r="F476" s="16">
        <f t="shared" si="2"/>
        <v>283387.7358</v>
      </c>
      <c r="G476" s="16">
        <f>IF(D476&lt;=mortTerm, -PMT(mortRate/12, mortTerm*12, C476)*12, 0)
</f>
        <v>34071.85783</v>
      </c>
      <c r="H476" s="16">
        <f>IF(D476&lt;=mortTerm, G476 - I476, 0)
</f>
        <v>17945.39133</v>
      </c>
      <c r="I476" s="16">
        <f>IF(D476&lt;=mortTerm, F476 - J476, 0)
</f>
        <v>16126.4665</v>
      </c>
      <c r="J476" s="16">
        <f>IF(D476&lt;=mortTerm,
   F476*(1+mortRate/12)^12 - (-PMT(mortRate/12, mortTerm*12, C476))*(((1+mortRate/12)^12 - 1)/(mortRate/12)),
   0
)
</f>
        <v>267261.2693</v>
      </c>
      <c r="K476" s="13">
        <f>IFERROR(__xludf.DUMMYFUNCTION("IF(A476="""","""",
   IF(F476&gt;0,
      INDEX(FILTER('RE Portfolio'!L$2:L2000,'RE Portfolio'!D$2:D2000=""BUY""), INT((ROW()-2)/amortYears)+1) - G476,
      INDEX(FILTER('RE Portfolio'!L$2:L2000,'RE Portfolio'!D$2:D2000=""BUY""), INT((ROW()-2)/amortYears)+1"&amp;")
   )
)
"),10489.91098733653)</f>
        <v>10489.91099</v>
      </c>
      <c r="L476" s="15">
        <f>IFERROR(__xludf.DUMMYFUNCTION("IF(A476="""","""",
  INDEX(FILTER('RE Portfolio'!C$2:C2000,'RE Portfolio'!D$2:D2000=""BUY""), INT((ROW()-2)/amortYears)+1)
  * (1 + VALUE(Assumptions!$B$11))^(D476-1)
)
"),1213359.7745607945)</f>
        <v>1213359.775</v>
      </c>
    </row>
    <row r="477">
      <c r="A477" s="15">
        <f>IFERROR(__xludf.DUMMYFUNCTION("IFERROR(INDEX(FILTER('RE Portfolio'!A$2:A2000,'RE Portfolio'!D$2:D2000=""BUY""), INT((ROW()-2)/amortYears)+1), )
"),13.0)</f>
        <v>13</v>
      </c>
      <c r="B477" s="15">
        <f>IFERROR(__xludf.DUMMYFUNCTION("IFERROR(INDEX(FILTER('RE Portfolio'!B$2:B2000,'RE Portfolio'!D$2:D2000=""BUY""), INT((ROW()-2)/amortYears)+1), )
"),52.0)</f>
        <v>52</v>
      </c>
      <c r="C477" s="15">
        <f>IFERROR(__xludf.DUMMYFUNCTION("IFERROR(INDEX(FILTER('RE Portfolio'!G$2:G2000,'RE Portfolio'!D$2:D2000=""BUY""), INT((ROW()-2)/amortYears)+1), )
"),449211.37922037067)</f>
        <v>449211.3792</v>
      </c>
      <c r="D477" s="15">
        <f>MOD(ROW()-2, amortYears)+1</f>
        <v>20</v>
      </c>
      <c r="E477" s="15">
        <f t="shared" si="1"/>
        <v>71</v>
      </c>
      <c r="F477" s="16">
        <f t="shared" si="2"/>
        <v>267261.2693</v>
      </c>
      <c r="G477" s="16">
        <f>IF(D477&lt;=mortTerm, -PMT(mortRate/12, mortTerm*12, C477)*12, 0)
</f>
        <v>34071.85783</v>
      </c>
      <c r="H477" s="16">
        <f>IF(D477&lt;=mortTerm, G477 - I477, 0)
</f>
        <v>16865.372</v>
      </c>
      <c r="I477" s="16">
        <f>IF(D477&lt;=mortTerm, F477 - J477, 0)
</f>
        <v>17206.48583</v>
      </c>
      <c r="J477" s="16">
        <f>IF(D477&lt;=mortTerm,
   F477*(1+mortRate/12)^12 - (-PMT(mortRate/12, mortTerm*12, C477))*(((1+mortRate/12)^12 - 1)/(mortRate/12)),
   0
)
</f>
        <v>250054.7835</v>
      </c>
      <c r="K477" s="13">
        <f>IFERROR(__xludf.DUMMYFUNCTION("IF(A477="""","""",
   IF(F477&gt;0,
      INDEX(FILTER('RE Portfolio'!L$2:L2000,'RE Portfolio'!D$2:D2000=""BUY""), INT((ROW()-2)/amortYears)+1) - G477,
      INDEX(FILTER('RE Portfolio'!L$2:L2000,'RE Portfolio'!D$2:D2000=""BUY""), INT((ROW()-2)/amortYears)+1"&amp;")
   )
)
"),10489.91098733653)</f>
        <v>10489.91099</v>
      </c>
      <c r="L477" s="15">
        <f>IFERROR(__xludf.DUMMYFUNCTION("IF(A477="""","""",
  INDEX(FILTER('RE Portfolio'!C$2:C2000,'RE Portfolio'!D$2:D2000=""BUY""), INT((ROW()-2)/amortYears)+1)
  * (1 + VALUE(Assumptions!$B$11))^(D477-1)
)
"),1261894.1655432263)</f>
        <v>1261894.166</v>
      </c>
    </row>
    <row r="478">
      <c r="A478" s="15">
        <f>IFERROR(__xludf.DUMMYFUNCTION("IFERROR(INDEX(FILTER('RE Portfolio'!A$2:A2000,'RE Portfolio'!D$2:D2000=""BUY""), INT((ROW()-2)/amortYears)+1), )
"),13.0)</f>
        <v>13</v>
      </c>
      <c r="B478" s="15">
        <f>IFERROR(__xludf.DUMMYFUNCTION("IFERROR(INDEX(FILTER('RE Portfolio'!B$2:B2000,'RE Portfolio'!D$2:D2000=""BUY""), INT((ROW()-2)/amortYears)+1), )
"),52.0)</f>
        <v>52</v>
      </c>
      <c r="C478" s="15">
        <f>IFERROR(__xludf.DUMMYFUNCTION("IFERROR(INDEX(FILTER('RE Portfolio'!G$2:G2000,'RE Portfolio'!D$2:D2000=""BUY""), INT((ROW()-2)/amortYears)+1), )
"),449211.37922037067)</f>
        <v>449211.3792</v>
      </c>
      <c r="D478" s="15">
        <f>MOD(ROW()-2, amortYears)+1</f>
        <v>21</v>
      </c>
      <c r="E478" s="15">
        <f t="shared" si="1"/>
        <v>72</v>
      </c>
      <c r="F478" s="16">
        <f t="shared" si="2"/>
        <v>250054.7835</v>
      </c>
      <c r="G478" s="16">
        <f>IF(D478&lt;=mortTerm, -PMT(mortRate/12, mortTerm*12, C478)*12, 0)
</f>
        <v>34071.85783</v>
      </c>
      <c r="H478" s="16">
        <f>IF(D478&lt;=mortTerm, G478 - I478, 0)
</f>
        <v>15713.02178</v>
      </c>
      <c r="I478" s="16">
        <f>IF(D478&lt;=mortTerm, F478 - J478, 0)
</f>
        <v>18358.83605</v>
      </c>
      <c r="J478" s="16">
        <f>IF(D478&lt;=mortTerm,
   F478*(1+mortRate/12)^12 - (-PMT(mortRate/12, mortTerm*12, C478))*(((1+mortRate/12)^12 - 1)/(mortRate/12)),
   0
)
</f>
        <v>231695.9474</v>
      </c>
      <c r="K478" s="13">
        <f>IFERROR(__xludf.DUMMYFUNCTION("IF(A478="""","""",
   IF(F478&gt;0,
      INDEX(FILTER('RE Portfolio'!L$2:L2000,'RE Portfolio'!D$2:D2000=""BUY""), INT((ROW()-2)/amortYears)+1) - G478,
      INDEX(FILTER('RE Portfolio'!L$2:L2000,'RE Portfolio'!D$2:D2000=""BUY""), INT((ROW()-2)/amortYears)+1"&amp;")
   )
)
"),10489.91098733653)</f>
        <v>10489.91099</v>
      </c>
      <c r="L478" s="15">
        <f>IFERROR(__xludf.DUMMYFUNCTION("IF(A478="""","""",
  INDEX(FILTER('RE Portfolio'!C$2:C2000,'RE Portfolio'!D$2:D2000=""BUY""), INT((ROW()-2)/amortYears)+1)
  * (1 + VALUE(Assumptions!$B$11))^(D478-1)
)
"),1312369.9321649554)</f>
        <v>1312369.932</v>
      </c>
    </row>
    <row r="479">
      <c r="A479" s="15">
        <f>IFERROR(__xludf.DUMMYFUNCTION("IFERROR(INDEX(FILTER('RE Portfolio'!A$2:A2000,'RE Portfolio'!D$2:D2000=""BUY""), INT((ROW()-2)/amortYears)+1), )
"),13.0)</f>
        <v>13</v>
      </c>
      <c r="B479" s="15">
        <f>IFERROR(__xludf.DUMMYFUNCTION("IFERROR(INDEX(FILTER('RE Portfolio'!B$2:B2000,'RE Portfolio'!D$2:D2000=""BUY""), INT((ROW()-2)/amortYears)+1), )
"),52.0)</f>
        <v>52</v>
      </c>
      <c r="C479" s="15">
        <f>IFERROR(__xludf.DUMMYFUNCTION("IFERROR(INDEX(FILTER('RE Portfolio'!G$2:G2000,'RE Portfolio'!D$2:D2000=""BUY""), INT((ROW()-2)/amortYears)+1), )
"),449211.37922037067)</f>
        <v>449211.3792</v>
      </c>
      <c r="D479" s="15">
        <f>MOD(ROW()-2, amortYears)+1</f>
        <v>22</v>
      </c>
      <c r="E479" s="15">
        <f t="shared" si="1"/>
        <v>73</v>
      </c>
      <c r="F479" s="16">
        <f t="shared" si="2"/>
        <v>231695.9474</v>
      </c>
      <c r="G479" s="16">
        <f>IF(D479&lt;=mortTerm, -PMT(mortRate/12, mortTerm*12, C479)*12, 0)
</f>
        <v>34071.85783</v>
      </c>
      <c r="H479" s="16">
        <f>IF(D479&lt;=mortTerm, G479 - I479, 0)
</f>
        <v>14483.49653</v>
      </c>
      <c r="I479" s="16">
        <f>IF(D479&lt;=mortTerm, F479 - J479, 0)
</f>
        <v>19588.3613</v>
      </c>
      <c r="J479" s="16">
        <f>IF(D479&lt;=mortTerm,
   F479*(1+mortRate/12)^12 - (-PMT(mortRate/12, mortTerm*12, C479))*(((1+mortRate/12)^12 - 1)/(mortRate/12)),
   0
)
</f>
        <v>212107.5861</v>
      </c>
      <c r="K479" s="13">
        <f>IFERROR(__xludf.DUMMYFUNCTION("IF(A479="""","""",
   IF(F479&gt;0,
      INDEX(FILTER('RE Portfolio'!L$2:L2000,'RE Portfolio'!D$2:D2000=""BUY""), INT((ROW()-2)/amortYears)+1) - G479,
      INDEX(FILTER('RE Portfolio'!L$2:L2000,'RE Portfolio'!D$2:D2000=""BUY""), INT((ROW()-2)/amortYears)+1"&amp;")
   )
)
"),10489.91098733653)</f>
        <v>10489.91099</v>
      </c>
      <c r="L479" s="15">
        <f>IFERROR(__xludf.DUMMYFUNCTION("IF(A479="""","""",
  INDEX(FILTER('RE Portfolio'!C$2:C2000,'RE Portfolio'!D$2:D2000=""BUY""), INT((ROW()-2)/amortYears)+1)
  * (1 + VALUE(Assumptions!$B$11))^(D479-1)
)
"),1364864.7294515537)</f>
        <v>1364864.729</v>
      </c>
    </row>
    <row r="480">
      <c r="A480" s="15">
        <f>IFERROR(__xludf.DUMMYFUNCTION("IFERROR(INDEX(FILTER('RE Portfolio'!A$2:A2000,'RE Portfolio'!D$2:D2000=""BUY""), INT((ROW()-2)/amortYears)+1), )
"),13.0)</f>
        <v>13</v>
      </c>
      <c r="B480" s="15">
        <f>IFERROR(__xludf.DUMMYFUNCTION("IFERROR(INDEX(FILTER('RE Portfolio'!B$2:B2000,'RE Portfolio'!D$2:D2000=""BUY""), INT((ROW()-2)/amortYears)+1), )
"),52.0)</f>
        <v>52</v>
      </c>
      <c r="C480" s="15">
        <f>IFERROR(__xludf.DUMMYFUNCTION("IFERROR(INDEX(FILTER('RE Portfolio'!G$2:G2000,'RE Portfolio'!D$2:D2000=""BUY""), INT((ROW()-2)/amortYears)+1), )
"),449211.37922037067)</f>
        <v>449211.3792</v>
      </c>
      <c r="D480" s="15">
        <f>MOD(ROW()-2, amortYears)+1</f>
        <v>23</v>
      </c>
      <c r="E480" s="15">
        <f t="shared" si="1"/>
        <v>74</v>
      </c>
      <c r="F480" s="16">
        <f t="shared" si="2"/>
        <v>212107.5861</v>
      </c>
      <c r="G480" s="16">
        <f>IF(D480&lt;=mortTerm, -PMT(mortRate/12, mortTerm*12, C480)*12, 0)
</f>
        <v>34071.85783</v>
      </c>
      <c r="H480" s="16">
        <f>IF(D480&lt;=mortTerm, G480 - I480, 0)
</f>
        <v>13171.6277</v>
      </c>
      <c r="I480" s="16">
        <f>IF(D480&lt;=mortTerm, F480 - J480, 0)
</f>
        <v>20900.23013</v>
      </c>
      <c r="J480" s="16">
        <f>IF(D480&lt;=mortTerm,
   F480*(1+mortRate/12)^12 - (-PMT(mortRate/12, mortTerm*12, C480))*(((1+mortRate/12)^12 - 1)/(mortRate/12)),
   0
)
</f>
        <v>191207.356</v>
      </c>
      <c r="K480" s="13">
        <f>IFERROR(__xludf.DUMMYFUNCTION("IF(A480="""","""",
   IF(F480&gt;0,
      INDEX(FILTER('RE Portfolio'!L$2:L2000,'RE Portfolio'!D$2:D2000=""BUY""), INT((ROW()-2)/amortYears)+1) - G480,
      INDEX(FILTER('RE Portfolio'!L$2:L2000,'RE Portfolio'!D$2:D2000=""BUY""), INT((ROW()-2)/amortYears)+1"&amp;")
   )
)
"),10489.91098733653)</f>
        <v>10489.91099</v>
      </c>
      <c r="L480" s="15">
        <f>IFERROR(__xludf.DUMMYFUNCTION("IF(A480="""","""",
  INDEX(FILTER('RE Portfolio'!C$2:C2000,'RE Portfolio'!D$2:D2000=""BUY""), INT((ROW()-2)/amortYears)+1)
  * (1 + VALUE(Assumptions!$B$11))^(D480-1)
)
"),1419459.3186296157)</f>
        <v>1419459.319</v>
      </c>
    </row>
    <row r="481">
      <c r="A481" s="15">
        <f>IFERROR(__xludf.DUMMYFUNCTION("IFERROR(INDEX(FILTER('RE Portfolio'!A$2:A2000,'RE Portfolio'!D$2:D2000=""BUY""), INT((ROW()-2)/amortYears)+1), )
"),13.0)</f>
        <v>13</v>
      </c>
      <c r="B481" s="15">
        <f>IFERROR(__xludf.DUMMYFUNCTION("IFERROR(INDEX(FILTER('RE Portfolio'!B$2:B2000,'RE Portfolio'!D$2:D2000=""BUY""), INT((ROW()-2)/amortYears)+1), )
"),52.0)</f>
        <v>52</v>
      </c>
      <c r="C481" s="15">
        <f>IFERROR(__xludf.DUMMYFUNCTION("IFERROR(INDEX(FILTER('RE Portfolio'!G$2:G2000,'RE Portfolio'!D$2:D2000=""BUY""), INT((ROW()-2)/amortYears)+1), )
"),449211.37922037067)</f>
        <v>449211.3792</v>
      </c>
      <c r="D481" s="15">
        <f>MOD(ROW()-2, amortYears)+1</f>
        <v>24</v>
      </c>
      <c r="E481" s="15">
        <f t="shared" si="1"/>
        <v>75</v>
      </c>
      <c r="F481" s="16">
        <f t="shared" si="2"/>
        <v>191207.356</v>
      </c>
      <c r="G481" s="16">
        <f>IF(D481&lt;=mortTerm, -PMT(mortRate/12, mortTerm*12, C481)*12, 0)
</f>
        <v>34071.85783</v>
      </c>
      <c r="H481" s="16">
        <f>IF(D481&lt;=mortTerm, G481 - I481, 0)
</f>
        <v>11771.90058</v>
      </c>
      <c r="I481" s="16">
        <f>IF(D481&lt;=mortTerm, F481 - J481, 0)
</f>
        <v>22299.95725</v>
      </c>
      <c r="J481" s="16">
        <f>IF(D481&lt;=mortTerm,
   F481*(1+mortRate/12)^12 - (-PMT(mortRate/12, mortTerm*12, C481))*(((1+mortRate/12)^12 - 1)/(mortRate/12)),
   0
)
</f>
        <v>168907.3988</v>
      </c>
      <c r="K481" s="13">
        <f>IFERROR(__xludf.DUMMYFUNCTION("IF(A481="""","""",
   IF(F481&gt;0,
      INDEX(FILTER('RE Portfolio'!L$2:L2000,'RE Portfolio'!D$2:D2000=""BUY""), INT((ROW()-2)/amortYears)+1) - G481,
      INDEX(FILTER('RE Portfolio'!L$2:L2000,'RE Portfolio'!D$2:D2000=""BUY""), INT((ROW()-2)/amortYears)+1"&amp;")
   )
)
"),10489.91098733653)</f>
        <v>10489.91099</v>
      </c>
      <c r="L481" s="15">
        <f>IFERROR(__xludf.DUMMYFUNCTION("IF(A481="""","""",
  INDEX(FILTER('RE Portfolio'!C$2:C2000,'RE Portfolio'!D$2:D2000=""BUY""), INT((ROW()-2)/amortYears)+1)
  * (1 + VALUE(Assumptions!$B$11))^(D481-1)
)
"),1476237.6913748004)</f>
        <v>1476237.691</v>
      </c>
    </row>
    <row r="482">
      <c r="A482" s="15">
        <f>IFERROR(__xludf.DUMMYFUNCTION("IFERROR(INDEX(FILTER('RE Portfolio'!A$2:A2000,'RE Portfolio'!D$2:D2000=""BUY""), INT((ROW()-2)/amortYears)+1), )
"),13.0)</f>
        <v>13</v>
      </c>
      <c r="B482" s="15">
        <f>IFERROR(__xludf.DUMMYFUNCTION("IFERROR(INDEX(FILTER('RE Portfolio'!B$2:B2000,'RE Portfolio'!D$2:D2000=""BUY""), INT((ROW()-2)/amortYears)+1), )
"),52.0)</f>
        <v>52</v>
      </c>
      <c r="C482" s="15">
        <f>IFERROR(__xludf.DUMMYFUNCTION("IFERROR(INDEX(FILTER('RE Portfolio'!G$2:G2000,'RE Portfolio'!D$2:D2000=""BUY""), INT((ROW()-2)/amortYears)+1), )
"),449211.37922037067)</f>
        <v>449211.3792</v>
      </c>
      <c r="D482" s="15">
        <f>MOD(ROW()-2, amortYears)+1</f>
        <v>25</v>
      </c>
      <c r="E482" s="15">
        <f t="shared" si="1"/>
        <v>76</v>
      </c>
      <c r="F482" s="16">
        <f t="shared" si="2"/>
        <v>168907.3988</v>
      </c>
      <c r="G482" s="16">
        <f>IF(D482&lt;=mortTerm, -PMT(mortRate/12, mortTerm*12, C482)*12, 0)
</f>
        <v>34071.85783</v>
      </c>
      <c r="H482" s="16">
        <f>IF(D482&lt;=mortTerm, G482 - I482, 0)
</f>
        <v>10278.43114</v>
      </c>
      <c r="I482" s="16">
        <f>IF(D482&lt;=mortTerm, F482 - J482, 0)
</f>
        <v>23793.42669</v>
      </c>
      <c r="J482" s="16">
        <f>IF(D482&lt;=mortTerm,
   F482*(1+mortRate/12)^12 - (-PMT(mortRate/12, mortTerm*12, C482))*(((1+mortRate/12)^12 - 1)/(mortRate/12)),
   0
)
</f>
        <v>145113.9721</v>
      </c>
      <c r="K482" s="13">
        <f>IFERROR(__xludf.DUMMYFUNCTION("IF(A482="""","""",
   IF(F482&gt;0,
      INDEX(FILTER('RE Portfolio'!L$2:L2000,'RE Portfolio'!D$2:D2000=""BUY""), INT((ROW()-2)/amortYears)+1) - G482,
      INDEX(FILTER('RE Portfolio'!L$2:L2000,'RE Portfolio'!D$2:D2000=""BUY""), INT((ROW()-2)/amortYears)+1"&amp;")
   )
)
"),10489.91098733653)</f>
        <v>10489.91099</v>
      </c>
      <c r="L482" s="15">
        <f>IFERROR(__xludf.DUMMYFUNCTION("IF(A482="""","""",
  INDEX(FILTER('RE Portfolio'!C$2:C2000,'RE Portfolio'!D$2:D2000=""BUY""), INT((ROW()-2)/amortYears)+1)
  * (1 + VALUE(Assumptions!$B$11))^(D482-1)
)
"),1535287.1990297926)</f>
        <v>1535287.199</v>
      </c>
    </row>
    <row r="483">
      <c r="A483" s="15">
        <f>IFERROR(__xludf.DUMMYFUNCTION("IFERROR(INDEX(FILTER('RE Portfolio'!A$2:A2000,'RE Portfolio'!D$2:D2000=""BUY""), INT((ROW()-2)/amortYears)+1), )
"),13.0)</f>
        <v>13</v>
      </c>
      <c r="B483" s="15">
        <f>IFERROR(__xludf.DUMMYFUNCTION("IFERROR(INDEX(FILTER('RE Portfolio'!B$2:B2000,'RE Portfolio'!D$2:D2000=""BUY""), INT((ROW()-2)/amortYears)+1), )
"),52.0)</f>
        <v>52</v>
      </c>
      <c r="C483" s="15">
        <f>IFERROR(__xludf.DUMMYFUNCTION("IFERROR(INDEX(FILTER('RE Portfolio'!G$2:G2000,'RE Portfolio'!D$2:D2000=""BUY""), INT((ROW()-2)/amortYears)+1), )
"),449211.37922037067)</f>
        <v>449211.3792</v>
      </c>
      <c r="D483" s="15">
        <f>MOD(ROW()-2, amortYears)+1</f>
        <v>26</v>
      </c>
      <c r="E483" s="15">
        <f t="shared" si="1"/>
        <v>77</v>
      </c>
      <c r="F483" s="16">
        <f t="shared" si="2"/>
        <v>145113.9721</v>
      </c>
      <c r="G483" s="16">
        <f>IF(D483&lt;=mortTerm, -PMT(mortRate/12, mortTerm*12, C483)*12, 0)
</f>
        <v>34071.85783</v>
      </c>
      <c r="H483" s="16">
        <f>IF(D483&lt;=mortTerm, G483 - I483, 0)
</f>
        <v>8684.94129</v>
      </c>
      <c r="I483" s="16">
        <f>IF(D483&lt;=mortTerm, F483 - J483, 0)
</f>
        <v>25386.91654</v>
      </c>
      <c r="J483" s="16">
        <f>IF(D483&lt;=mortTerm,
   F483*(1+mortRate/12)^12 - (-PMT(mortRate/12, mortTerm*12, C483))*(((1+mortRate/12)^12 - 1)/(mortRate/12)),
   0
)
</f>
        <v>119727.0555</v>
      </c>
      <c r="K483" s="13">
        <f>IFERROR(__xludf.DUMMYFUNCTION("IF(A483="""","""",
   IF(F483&gt;0,
      INDEX(FILTER('RE Portfolio'!L$2:L2000,'RE Portfolio'!D$2:D2000=""BUY""), INT((ROW()-2)/amortYears)+1) - G483,
      INDEX(FILTER('RE Portfolio'!L$2:L2000,'RE Portfolio'!D$2:D2000=""BUY""), INT((ROW()-2)/amortYears)+1"&amp;")
   )
)
"),10489.91098733653)</f>
        <v>10489.91099</v>
      </c>
      <c r="L483" s="15">
        <f>IFERROR(__xludf.DUMMYFUNCTION("IF(A483="""","""",
  INDEX(FILTER('RE Portfolio'!C$2:C2000,'RE Portfolio'!D$2:D2000=""BUY""), INT((ROW()-2)/amortYears)+1)
  * (1 + VALUE(Assumptions!$B$11))^(D483-1)
)
"),1596698.6869909842)</f>
        <v>1596698.687</v>
      </c>
    </row>
    <row r="484">
      <c r="A484" s="15">
        <f>IFERROR(__xludf.DUMMYFUNCTION("IFERROR(INDEX(FILTER('RE Portfolio'!A$2:A2000,'RE Portfolio'!D$2:D2000=""BUY""), INT((ROW()-2)/amortYears)+1), )
"),13.0)</f>
        <v>13</v>
      </c>
      <c r="B484" s="15">
        <f>IFERROR(__xludf.DUMMYFUNCTION("IFERROR(INDEX(FILTER('RE Portfolio'!B$2:B2000,'RE Portfolio'!D$2:D2000=""BUY""), INT((ROW()-2)/amortYears)+1), )
"),52.0)</f>
        <v>52</v>
      </c>
      <c r="C484" s="15">
        <f>IFERROR(__xludf.DUMMYFUNCTION("IFERROR(INDEX(FILTER('RE Portfolio'!G$2:G2000,'RE Portfolio'!D$2:D2000=""BUY""), INT((ROW()-2)/amortYears)+1), )
"),449211.37922037067)</f>
        <v>449211.3792</v>
      </c>
      <c r="D484" s="15">
        <f>MOD(ROW()-2, amortYears)+1</f>
        <v>27</v>
      </c>
      <c r="E484" s="15">
        <f t="shared" si="1"/>
        <v>78</v>
      </c>
      <c r="F484" s="16">
        <f t="shared" si="2"/>
        <v>119727.0555</v>
      </c>
      <c r="G484" s="16">
        <f>IF(D484&lt;=mortTerm, -PMT(mortRate/12, mortTerm*12, C484)*12, 0)
</f>
        <v>34071.85783</v>
      </c>
      <c r="H484" s="16">
        <f>IF(D484&lt;=mortTerm, G484 - I484, 0)
</f>
        <v>6984.732472</v>
      </c>
      <c r="I484" s="16">
        <f>IF(D484&lt;=mortTerm, F484 - J484, 0)
</f>
        <v>27087.12536</v>
      </c>
      <c r="J484" s="16">
        <f>IF(D484&lt;=mortTerm,
   F484*(1+mortRate/12)^12 - (-PMT(mortRate/12, mortTerm*12, C484))*(((1+mortRate/12)^12 - 1)/(mortRate/12)),
   0
)
</f>
        <v>92639.93016</v>
      </c>
      <c r="K484" s="13">
        <f>IFERROR(__xludf.DUMMYFUNCTION("IF(A484="""","""",
   IF(F484&gt;0,
      INDEX(FILTER('RE Portfolio'!L$2:L2000,'RE Portfolio'!D$2:D2000=""BUY""), INT((ROW()-2)/amortYears)+1) - G484,
      INDEX(FILTER('RE Portfolio'!L$2:L2000,'RE Portfolio'!D$2:D2000=""BUY""), INT((ROW()-2)/amortYears)+1"&amp;")
   )
)
"),10489.91098733653)</f>
        <v>10489.91099</v>
      </c>
      <c r="L484" s="15">
        <f>IFERROR(__xludf.DUMMYFUNCTION("IF(A484="""","""",
  INDEX(FILTER('RE Portfolio'!C$2:C2000,'RE Portfolio'!D$2:D2000=""BUY""), INT((ROW()-2)/amortYears)+1)
  * (1 + VALUE(Assumptions!$B$11))^(D484-1)
)
"),1660566.6344706237)</f>
        <v>1660566.634</v>
      </c>
    </row>
    <row r="485">
      <c r="A485" s="15">
        <f>IFERROR(__xludf.DUMMYFUNCTION("IFERROR(INDEX(FILTER('RE Portfolio'!A$2:A2000,'RE Portfolio'!D$2:D2000=""BUY""), INT((ROW()-2)/amortYears)+1), )
"),13.0)</f>
        <v>13</v>
      </c>
      <c r="B485" s="15">
        <f>IFERROR(__xludf.DUMMYFUNCTION("IFERROR(INDEX(FILTER('RE Portfolio'!B$2:B2000,'RE Portfolio'!D$2:D2000=""BUY""), INT((ROW()-2)/amortYears)+1), )
"),52.0)</f>
        <v>52</v>
      </c>
      <c r="C485" s="15">
        <f>IFERROR(__xludf.DUMMYFUNCTION("IFERROR(INDEX(FILTER('RE Portfolio'!G$2:G2000,'RE Portfolio'!D$2:D2000=""BUY""), INT((ROW()-2)/amortYears)+1), )
"),449211.37922037067)</f>
        <v>449211.3792</v>
      </c>
      <c r="D485" s="15">
        <f>MOD(ROW()-2, amortYears)+1</f>
        <v>28</v>
      </c>
      <c r="E485" s="15">
        <f t="shared" si="1"/>
        <v>79</v>
      </c>
      <c r="F485" s="16">
        <f t="shared" si="2"/>
        <v>92639.93016</v>
      </c>
      <c r="G485" s="16">
        <f>IF(D485&lt;=mortTerm, -PMT(mortRate/12, mortTerm*12, C485)*12, 0)
</f>
        <v>34071.85783</v>
      </c>
      <c r="H485" s="16">
        <f>IF(D485&lt;=mortTerm, G485 - I485, 0)
</f>
        <v>5170.657521</v>
      </c>
      <c r="I485" s="16">
        <f>IF(D485&lt;=mortTerm, F485 - J485, 0)
</f>
        <v>28901.20031</v>
      </c>
      <c r="J485" s="16">
        <f>IF(D485&lt;=mortTerm,
   F485*(1+mortRate/12)^12 - (-PMT(mortRate/12, mortTerm*12, C485))*(((1+mortRate/12)^12 - 1)/(mortRate/12)),
   0
)
</f>
        <v>63738.72985</v>
      </c>
      <c r="K485" s="13">
        <f>IFERROR(__xludf.DUMMYFUNCTION("IF(A485="""","""",
   IF(F485&gt;0,
      INDEX(FILTER('RE Portfolio'!L$2:L2000,'RE Portfolio'!D$2:D2000=""BUY""), INT((ROW()-2)/amortYears)+1) - G485,
      INDEX(FILTER('RE Portfolio'!L$2:L2000,'RE Portfolio'!D$2:D2000=""BUY""), INT((ROW()-2)/amortYears)+1"&amp;")
   )
)
"),10489.91098733653)</f>
        <v>10489.91099</v>
      </c>
      <c r="L485" s="15">
        <f>IFERROR(__xludf.DUMMYFUNCTION("IF(A485="""","""",
  INDEX(FILTER('RE Portfolio'!C$2:C2000,'RE Portfolio'!D$2:D2000=""BUY""), INT((ROW()-2)/amortYears)+1)
  * (1 + VALUE(Assumptions!$B$11))^(D485-1)
)
"),1726989.2998494487)</f>
        <v>1726989.3</v>
      </c>
    </row>
    <row r="486">
      <c r="A486" s="15">
        <f>IFERROR(__xludf.DUMMYFUNCTION("IFERROR(INDEX(FILTER('RE Portfolio'!A$2:A2000,'RE Portfolio'!D$2:D2000=""BUY""), INT((ROW()-2)/amortYears)+1), )
"),13.0)</f>
        <v>13</v>
      </c>
      <c r="B486" s="15">
        <f>IFERROR(__xludf.DUMMYFUNCTION("IFERROR(INDEX(FILTER('RE Portfolio'!B$2:B2000,'RE Portfolio'!D$2:D2000=""BUY""), INT((ROW()-2)/amortYears)+1), )
"),52.0)</f>
        <v>52</v>
      </c>
      <c r="C486" s="15">
        <f>IFERROR(__xludf.DUMMYFUNCTION("IFERROR(INDEX(FILTER('RE Portfolio'!G$2:G2000,'RE Portfolio'!D$2:D2000=""BUY""), INT((ROW()-2)/amortYears)+1), )
"),449211.37922037067)</f>
        <v>449211.3792</v>
      </c>
      <c r="D486" s="15">
        <f>MOD(ROW()-2, amortYears)+1</f>
        <v>29</v>
      </c>
      <c r="E486" s="15">
        <f t="shared" si="1"/>
        <v>80</v>
      </c>
      <c r="F486" s="16">
        <f t="shared" si="2"/>
        <v>63738.72985</v>
      </c>
      <c r="G486" s="16">
        <f>IF(D486&lt;=mortTerm, -PMT(mortRate/12, mortTerm*12, C486)*12, 0)
</f>
        <v>34071.85783</v>
      </c>
      <c r="H486" s="16">
        <f>IF(D486&lt;=mortTerm, G486 - I486, 0)
</f>
        <v>3235.090612</v>
      </c>
      <c r="I486" s="16">
        <f>IF(D486&lt;=mortTerm, F486 - J486, 0)
</f>
        <v>30836.76722</v>
      </c>
      <c r="J486" s="16">
        <f>IF(D486&lt;=mortTerm,
   F486*(1+mortRate/12)^12 - (-PMT(mortRate/12, mortTerm*12, C486))*(((1+mortRate/12)^12 - 1)/(mortRate/12)),
   0
)
</f>
        <v>32901.96263</v>
      </c>
      <c r="K486" s="13">
        <f>IFERROR(__xludf.DUMMYFUNCTION("IF(A486="""","""",
   IF(F486&gt;0,
      INDEX(FILTER('RE Portfolio'!L$2:L2000,'RE Portfolio'!D$2:D2000=""BUY""), INT((ROW()-2)/amortYears)+1) - G486,
      INDEX(FILTER('RE Portfolio'!L$2:L2000,'RE Portfolio'!D$2:D2000=""BUY""), INT((ROW()-2)/amortYears)+1"&amp;")
   )
)
"),10489.91098733653)</f>
        <v>10489.91099</v>
      </c>
      <c r="L486" s="15">
        <f>IFERROR(__xludf.DUMMYFUNCTION("IF(A486="""","""",
  INDEX(FILTER('RE Portfolio'!C$2:C2000,'RE Portfolio'!D$2:D2000=""BUY""), INT((ROW()-2)/amortYears)+1)
  * (1 + VALUE(Assumptions!$B$11))^(D486-1)
)
"),1796068.8718434267)</f>
        <v>1796068.872</v>
      </c>
    </row>
    <row r="487">
      <c r="A487" s="15">
        <f>IFERROR(__xludf.DUMMYFUNCTION("IFERROR(INDEX(FILTER('RE Portfolio'!A$2:A2000,'RE Portfolio'!D$2:D2000=""BUY""), INT((ROW()-2)/amortYears)+1), )
"),13.0)</f>
        <v>13</v>
      </c>
      <c r="B487" s="15">
        <f>IFERROR(__xludf.DUMMYFUNCTION("IFERROR(INDEX(FILTER('RE Portfolio'!B$2:B2000,'RE Portfolio'!D$2:D2000=""BUY""), INT((ROW()-2)/amortYears)+1), )
"),52.0)</f>
        <v>52</v>
      </c>
      <c r="C487" s="15">
        <f>IFERROR(__xludf.DUMMYFUNCTION("IFERROR(INDEX(FILTER('RE Portfolio'!G$2:G2000,'RE Portfolio'!D$2:D2000=""BUY""), INT((ROW()-2)/amortYears)+1), )
"),449211.37922037067)</f>
        <v>449211.3792</v>
      </c>
      <c r="D487" s="15">
        <f>MOD(ROW()-2, amortYears)+1</f>
        <v>30</v>
      </c>
      <c r="E487" s="15">
        <f t="shared" si="1"/>
        <v>81</v>
      </c>
      <c r="F487" s="16">
        <f t="shared" si="2"/>
        <v>32901.96263</v>
      </c>
      <c r="G487" s="16">
        <f>IF(D487&lt;=mortTerm, -PMT(mortRate/12, mortTerm*12, C487)*12, 0)
</f>
        <v>34071.85783</v>
      </c>
      <c r="H487" s="16">
        <f>IF(D487&lt;=mortTerm, G487 - I487, 0)
</f>
        <v>1169.895201</v>
      </c>
      <c r="I487" s="16">
        <f>IF(D487&lt;=mortTerm, F487 - J487, 0)
</f>
        <v>32901.96263</v>
      </c>
      <c r="J487" s="16">
        <f>IF(D487&lt;=mortTerm,
   F487*(1+mortRate/12)^12 - (-PMT(mortRate/12, mortTerm*12, C487))*(((1+mortRate/12)^12 - 1)/(mortRate/12)),
   0
)
</f>
        <v>-0.000000001360604074</v>
      </c>
      <c r="K487" s="13">
        <f>IFERROR(__xludf.DUMMYFUNCTION("IF(A487="""","""",
   IF(F487&gt;0,
      INDEX(FILTER('RE Portfolio'!L$2:L2000,'RE Portfolio'!D$2:D2000=""BUY""), INT((ROW()-2)/amortYears)+1) - G487,
      INDEX(FILTER('RE Portfolio'!L$2:L2000,'RE Portfolio'!D$2:D2000=""BUY""), INT((ROW()-2)/amortYears)+1"&amp;")
   )
)
"),10489.91098733653)</f>
        <v>10489.91099</v>
      </c>
      <c r="L487" s="15">
        <f>IFERROR(__xludf.DUMMYFUNCTION("IF(A487="""","""",
  INDEX(FILTER('RE Portfolio'!C$2:C2000,'RE Portfolio'!D$2:D2000=""BUY""), INT((ROW()-2)/amortYears)+1)
  * (1 + VALUE(Assumptions!$B$11))^(D487-1)
)
"),1867911.626717164)</f>
        <v>1867911.627</v>
      </c>
    </row>
    <row r="488">
      <c r="A488" s="15">
        <f>IFERROR(__xludf.DUMMYFUNCTION("IFERROR(INDEX(FILTER('RE Portfolio'!A$2:A2000,'RE Portfolio'!D$2:D2000=""BUY""), INT((ROW()-2)/amortYears)+1), )
"),13.0)</f>
        <v>13</v>
      </c>
      <c r="B488" s="15">
        <f>IFERROR(__xludf.DUMMYFUNCTION("IFERROR(INDEX(FILTER('RE Portfolio'!B$2:B2000,'RE Portfolio'!D$2:D2000=""BUY""), INT((ROW()-2)/amortYears)+1), )
"),52.0)</f>
        <v>52</v>
      </c>
      <c r="C488" s="15">
        <f>IFERROR(__xludf.DUMMYFUNCTION("IFERROR(INDEX(FILTER('RE Portfolio'!G$2:G2000,'RE Portfolio'!D$2:D2000=""BUY""), INT((ROW()-2)/amortYears)+1), )
"),449211.37922037067)</f>
        <v>449211.3792</v>
      </c>
      <c r="D488" s="15">
        <f>MOD(ROW()-2, amortYears)+1</f>
        <v>31</v>
      </c>
      <c r="E488" s="15">
        <f t="shared" si="1"/>
        <v>82</v>
      </c>
      <c r="F488" s="16">
        <f t="shared" si="2"/>
        <v>-0.000000001360604074</v>
      </c>
      <c r="G488" s="15">
        <f>IF(D488&lt;=mortTerm, -PMT(mortRate/12, mortTerm*12, C488)*12, 0)
</f>
        <v>0</v>
      </c>
      <c r="H488" s="15">
        <f>IF(D488&lt;=mortTerm, G488 - I488, 0)
</f>
        <v>0</v>
      </c>
      <c r="I488" s="15">
        <f>IF(D488&lt;=mortTerm, F488 - J488, 0)
</f>
        <v>0</v>
      </c>
      <c r="J488" s="15">
        <f>IF(D488&lt;=mortTerm,
   F488*(1+mortRate/12)^12 - (-PMT(mortRate/12, mortTerm*12, C488))*(((1+mortRate/12)^12 - 1)/(mortRate/12)),
   0
)
</f>
        <v>0</v>
      </c>
      <c r="K488" s="13">
        <f>IFERROR(__xludf.DUMMYFUNCTION("IF(A488="""","""",
   IF(F488&gt;0,
      INDEX(FILTER('RE Portfolio'!L$2:L2000,'RE Portfolio'!D$2:D2000=""BUY""), INT((ROW()-2)/amortYears)+1) - G488,
      INDEX(FILTER('RE Portfolio'!L$2:L2000,'RE Portfolio'!D$2:D2000=""BUY""), INT((ROW()-2)/amortYears)+1"&amp;")
   )
)
"),44561.76881866077)</f>
        <v>44561.76882</v>
      </c>
      <c r="L488" s="15">
        <f>IFERROR(__xludf.DUMMYFUNCTION("IF(A488="""","""",
  INDEX(FILTER('RE Portfolio'!C$2:C2000,'RE Portfolio'!D$2:D2000=""BUY""), INT((ROW()-2)/amortYears)+1)
  * (1 + VALUE(Assumptions!$B$11))^(D488-1)
)
"),1942628.0917858505)</f>
        <v>1942628.092</v>
      </c>
    </row>
    <row r="489">
      <c r="A489" s="15">
        <f>IFERROR(__xludf.DUMMYFUNCTION("IFERROR(INDEX(FILTER('RE Portfolio'!A$2:A2000,'RE Portfolio'!D$2:D2000=""BUY""), INT((ROW()-2)/amortYears)+1), )
"),13.0)</f>
        <v>13</v>
      </c>
      <c r="B489" s="15">
        <f>IFERROR(__xludf.DUMMYFUNCTION("IFERROR(INDEX(FILTER('RE Portfolio'!B$2:B2000,'RE Portfolio'!D$2:D2000=""BUY""), INT((ROW()-2)/amortYears)+1), )
"),52.0)</f>
        <v>52</v>
      </c>
      <c r="C489" s="15">
        <f>IFERROR(__xludf.DUMMYFUNCTION("IFERROR(INDEX(FILTER('RE Portfolio'!G$2:G2000,'RE Portfolio'!D$2:D2000=""BUY""), INT((ROW()-2)/amortYears)+1), )
"),449211.37922037067)</f>
        <v>449211.3792</v>
      </c>
      <c r="D489" s="15">
        <f>MOD(ROW()-2, amortYears)+1</f>
        <v>32</v>
      </c>
      <c r="E489" s="15">
        <f t="shared" si="1"/>
        <v>83</v>
      </c>
      <c r="F489" s="15">
        <f t="shared" si="2"/>
        <v>0</v>
      </c>
      <c r="G489" s="15">
        <f>IF(D489&lt;=mortTerm, -PMT(mortRate/12, mortTerm*12, C489)*12, 0)
</f>
        <v>0</v>
      </c>
      <c r="H489" s="15">
        <f>IF(D489&lt;=mortTerm, G489 - I489, 0)
</f>
        <v>0</v>
      </c>
      <c r="I489" s="15">
        <f>IF(D489&lt;=mortTerm, F489 - J489, 0)
</f>
        <v>0</v>
      </c>
      <c r="J489" s="15">
        <f>IF(D489&lt;=mortTerm,
   F489*(1+mortRate/12)^12 - (-PMT(mortRate/12, mortTerm*12, C489))*(((1+mortRate/12)^12 - 1)/(mortRate/12)),
   0
)
</f>
        <v>0</v>
      </c>
      <c r="K489" s="13">
        <f>IFERROR(__xludf.DUMMYFUNCTION("IF(A489="""","""",
   IF(F489&gt;0,
      INDEX(FILTER('RE Portfolio'!L$2:L2000,'RE Portfolio'!D$2:D2000=""BUY""), INT((ROW()-2)/amortYears)+1) - G489,
      INDEX(FILTER('RE Portfolio'!L$2:L2000,'RE Portfolio'!D$2:D2000=""BUY""), INT((ROW()-2)/amortYears)+1"&amp;")
   )
)
"),44561.76881866077)</f>
        <v>44561.76882</v>
      </c>
      <c r="L489" s="15">
        <f>IFERROR(__xludf.DUMMYFUNCTION("IF(A489="""","""",
  INDEX(FILTER('RE Portfolio'!C$2:C2000,'RE Portfolio'!D$2:D2000=""BUY""), INT((ROW()-2)/amortYears)+1)
  * (1 + VALUE(Assumptions!$B$11))^(D489-1)
)
"),2020333.2154572846)</f>
        <v>2020333.215</v>
      </c>
    </row>
    <row r="490">
      <c r="A490" s="15">
        <f>IFERROR(__xludf.DUMMYFUNCTION("IFERROR(INDEX(FILTER('RE Portfolio'!A$2:A2000,'RE Portfolio'!D$2:D2000=""BUY""), INT((ROW()-2)/amortYears)+1), )
"),13.0)</f>
        <v>13</v>
      </c>
      <c r="B490" s="15">
        <f>IFERROR(__xludf.DUMMYFUNCTION("IFERROR(INDEX(FILTER('RE Portfolio'!B$2:B2000,'RE Portfolio'!D$2:D2000=""BUY""), INT((ROW()-2)/amortYears)+1), )
"),52.0)</f>
        <v>52</v>
      </c>
      <c r="C490" s="15">
        <f>IFERROR(__xludf.DUMMYFUNCTION("IFERROR(INDEX(FILTER('RE Portfolio'!G$2:G2000,'RE Portfolio'!D$2:D2000=""BUY""), INT((ROW()-2)/amortYears)+1), )
"),449211.37922037067)</f>
        <v>449211.3792</v>
      </c>
      <c r="D490" s="15">
        <f>MOD(ROW()-2, amortYears)+1</f>
        <v>33</v>
      </c>
      <c r="E490" s="15">
        <f t="shared" si="1"/>
        <v>84</v>
      </c>
      <c r="F490" s="15">
        <f t="shared" si="2"/>
        <v>0</v>
      </c>
      <c r="G490" s="15">
        <f>IF(D490&lt;=mortTerm, -PMT(mortRate/12, mortTerm*12, C490)*12, 0)
</f>
        <v>0</v>
      </c>
      <c r="H490" s="15">
        <f>IF(D490&lt;=mortTerm, G490 - I490, 0)
</f>
        <v>0</v>
      </c>
      <c r="I490" s="15">
        <f>IF(D490&lt;=mortTerm, F490 - J490, 0)
</f>
        <v>0</v>
      </c>
      <c r="J490" s="15">
        <f>IF(D490&lt;=mortTerm,
   F490*(1+mortRate/12)^12 - (-PMT(mortRate/12, mortTerm*12, C490))*(((1+mortRate/12)^12 - 1)/(mortRate/12)),
   0
)
</f>
        <v>0</v>
      </c>
      <c r="K490" s="13">
        <f>IFERROR(__xludf.DUMMYFUNCTION("IF(A490="""","""",
   IF(F490&gt;0,
      INDEX(FILTER('RE Portfolio'!L$2:L2000,'RE Portfolio'!D$2:D2000=""BUY""), INT((ROW()-2)/amortYears)+1) - G490,
      INDEX(FILTER('RE Portfolio'!L$2:L2000,'RE Portfolio'!D$2:D2000=""BUY""), INT((ROW()-2)/amortYears)+1"&amp;")
   )
)
"),44561.76881866077)</f>
        <v>44561.76882</v>
      </c>
      <c r="L490" s="15">
        <f>IFERROR(__xludf.DUMMYFUNCTION("IF(A490="""","""",
  INDEX(FILTER('RE Portfolio'!C$2:C2000,'RE Portfolio'!D$2:D2000=""BUY""), INT((ROW()-2)/amortYears)+1)
  * (1 + VALUE(Assumptions!$B$11))^(D490-1)
)
"),2101146.544075576)</f>
        <v>2101146.544</v>
      </c>
    </row>
    <row r="491">
      <c r="A491" s="15">
        <f>IFERROR(__xludf.DUMMYFUNCTION("IFERROR(INDEX(FILTER('RE Portfolio'!A$2:A2000,'RE Portfolio'!D$2:D2000=""BUY""), INT((ROW()-2)/amortYears)+1), )
"),13.0)</f>
        <v>13</v>
      </c>
      <c r="B491" s="15">
        <f>IFERROR(__xludf.DUMMYFUNCTION("IFERROR(INDEX(FILTER('RE Portfolio'!B$2:B2000,'RE Portfolio'!D$2:D2000=""BUY""), INT((ROW()-2)/amortYears)+1), )
"),52.0)</f>
        <v>52</v>
      </c>
      <c r="C491" s="15">
        <f>IFERROR(__xludf.DUMMYFUNCTION("IFERROR(INDEX(FILTER('RE Portfolio'!G$2:G2000,'RE Portfolio'!D$2:D2000=""BUY""), INT((ROW()-2)/amortYears)+1), )
"),449211.37922037067)</f>
        <v>449211.3792</v>
      </c>
      <c r="D491" s="15">
        <f>MOD(ROW()-2, amortYears)+1</f>
        <v>34</v>
      </c>
      <c r="E491" s="15">
        <f t="shared" si="1"/>
        <v>85</v>
      </c>
      <c r="F491" s="15">
        <f t="shared" si="2"/>
        <v>0</v>
      </c>
      <c r="G491" s="15">
        <f>IF(D491&lt;=mortTerm, -PMT(mortRate/12, mortTerm*12, C491)*12, 0)
</f>
        <v>0</v>
      </c>
      <c r="H491" s="15">
        <f>IF(D491&lt;=mortTerm, G491 - I491, 0)
</f>
        <v>0</v>
      </c>
      <c r="I491" s="15">
        <f>IF(D491&lt;=mortTerm, F491 - J491, 0)
</f>
        <v>0</v>
      </c>
      <c r="J491" s="15">
        <f>IF(D491&lt;=mortTerm,
   F491*(1+mortRate/12)^12 - (-PMT(mortRate/12, mortTerm*12, C491))*(((1+mortRate/12)^12 - 1)/(mortRate/12)),
   0
)
</f>
        <v>0</v>
      </c>
      <c r="K491" s="13">
        <f>IFERROR(__xludf.DUMMYFUNCTION("IF(A491="""","""",
   IF(F491&gt;0,
      INDEX(FILTER('RE Portfolio'!L$2:L2000,'RE Portfolio'!D$2:D2000=""BUY""), INT((ROW()-2)/amortYears)+1) - G491,
      INDEX(FILTER('RE Portfolio'!L$2:L2000,'RE Portfolio'!D$2:D2000=""BUY""), INT((ROW()-2)/amortYears)+1"&amp;")
   )
)
"),44561.76881866077)</f>
        <v>44561.76882</v>
      </c>
      <c r="L491" s="15">
        <f>IFERROR(__xludf.DUMMYFUNCTION("IF(A491="""","""",
  INDEX(FILTER('RE Portfolio'!C$2:C2000,'RE Portfolio'!D$2:D2000=""BUY""), INT((ROW()-2)/amortYears)+1)
  * (1 + VALUE(Assumptions!$B$11))^(D491-1)
)
"),2185192.4058385994)</f>
        <v>2185192.406</v>
      </c>
    </row>
    <row r="492">
      <c r="A492" s="15">
        <f>IFERROR(__xludf.DUMMYFUNCTION("IFERROR(INDEX(FILTER('RE Portfolio'!A$2:A2000,'RE Portfolio'!D$2:D2000=""BUY""), INT((ROW()-2)/amortYears)+1), )
"),13.0)</f>
        <v>13</v>
      </c>
      <c r="B492" s="15">
        <f>IFERROR(__xludf.DUMMYFUNCTION("IFERROR(INDEX(FILTER('RE Portfolio'!B$2:B2000,'RE Portfolio'!D$2:D2000=""BUY""), INT((ROW()-2)/amortYears)+1), )
"),52.0)</f>
        <v>52</v>
      </c>
      <c r="C492" s="15">
        <f>IFERROR(__xludf.DUMMYFUNCTION("IFERROR(INDEX(FILTER('RE Portfolio'!G$2:G2000,'RE Portfolio'!D$2:D2000=""BUY""), INT((ROW()-2)/amortYears)+1), )
"),449211.37922037067)</f>
        <v>449211.3792</v>
      </c>
      <c r="D492" s="15">
        <f>MOD(ROW()-2, amortYears)+1</f>
        <v>35</v>
      </c>
      <c r="E492" s="15">
        <f t="shared" si="1"/>
        <v>86</v>
      </c>
      <c r="F492" s="15">
        <f t="shared" si="2"/>
        <v>0</v>
      </c>
      <c r="G492" s="15">
        <f>IF(D492&lt;=mortTerm, -PMT(mortRate/12, mortTerm*12, C492)*12, 0)
</f>
        <v>0</v>
      </c>
      <c r="H492" s="15">
        <f>IF(D492&lt;=mortTerm, G492 - I492, 0)
</f>
        <v>0</v>
      </c>
      <c r="I492" s="15">
        <f>IF(D492&lt;=mortTerm, F492 - J492, 0)
</f>
        <v>0</v>
      </c>
      <c r="J492" s="15">
        <f>IF(D492&lt;=mortTerm,
   F492*(1+mortRate/12)^12 - (-PMT(mortRate/12, mortTerm*12, C492))*(((1+mortRate/12)^12 - 1)/(mortRate/12)),
   0
)
</f>
        <v>0</v>
      </c>
      <c r="K492" s="13">
        <f>IFERROR(__xludf.DUMMYFUNCTION("IF(A492="""","""",
   IF(F492&gt;0,
      INDEX(FILTER('RE Portfolio'!L$2:L2000,'RE Portfolio'!D$2:D2000=""BUY""), INT((ROW()-2)/amortYears)+1) - G492,
      INDEX(FILTER('RE Portfolio'!L$2:L2000,'RE Portfolio'!D$2:D2000=""BUY""), INT((ROW()-2)/amortYears)+1"&amp;")
   )
)
"),44561.76881866077)</f>
        <v>44561.76882</v>
      </c>
      <c r="L492" s="15">
        <f>IFERROR(__xludf.DUMMYFUNCTION("IF(A492="""","""",
  INDEX(FILTER('RE Portfolio'!C$2:C2000,'RE Portfolio'!D$2:D2000=""BUY""), INT((ROW()-2)/amortYears)+1)
  * (1 + VALUE(Assumptions!$B$11))^(D492-1)
)
"),2272600.1020721435)</f>
        <v>2272600.102</v>
      </c>
    </row>
    <row r="493">
      <c r="A493" s="15">
        <f>IFERROR(__xludf.DUMMYFUNCTION("IFERROR(INDEX(FILTER('RE Portfolio'!A$2:A2000,'RE Portfolio'!D$2:D2000=""BUY""), INT((ROW()-2)/amortYears)+1), )
"),13.0)</f>
        <v>13</v>
      </c>
      <c r="B493" s="15">
        <f>IFERROR(__xludf.DUMMYFUNCTION("IFERROR(INDEX(FILTER('RE Portfolio'!B$2:B2000,'RE Portfolio'!D$2:D2000=""BUY""), INT((ROW()-2)/amortYears)+1), )
"),52.0)</f>
        <v>52</v>
      </c>
      <c r="C493" s="15">
        <f>IFERROR(__xludf.DUMMYFUNCTION("IFERROR(INDEX(FILTER('RE Portfolio'!G$2:G2000,'RE Portfolio'!D$2:D2000=""BUY""), INT((ROW()-2)/amortYears)+1), )
"),449211.37922037067)</f>
        <v>449211.3792</v>
      </c>
      <c r="D493" s="15">
        <f>MOD(ROW()-2, amortYears)+1</f>
        <v>36</v>
      </c>
      <c r="E493" s="15">
        <f t="shared" si="1"/>
        <v>87</v>
      </c>
      <c r="F493" s="15">
        <f t="shared" si="2"/>
        <v>0</v>
      </c>
      <c r="G493" s="15">
        <f>IF(D493&lt;=mortTerm, -PMT(mortRate/12, mortTerm*12, C493)*12, 0)
</f>
        <v>0</v>
      </c>
      <c r="H493" s="15">
        <f>IF(D493&lt;=mortTerm, G493 - I493, 0)
</f>
        <v>0</v>
      </c>
      <c r="I493" s="15">
        <f>IF(D493&lt;=mortTerm, F493 - J493, 0)
</f>
        <v>0</v>
      </c>
      <c r="J493" s="15">
        <f>IF(D493&lt;=mortTerm,
   F493*(1+mortRate/12)^12 - (-PMT(mortRate/12, mortTerm*12, C493))*(((1+mortRate/12)^12 - 1)/(mortRate/12)),
   0
)
</f>
        <v>0</v>
      </c>
      <c r="K493" s="13">
        <f>IFERROR(__xludf.DUMMYFUNCTION("IF(A493="""","""",
   IF(F493&gt;0,
      INDEX(FILTER('RE Portfolio'!L$2:L2000,'RE Portfolio'!D$2:D2000=""BUY""), INT((ROW()-2)/amortYears)+1) - G493,
      INDEX(FILTER('RE Portfolio'!L$2:L2000,'RE Portfolio'!D$2:D2000=""BUY""), INT((ROW()-2)/amortYears)+1"&amp;")
   )
)
"),44561.76881866077)</f>
        <v>44561.76882</v>
      </c>
      <c r="L493" s="15">
        <f>IFERROR(__xludf.DUMMYFUNCTION("IF(A493="""","""",
  INDEX(FILTER('RE Portfolio'!C$2:C2000,'RE Portfolio'!D$2:D2000=""BUY""), INT((ROW()-2)/amortYears)+1)
  * (1 + VALUE(Assumptions!$B$11))^(D493-1)
)
"),2363504.106155029)</f>
        <v>2363504.106</v>
      </c>
    </row>
    <row r="494">
      <c r="A494" s="15">
        <f>IFERROR(__xludf.DUMMYFUNCTION("IFERROR(INDEX(FILTER('RE Portfolio'!A$2:A2000,'RE Portfolio'!D$2:D2000=""BUY""), INT((ROW()-2)/amortYears)+1), )
"),13.0)</f>
        <v>13</v>
      </c>
      <c r="B494" s="15">
        <f>IFERROR(__xludf.DUMMYFUNCTION("IFERROR(INDEX(FILTER('RE Portfolio'!B$2:B2000,'RE Portfolio'!D$2:D2000=""BUY""), INT((ROW()-2)/amortYears)+1), )
"),52.0)</f>
        <v>52</v>
      </c>
      <c r="C494" s="15">
        <f>IFERROR(__xludf.DUMMYFUNCTION("IFERROR(INDEX(FILTER('RE Portfolio'!G$2:G2000,'RE Portfolio'!D$2:D2000=""BUY""), INT((ROW()-2)/amortYears)+1), )
"),449211.37922037067)</f>
        <v>449211.3792</v>
      </c>
      <c r="D494" s="15">
        <f>MOD(ROW()-2, amortYears)+1</f>
        <v>37</v>
      </c>
      <c r="E494" s="15">
        <f t="shared" si="1"/>
        <v>88</v>
      </c>
      <c r="F494" s="15">
        <f t="shared" si="2"/>
        <v>0</v>
      </c>
      <c r="G494" s="15">
        <f>IF(D494&lt;=mortTerm, -PMT(mortRate/12, mortTerm*12, C494)*12, 0)
</f>
        <v>0</v>
      </c>
      <c r="H494" s="15">
        <f>IF(D494&lt;=mortTerm, G494 - I494, 0)
</f>
        <v>0</v>
      </c>
      <c r="I494" s="15">
        <f>IF(D494&lt;=mortTerm, F494 - J494, 0)
</f>
        <v>0</v>
      </c>
      <c r="J494" s="15">
        <f>IF(D494&lt;=mortTerm,
   F494*(1+mortRate/12)^12 - (-PMT(mortRate/12, mortTerm*12, C494))*(((1+mortRate/12)^12 - 1)/(mortRate/12)),
   0
)
</f>
        <v>0</v>
      </c>
      <c r="K494" s="13">
        <f>IFERROR(__xludf.DUMMYFUNCTION("IF(A494="""","""",
   IF(F494&gt;0,
      INDEX(FILTER('RE Portfolio'!L$2:L2000,'RE Portfolio'!D$2:D2000=""BUY""), INT((ROW()-2)/amortYears)+1) - G494,
      INDEX(FILTER('RE Portfolio'!L$2:L2000,'RE Portfolio'!D$2:D2000=""BUY""), INT((ROW()-2)/amortYears)+1"&amp;")
   )
)
"),44561.76881866077)</f>
        <v>44561.76882</v>
      </c>
      <c r="L494" s="15">
        <f>IFERROR(__xludf.DUMMYFUNCTION("IF(A494="""","""",
  INDEX(FILTER('RE Portfolio'!C$2:C2000,'RE Portfolio'!D$2:D2000=""BUY""), INT((ROW()-2)/amortYears)+1)
  * (1 + VALUE(Assumptions!$B$11))^(D494-1)
)
"),2458044.2704012305)</f>
        <v>2458044.27</v>
      </c>
    </row>
    <row r="495">
      <c r="A495" s="15">
        <f>IFERROR(__xludf.DUMMYFUNCTION("IFERROR(INDEX(FILTER('RE Portfolio'!A$2:A2000,'RE Portfolio'!D$2:D2000=""BUY""), INT((ROW()-2)/amortYears)+1), )
"),13.0)</f>
        <v>13</v>
      </c>
      <c r="B495" s="15">
        <f>IFERROR(__xludf.DUMMYFUNCTION("IFERROR(INDEX(FILTER('RE Portfolio'!B$2:B2000,'RE Portfolio'!D$2:D2000=""BUY""), INT((ROW()-2)/amortYears)+1), )
"),52.0)</f>
        <v>52</v>
      </c>
      <c r="C495" s="15">
        <f>IFERROR(__xludf.DUMMYFUNCTION("IFERROR(INDEX(FILTER('RE Portfolio'!G$2:G2000,'RE Portfolio'!D$2:D2000=""BUY""), INT((ROW()-2)/amortYears)+1), )
"),449211.37922037067)</f>
        <v>449211.3792</v>
      </c>
      <c r="D495" s="15">
        <f>MOD(ROW()-2, amortYears)+1</f>
        <v>38</v>
      </c>
      <c r="E495" s="15">
        <f t="shared" si="1"/>
        <v>89</v>
      </c>
      <c r="F495" s="15">
        <f t="shared" si="2"/>
        <v>0</v>
      </c>
      <c r="G495" s="15">
        <f>IF(D495&lt;=mortTerm, -PMT(mortRate/12, mortTerm*12, C495)*12, 0)
</f>
        <v>0</v>
      </c>
      <c r="H495" s="15">
        <f>IF(D495&lt;=mortTerm, G495 - I495, 0)
</f>
        <v>0</v>
      </c>
      <c r="I495" s="15">
        <f>IF(D495&lt;=mortTerm, F495 - J495, 0)
</f>
        <v>0</v>
      </c>
      <c r="J495" s="15">
        <f>IF(D495&lt;=mortTerm,
   F495*(1+mortRate/12)^12 - (-PMT(mortRate/12, mortTerm*12, C495))*(((1+mortRate/12)^12 - 1)/(mortRate/12)),
   0
)
</f>
        <v>0</v>
      </c>
      <c r="K495" s="13">
        <f>IFERROR(__xludf.DUMMYFUNCTION("IF(A495="""","""",
   IF(F495&gt;0,
      INDEX(FILTER('RE Portfolio'!L$2:L2000,'RE Portfolio'!D$2:D2000=""BUY""), INT((ROW()-2)/amortYears)+1) - G495,
      INDEX(FILTER('RE Portfolio'!L$2:L2000,'RE Portfolio'!D$2:D2000=""BUY""), INT((ROW()-2)/amortYears)+1"&amp;")
   )
)
"),44561.76881866077)</f>
        <v>44561.76882</v>
      </c>
      <c r="L495" s="15">
        <f>IFERROR(__xludf.DUMMYFUNCTION("IF(A495="""","""",
  INDEX(FILTER('RE Portfolio'!C$2:C2000,'RE Portfolio'!D$2:D2000=""BUY""), INT((ROW()-2)/amortYears)+1)
  * (1 + VALUE(Assumptions!$B$11))^(D495-1)
)
"),2556366.041217279)</f>
        <v>2556366.041</v>
      </c>
    </row>
    <row r="496">
      <c r="A496" s="15">
        <f>IFERROR(__xludf.DUMMYFUNCTION("IFERROR(INDEX(FILTER('RE Portfolio'!A$2:A2000,'RE Portfolio'!D$2:D2000=""BUY""), INT((ROW()-2)/amortYears)+1), )
"),14.0)</f>
        <v>14</v>
      </c>
      <c r="B496" s="15">
        <f>IFERROR(__xludf.DUMMYFUNCTION("IFERROR(INDEX(FILTER('RE Portfolio'!B$2:B2000,'RE Portfolio'!D$2:D2000=""BUY""), INT((ROW()-2)/amortYears)+1), )
"),54.0)</f>
        <v>54</v>
      </c>
      <c r="C496" s="15">
        <f>IFERROR(__xludf.DUMMYFUNCTION("IFERROR(INDEX(FILTER('RE Portfolio'!G$2:G2000,'RE Portfolio'!D$2:D2000=""BUY""), INT((ROW()-2)/amortYears)+1), )
"),471952.7052934018)</f>
        <v>471952.7053</v>
      </c>
      <c r="D496" s="15">
        <f>MOD(ROW()-2, amortYears)+1</f>
        <v>1</v>
      </c>
      <c r="E496" s="15">
        <f t="shared" si="1"/>
        <v>54</v>
      </c>
      <c r="F496" s="15">
        <f t="shared" si="2"/>
        <v>471952.7053</v>
      </c>
      <c r="G496" s="16">
        <f>IF(D496&lt;=mortTerm, -PMT(mortRate/12, mortTerm*12, C496)*12, 0)
</f>
        <v>35796.74563</v>
      </c>
      <c r="H496" s="16">
        <f>IF(D496&lt;=mortTerm, G496 - I496, 0)
</f>
        <v>30521.61005</v>
      </c>
      <c r="I496" s="16">
        <f>IF(D496&lt;=mortTerm, F496 - J496, 0)
</f>
        <v>5275.135589</v>
      </c>
      <c r="J496" s="16">
        <f>IF(D496&lt;=mortTerm,
   F496*(1+mortRate/12)^12 - (-PMT(mortRate/12, mortTerm*12, C496))*(((1+mortRate/12)^12 - 1)/(mortRate/12)),
   0
)
</f>
        <v>466677.5697</v>
      </c>
      <c r="K496" s="13">
        <f>IFERROR(__xludf.DUMMYFUNCTION("IF(A496="""","""",
   IF(F496&gt;0,
      INDEX(FILTER('RE Portfolio'!L$2:L2000,'RE Portfolio'!D$2:D2000=""BUY""), INT((ROW()-2)/amortYears)+1) - G496,
      INDEX(FILTER('RE Portfolio'!L$2:L2000,'RE Portfolio'!D$2:D2000=""BUY""), INT((ROW()-2)/amortYears)+1"&amp;")
   )
)
"),11020.962731070438)</f>
        <v>11020.96273</v>
      </c>
      <c r="L496" s="15">
        <f>IFERROR(__xludf.DUMMYFUNCTION("IF(A496="""","""",
  INDEX(FILTER('RE Portfolio'!C$2:C2000,'RE Portfolio'!D$2:D2000=""BUY""), INT((ROW()-2)/amortYears)+1)
  * (1 + VALUE(Assumptions!$B$11))^(D496-1)
)
"),629270.2737245357)</f>
        <v>629270.2737</v>
      </c>
    </row>
    <row r="497">
      <c r="A497" s="15">
        <f>IFERROR(__xludf.DUMMYFUNCTION("IFERROR(INDEX(FILTER('RE Portfolio'!A$2:A2000,'RE Portfolio'!D$2:D2000=""BUY""), INT((ROW()-2)/amortYears)+1), )
"),14.0)</f>
        <v>14</v>
      </c>
      <c r="B497" s="15">
        <f>IFERROR(__xludf.DUMMYFUNCTION("IFERROR(INDEX(FILTER('RE Portfolio'!B$2:B2000,'RE Portfolio'!D$2:D2000=""BUY""), INT((ROW()-2)/amortYears)+1), )
"),54.0)</f>
        <v>54</v>
      </c>
      <c r="C497" s="15">
        <f>IFERROR(__xludf.DUMMYFUNCTION("IFERROR(INDEX(FILTER('RE Portfolio'!G$2:G2000,'RE Portfolio'!D$2:D2000=""BUY""), INT((ROW()-2)/amortYears)+1), )
"),471952.7052934018)</f>
        <v>471952.7053</v>
      </c>
      <c r="D497" s="15">
        <f>MOD(ROW()-2, amortYears)+1</f>
        <v>2</v>
      </c>
      <c r="E497" s="15">
        <f t="shared" si="1"/>
        <v>55</v>
      </c>
      <c r="F497" s="16">
        <f t="shared" si="2"/>
        <v>466677.5697</v>
      </c>
      <c r="G497" s="16">
        <f>IF(D497&lt;=mortTerm, -PMT(mortRate/12, mortTerm*12, C497)*12, 0)
</f>
        <v>35796.74563</v>
      </c>
      <c r="H497" s="16">
        <f>IF(D497&lt;=mortTerm, G497 - I497, 0)
</f>
        <v>30168.32445</v>
      </c>
      <c r="I497" s="16">
        <f>IF(D497&lt;=mortTerm, F497 - J497, 0)
</f>
        <v>5628.421188</v>
      </c>
      <c r="J497" s="16">
        <f>IF(D497&lt;=mortTerm,
   F497*(1+mortRate/12)^12 - (-PMT(mortRate/12, mortTerm*12, C497))*(((1+mortRate/12)^12 - 1)/(mortRate/12)),
   0
)
</f>
        <v>461049.1485</v>
      </c>
      <c r="K497" s="13">
        <f>IFERROR(__xludf.DUMMYFUNCTION("IF(A497="""","""",
   IF(F497&gt;0,
      INDEX(FILTER('RE Portfolio'!L$2:L2000,'RE Portfolio'!D$2:D2000=""BUY""), INT((ROW()-2)/amortYears)+1) - G497,
      INDEX(FILTER('RE Portfolio'!L$2:L2000,'RE Portfolio'!D$2:D2000=""BUY""), INT((ROW()-2)/amortYears)+1"&amp;")
   )
)
"),11020.962731070438)</f>
        <v>11020.96273</v>
      </c>
      <c r="L497" s="15">
        <f>IFERROR(__xludf.DUMMYFUNCTION("IF(A497="""","""",
  INDEX(FILTER('RE Portfolio'!C$2:C2000,'RE Portfolio'!D$2:D2000=""BUY""), INT((ROW()-2)/amortYears)+1)
  * (1 + VALUE(Assumptions!$B$11))^(D497-1)
)
"),654441.0846735172)</f>
        <v>654441.0847</v>
      </c>
    </row>
    <row r="498">
      <c r="A498" s="15">
        <f>IFERROR(__xludf.DUMMYFUNCTION("IFERROR(INDEX(FILTER('RE Portfolio'!A$2:A2000,'RE Portfolio'!D$2:D2000=""BUY""), INT((ROW()-2)/amortYears)+1), )
"),14.0)</f>
        <v>14</v>
      </c>
      <c r="B498" s="15">
        <f>IFERROR(__xludf.DUMMYFUNCTION("IFERROR(INDEX(FILTER('RE Portfolio'!B$2:B2000,'RE Portfolio'!D$2:D2000=""BUY""), INT((ROW()-2)/amortYears)+1), )
"),54.0)</f>
        <v>54</v>
      </c>
      <c r="C498" s="15">
        <f>IFERROR(__xludf.DUMMYFUNCTION("IFERROR(INDEX(FILTER('RE Portfolio'!G$2:G2000,'RE Portfolio'!D$2:D2000=""BUY""), INT((ROW()-2)/amortYears)+1), )
"),471952.7052934018)</f>
        <v>471952.7053</v>
      </c>
      <c r="D498" s="15">
        <f>MOD(ROW()-2, amortYears)+1</f>
        <v>3</v>
      </c>
      <c r="E498" s="15">
        <f t="shared" si="1"/>
        <v>56</v>
      </c>
      <c r="F498" s="16">
        <f t="shared" si="2"/>
        <v>461049.1485</v>
      </c>
      <c r="G498" s="16">
        <f>IF(D498&lt;=mortTerm, -PMT(mortRate/12, mortTerm*12, C498)*12, 0)
</f>
        <v>35796.74563</v>
      </c>
      <c r="H498" s="16">
        <f>IF(D498&lt;=mortTerm, G498 - I498, 0)
</f>
        <v>29791.37865</v>
      </c>
      <c r="I498" s="16">
        <f>IF(D498&lt;=mortTerm, F498 - J498, 0)
</f>
        <v>6005.366979</v>
      </c>
      <c r="J498" s="16">
        <f>IF(D498&lt;=mortTerm,
   F498*(1+mortRate/12)^12 - (-PMT(mortRate/12, mortTerm*12, C498))*(((1+mortRate/12)^12 - 1)/(mortRate/12)),
   0
)
</f>
        <v>455043.7815</v>
      </c>
      <c r="K498" s="13">
        <f>IFERROR(__xludf.DUMMYFUNCTION("IF(A498="""","""",
   IF(F498&gt;0,
      INDEX(FILTER('RE Portfolio'!L$2:L2000,'RE Portfolio'!D$2:D2000=""BUY""), INT((ROW()-2)/amortYears)+1) - G498,
      INDEX(FILTER('RE Portfolio'!L$2:L2000,'RE Portfolio'!D$2:D2000=""BUY""), INT((ROW()-2)/amortYears)+1"&amp;")
   )
)
"),11020.962731070438)</f>
        <v>11020.96273</v>
      </c>
      <c r="L498" s="15">
        <f>IFERROR(__xludf.DUMMYFUNCTION("IF(A498="""","""",
  INDEX(FILTER('RE Portfolio'!C$2:C2000,'RE Portfolio'!D$2:D2000=""BUY""), INT((ROW()-2)/amortYears)+1)
  * (1 + VALUE(Assumptions!$B$11))^(D498-1)
)
"),680618.7280604579)</f>
        <v>680618.7281</v>
      </c>
    </row>
    <row r="499">
      <c r="A499" s="15">
        <f>IFERROR(__xludf.DUMMYFUNCTION("IFERROR(INDEX(FILTER('RE Portfolio'!A$2:A2000,'RE Portfolio'!D$2:D2000=""BUY""), INT((ROW()-2)/amortYears)+1), )
"),14.0)</f>
        <v>14</v>
      </c>
      <c r="B499" s="15">
        <f>IFERROR(__xludf.DUMMYFUNCTION("IFERROR(INDEX(FILTER('RE Portfolio'!B$2:B2000,'RE Portfolio'!D$2:D2000=""BUY""), INT((ROW()-2)/amortYears)+1), )
"),54.0)</f>
        <v>54</v>
      </c>
      <c r="C499" s="15">
        <f>IFERROR(__xludf.DUMMYFUNCTION("IFERROR(INDEX(FILTER('RE Portfolio'!G$2:G2000,'RE Portfolio'!D$2:D2000=""BUY""), INT((ROW()-2)/amortYears)+1), )
"),471952.7052934018)</f>
        <v>471952.7053</v>
      </c>
      <c r="D499" s="15">
        <f>MOD(ROW()-2, amortYears)+1</f>
        <v>4</v>
      </c>
      <c r="E499" s="15">
        <f t="shared" si="1"/>
        <v>57</v>
      </c>
      <c r="F499" s="16">
        <f t="shared" si="2"/>
        <v>455043.7815</v>
      </c>
      <c r="G499" s="16">
        <f>IF(D499&lt;=mortTerm, -PMT(mortRate/12, mortTerm*12, C499)*12, 0)
</f>
        <v>35796.74563</v>
      </c>
      <c r="H499" s="16">
        <f>IF(D499&lt;=mortTerm, G499 - I499, 0)
</f>
        <v>29389.18811</v>
      </c>
      <c r="I499" s="16">
        <f>IF(D499&lt;=mortTerm, F499 - J499, 0)
</f>
        <v>6407.557528</v>
      </c>
      <c r="J499" s="16">
        <f>IF(D499&lt;=mortTerm,
   F499*(1+mortRate/12)^12 - (-PMT(mortRate/12, mortTerm*12, C499))*(((1+mortRate/12)^12 - 1)/(mortRate/12)),
   0
)
</f>
        <v>448636.224</v>
      </c>
      <c r="K499" s="13">
        <f>IFERROR(__xludf.DUMMYFUNCTION("IF(A499="""","""",
   IF(F499&gt;0,
      INDEX(FILTER('RE Portfolio'!L$2:L2000,'RE Portfolio'!D$2:D2000=""BUY""), INT((ROW()-2)/amortYears)+1) - G499,
      INDEX(FILTER('RE Portfolio'!L$2:L2000,'RE Portfolio'!D$2:D2000=""BUY""), INT((ROW()-2)/amortYears)+1"&amp;")
   )
)
"),11020.962731070438)</f>
        <v>11020.96273</v>
      </c>
      <c r="L499" s="15">
        <f>IFERROR(__xludf.DUMMYFUNCTION("IF(A499="""","""",
  INDEX(FILTER('RE Portfolio'!C$2:C2000,'RE Portfolio'!D$2:D2000=""BUY""), INT((ROW()-2)/amortYears)+1)
  * (1 + VALUE(Assumptions!$B$11))^(D499-1)
)
"),707843.4771828762)</f>
        <v>707843.4772</v>
      </c>
    </row>
    <row r="500">
      <c r="A500" s="15">
        <f>IFERROR(__xludf.DUMMYFUNCTION("IFERROR(INDEX(FILTER('RE Portfolio'!A$2:A2000,'RE Portfolio'!D$2:D2000=""BUY""), INT((ROW()-2)/amortYears)+1), )
"),14.0)</f>
        <v>14</v>
      </c>
      <c r="B500" s="15">
        <f>IFERROR(__xludf.DUMMYFUNCTION("IFERROR(INDEX(FILTER('RE Portfolio'!B$2:B2000,'RE Portfolio'!D$2:D2000=""BUY""), INT((ROW()-2)/amortYears)+1), )
"),54.0)</f>
        <v>54</v>
      </c>
      <c r="C500" s="15">
        <f>IFERROR(__xludf.DUMMYFUNCTION("IFERROR(INDEX(FILTER('RE Portfolio'!G$2:G2000,'RE Portfolio'!D$2:D2000=""BUY""), INT((ROW()-2)/amortYears)+1), )
"),471952.7052934018)</f>
        <v>471952.7053</v>
      </c>
      <c r="D500" s="15">
        <f>MOD(ROW()-2, amortYears)+1</f>
        <v>5</v>
      </c>
      <c r="E500" s="15">
        <f t="shared" si="1"/>
        <v>58</v>
      </c>
      <c r="F500" s="16">
        <f t="shared" si="2"/>
        <v>448636.224</v>
      </c>
      <c r="G500" s="16">
        <f>IF(D500&lt;=mortTerm, -PMT(mortRate/12, mortTerm*12, C500)*12, 0)
</f>
        <v>35796.74563</v>
      </c>
      <c r="H500" s="16">
        <f>IF(D500&lt;=mortTerm, G500 - I500, 0)
</f>
        <v>28960.06211</v>
      </c>
      <c r="I500" s="16">
        <f>IF(D500&lt;=mortTerm, F500 - J500, 0)
</f>
        <v>6836.683522</v>
      </c>
      <c r="J500" s="16">
        <f>IF(D500&lt;=mortTerm,
   F500*(1+mortRate/12)^12 - (-PMT(mortRate/12, mortTerm*12, C500))*(((1+mortRate/12)^12 - 1)/(mortRate/12)),
   0
)
</f>
        <v>441799.5405</v>
      </c>
      <c r="K500" s="13">
        <f>IFERROR(__xludf.DUMMYFUNCTION("IF(A500="""","""",
   IF(F500&gt;0,
      INDEX(FILTER('RE Portfolio'!L$2:L2000,'RE Portfolio'!D$2:D2000=""BUY""), INT((ROW()-2)/amortYears)+1) - G500,
      INDEX(FILTER('RE Portfolio'!L$2:L2000,'RE Portfolio'!D$2:D2000=""BUY""), INT((ROW()-2)/amortYears)+1"&amp;")
   )
)
"),11020.962731070438)</f>
        <v>11020.96273</v>
      </c>
      <c r="L500" s="15">
        <f>IFERROR(__xludf.DUMMYFUNCTION("IF(A500="""","""",
  INDEX(FILTER('RE Portfolio'!C$2:C2000,'RE Portfolio'!D$2:D2000=""BUY""), INT((ROW()-2)/amortYears)+1)
  * (1 + VALUE(Assumptions!$B$11))^(D500-1)
)
"),736157.2162701914)</f>
        <v>736157.2163</v>
      </c>
    </row>
    <row r="501">
      <c r="A501" s="15">
        <f>IFERROR(__xludf.DUMMYFUNCTION("IFERROR(INDEX(FILTER('RE Portfolio'!A$2:A2000,'RE Portfolio'!D$2:D2000=""BUY""), INT((ROW()-2)/amortYears)+1), )
"),14.0)</f>
        <v>14</v>
      </c>
      <c r="B501" s="15">
        <f>IFERROR(__xludf.DUMMYFUNCTION("IFERROR(INDEX(FILTER('RE Portfolio'!B$2:B2000,'RE Portfolio'!D$2:D2000=""BUY""), INT((ROW()-2)/amortYears)+1), )
"),54.0)</f>
        <v>54</v>
      </c>
      <c r="C501" s="15">
        <f>IFERROR(__xludf.DUMMYFUNCTION("IFERROR(INDEX(FILTER('RE Portfolio'!G$2:G2000,'RE Portfolio'!D$2:D2000=""BUY""), INT((ROW()-2)/amortYears)+1), )
"),471952.7052934018)</f>
        <v>471952.7053</v>
      </c>
      <c r="D501" s="15">
        <f>MOD(ROW()-2, amortYears)+1</f>
        <v>6</v>
      </c>
      <c r="E501" s="15">
        <f t="shared" si="1"/>
        <v>59</v>
      </c>
      <c r="F501" s="16">
        <f t="shared" si="2"/>
        <v>441799.5405</v>
      </c>
      <c r="G501" s="16">
        <f>IF(D501&lt;=mortTerm, -PMT(mortRate/12, mortTerm*12, C501)*12, 0)
</f>
        <v>35796.74563</v>
      </c>
      <c r="H501" s="16">
        <f>IF(D501&lt;=mortTerm, G501 - I501, 0)
</f>
        <v>28502.19675</v>
      </c>
      <c r="I501" s="16">
        <f>IF(D501&lt;=mortTerm, F501 - J501, 0)
</f>
        <v>7294.548879</v>
      </c>
      <c r="J501" s="16">
        <f>IF(D501&lt;=mortTerm,
   F501*(1+mortRate/12)^12 - (-PMT(mortRate/12, mortTerm*12, C501))*(((1+mortRate/12)^12 - 1)/(mortRate/12)),
   0
)
</f>
        <v>434504.9916</v>
      </c>
      <c r="K501" s="13">
        <f>IFERROR(__xludf.DUMMYFUNCTION("IF(A501="""","""",
   IF(F501&gt;0,
      INDEX(FILTER('RE Portfolio'!L$2:L2000,'RE Portfolio'!D$2:D2000=""BUY""), INT((ROW()-2)/amortYears)+1) - G501,
      INDEX(FILTER('RE Portfolio'!L$2:L2000,'RE Portfolio'!D$2:D2000=""BUY""), INT((ROW()-2)/amortYears)+1"&amp;")
   )
)
"),11020.962731070438)</f>
        <v>11020.96273</v>
      </c>
      <c r="L501" s="15">
        <f>IFERROR(__xludf.DUMMYFUNCTION("IF(A501="""","""",
  INDEX(FILTER('RE Portfolio'!C$2:C2000,'RE Portfolio'!D$2:D2000=""BUY""), INT((ROW()-2)/amortYears)+1)
  * (1 + VALUE(Assumptions!$B$11))^(D501-1)
)
"),765603.5049209989)</f>
        <v>765603.5049</v>
      </c>
    </row>
    <row r="502">
      <c r="A502" s="15">
        <f>IFERROR(__xludf.DUMMYFUNCTION("IFERROR(INDEX(FILTER('RE Portfolio'!A$2:A2000,'RE Portfolio'!D$2:D2000=""BUY""), INT((ROW()-2)/amortYears)+1), )
"),14.0)</f>
        <v>14</v>
      </c>
      <c r="B502" s="15">
        <f>IFERROR(__xludf.DUMMYFUNCTION("IFERROR(INDEX(FILTER('RE Portfolio'!B$2:B2000,'RE Portfolio'!D$2:D2000=""BUY""), INT((ROW()-2)/amortYears)+1), )
"),54.0)</f>
        <v>54</v>
      </c>
      <c r="C502" s="15">
        <f>IFERROR(__xludf.DUMMYFUNCTION("IFERROR(INDEX(FILTER('RE Portfolio'!G$2:G2000,'RE Portfolio'!D$2:D2000=""BUY""), INT((ROW()-2)/amortYears)+1), )
"),471952.7052934018)</f>
        <v>471952.7053</v>
      </c>
      <c r="D502" s="15">
        <f>MOD(ROW()-2, amortYears)+1</f>
        <v>7</v>
      </c>
      <c r="E502" s="15">
        <f t="shared" si="1"/>
        <v>60</v>
      </c>
      <c r="F502" s="16">
        <f t="shared" si="2"/>
        <v>434504.9916</v>
      </c>
      <c r="G502" s="16">
        <f>IF(D502&lt;=mortTerm, -PMT(mortRate/12, mortTerm*12, C502)*12, 0)
</f>
        <v>35796.74563</v>
      </c>
      <c r="H502" s="16">
        <f>IF(D502&lt;=mortTerm, G502 - I502, 0)
</f>
        <v>28013.66731</v>
      </c>
      <c r="I502" s="16">
        <f>IF(D502&lt;=mortTerm, F502 - J502, 0)
</f>
        <v>7783.078327</v>
      </c>
      <c r="J502" s="16">
        <f>IF(D502&lt;=mortTerm,
   F502*(1+mortRate/12)^12 - (-PMT(mortRate/12, mortTerm*12, C502))*(((1+mortRate/12)^12 - 1)/(mortRate/12)),
   0
)
</f>
        <v>426721.9133</v>
      </c>
      <c r="K502" s="13">
        <f>IFERROR(__xludf.DUMMYFUNCTION("IF(A502="""","""",
   IF(F502&gt;0,
      INDEX(FILTER('RE Portfolio'!L$2:L2000,'RE Portfolio'!D$2:D2000=""BUY""), INT((ROW()-2)/amortYears)+1) - G502,
      INDEX(FILTER('RE Portfolio'!L$2:L2000,'RE Portfolio'!D$2:D2000=""BUY""), INT((ROW()-2)/amortYears)+1"&amp;")
   )
)
"),11020.962731070438)</f>
        <v>11020.96273</v>
      </c>
      <c r="L502" s="15">
        <f>IFERROR(__xludf.DUMMYFUNCTION("IF(A502="""","""",
  INDEX(FILTER('RE Portfolio'!C$2:C2000,'RE Portfolio'!D$2:D2000=""BUY""), INT((ROW()-2)/amortYears)+1)
  * (1 + VALUE(Assumptions!$B$11))^(D502-1)
)
"),796227.645117839)</f>
        <v>796227.6451</v>
      </c>
    </row>
    <row r="503">
      <c r="A503" s="15">
        <f>IFERROR(__xludf.DUMMYFUNCTION("IFERROR(INDEX(FILTER('RE Portfolio'!A$2:A2000,'RE Portfolio'!D$2:D2000=""BUY""), INT((ROW()-2)/amortYears)+1), )
"),14.0)</f>
        <v>14</v>
      </c>
      <c r="B503" s="15">
        <f>IFERROR(__xludf.DUMMYFUNCTION("IFERROR(INDEX(FILTER('RE Portfolio'!B$2:B2000,'RE Portfolio'!D$2:D2000=""BUY""), INT((ROW()-2)/amortYears)+1), )
"),54.0)</f>
        <v>54</v>
      </c>
      <c r="C503" s="15">
        <f>IFERROR(__xludf.DUMMYFUNCTION("IFERROR(INDEX(FILTER('RE Portfolio'!G$2:G2000,'RE Portfolio'!D$2:D2000=""BUY""), INT((ROW()-2)/amortYears)+1), )
"),471952.7052934018)</f>
        <v>471952.7053</v>
      </c>
      <c r="D503" s="15">
        <f>MOD(ROW()-2, amortYears)+1</f>
        <v>8</v>
      </c>
      <c r="E503" s="15">
        <f t="shared" si="1"/>
        <v>61</v>
      </c>
      <c r="F503" s="16">
        <f t="shared" si="2"/>
        <v>426721.9133</v>
      </c>
      <c r="G503" s="16">
        <f>IF(D503&lt;=mortTerm, -PMT(mortRate/12, mortTerm*12, C503)*12, 0)
</f>
        <v>35796.74563</v>
      </c>
      <c r="H503" s="16">
        <f>IF(D503&lt;=mortTerm, G503 - I503, 0)
</f>
        <v>27492.42014</v>
      </c>
      <c r="I503" s="16">
        <f>IF(D503&lt;=mortTerm, F503 - J503, 0)
</f>
        <v>8304.325497</v>
      </c>
      <c r="J503" s="16">
        <f>IF(D503&lt;=mortTerm,
   F503*(1+mortRate/12)^12 - (-PMT(mortRate/12, mortTerm*12, C503))*(((1+mortRate/12)^12 - 1)/(mortRate/12)),
   0
)
</f>
        <v>418417.5878</v>
      </c>
      <c r="K503" s="13">
        <f>IFERROR(__xludf.DUMMYFUNCTION("IF(A503="""","""",
   IF(F503&gt;0,
      INDEX(FILTER('RE Portfolio'!L$2:L2000,'RE Portfolio'!D$2:D2000=""BUY""), INT((ROW()-2)/amortYears)+1) - G503,
      INDEX(FILTER('RE Portfolio'!L$2:L2000,'RE Portfolio'!D$2:D2000=""BUY""), INT((ROW()-2)/amortYears)+1"&amp;")
   )
)
"),11020.962731070438)</f>
        <v>11020.96273</v>
      </c>
      <c r="L503" s="15">
        <f>IFERROR(__xludf.DUMMYFUNCTION("IF(A503="""","""",
  INDEX(FILTER('RE Portfolio'!C$2:C2000,'RE Portfolio'!D$2:D2000=""BUY""), INT((ROW()-2)/amortYears)+1)
  * (1 + VALUE(Assumptions!$B$11))^(D503-1)
)
"),828076.7509225525)</f>
        <v>828076.7509</v>
      </c>
    </row>
    <row r="504">
      <c r="A504" s="15">
        <f>IFERROR(__xludf.DUMMYFUNCTION("IFERROR(INDEX(FILTER('RE Portfolio'!A$2:A2000,'RE Portfolio'!D$2:D2000=""BUY""), INT((ROW()-2)/amortYears)+1), )
"),14.0)</f>
        <v>14</v>
      </c>
      <c r="B504" s="15">
        <f>IFERROR(__xludf.DUMMYFUNCTION("IFERROR(INDEX(FILTER('RE Portfolio'!B$2:B2000,'RE Portfolio'!D$2:D2000=""BUY""), INT((ROW()-2)/amortYears)+1), )
"),54.0)</f>
        <v>54</v>
      </c>
      <c r="C504" s="15">
        <f>IFERROR(__xludf.DUMMYFUNCTION("IFERROR(INDEX(FILTER('RE Portfolio'!G$2:G2000,'RE Portfolio'!D$2:D2000=""BUY""), INT((ROW()-2)/amortYears)+1), )
"),471952.7052934018)</f>
        <v>471952.7053</v>
      </c>
      <c r="D504" s="15">
        <f>MOD(ROW()-2, amortYears)+1</f>
        <v>9</v>
      </c>
      <c r="E504" s="15">
        <f t="shared" si="1"/>
        <v>62</v>
      </c>
      <c r="F504" s="16">
        <f t="shared" si="2"/>
        <v>418417.5878</v>
      </c>
      <c r="G504" s="16">
        <f>IF(D504&lt;=mortTerm, -PMT(mortRate/12, mortTerm*12, C504)*12, 0)
</f>
        <v>35796.74563</v>
      </c>
      <c r="H504" s="16">
        <f>IF(D504&lt;=mortTerm, G504 - I504, 0)
</f>
        <v>26936.26408</v>
      </c>
      <c r="I504" s="16">
        <f>IF(D504&lt;=mortTerm, F504 - J504, 0)
</f>
        <v>8860.481555</v>
      </c>
      <c r="J504" s="16">
        <f>IF(D504&lt;=mortTerm,
   F504*(1+mortRate/12)^12 - (-PMT(mortRate/12, mortTerm*12, C504))*(((1+mortRate/12)^12 - 1)/(mortRate/12)),
   0
)
</f>
        <v>409557.1062</v>
      </c>
      <c r="K504" s="13">
        <f>IFERROR(__xludf.DUMMYFUNCTION("IF(A504="""","""",
   IF(F504&gt;0,
      INDEX(FILTER('RE Portfolio'!L$2:L2000,'RE Portfolio'!D$2:D2000=""BUY""), INT((ROW()-2)/amortYears)+1) - G504,
      INDEX(FILTER('RE Portfolio'!L$2:L2000,'RE Portfolio'!D$2:D2000=""BUY""), INT((ROW()-2)/amortYears)+1"&amp;")
   )
)
"),11020.962731070438)</f>
        <v>11020.96273</v>
      </c>
      <c r="L504" s="15">
        <f>IFERROR(__xludf.DUMMYFUNCTION("IF(A504="""","""",
  INDEX(FILTER('RE Portfolio'!C$2:C2000,'RE Portfolio'!D$2:D2000=""BUY""), INT((ROW()-2)/amortYears)+1)
  * (1 + VALUE(Assumptions!$B$11))^(D504-1)
)
"),861199.8209594546)</f>
        <v>861199.821</v>
      </c>
    </row>
    <row r="505">
      <c r="A505" s="15">
        <f>IFERROR(__xludf.DUMMYFUNCTION("IFERROR(INDEX(FILTER('RE Portfolio'!A$2:A2000,'RE Portfolio'!D$2:D2000=""BUY""), INT((ROW()-2)/amortYears)+1), )
"),14.0)</f>
        <v>14</v>
      </c>
      <c r="B505" s="15">
        <f>IFERROR(__xludf.DUMMYFUNCTION("IFERROR(INDEX(FILTER('RE Portfolio'!B$2:B2000,'RE Portfolio'!D$2:D2000=""BUY""), INT((ROW()-2)/amortYears)+1), )
"),54.0)</f>
        <v>54</v>
      </c>
      <c r="C505" s="15">
        <f>IFERROR(__xludf.DUMMYFUNCTION("IFERROR(INDEX(FILTER('RE Portfolio'!G$2:G2000,'RE Portfolio'!D$2:D2000=""BUY""), INT((ROW()-2)/amortYears)+1), )
"),471952.7052934018)</f>
        <v>471952.7053</v>
      </c>
      <c r="D505" s="15">
        <f>MOD(ROW()-2, amortYears)+1</f>
        <v>10</v>
      </c>
      <c r="E505" s="15">
        <f t="shared" si="1"/>
        <v>63</v>
      </c>
      <c r="F505" s="16">
        <f t="shared" si="2"/>
        <v>409557.1062</v>
      </c>
      <c r="G505" s="16">
        <f>IF(D505&lt;=mortTerm, -PMT(mortRate/12, mortTerm*12, C505)*12, 0)
</f>
        <v>35796.74563</v>
      </c>
      <c r="H505" s="16">
        <f>IF(D505&lt;=mortTerm, G505 - I505, 0)
</f>
        <v>26342.86122</v>
      </c>
      <c r="I505" s="16">
        <f>IF(D505&lt;=mortTerm, F505 - J505, 0)
</f>
        <v>9453.884415</v>
      </c>
      <c r="J505" s="16">
        <f>IF(D505&lt;=mortTerm,
   F505*(1+mortRate/12)^12 - (-PMT(mortRate/12, mortTerm*12, C505))*(((1+mortRate/12)^12 - 1)/(mortRate/12)),
   0
)
</f>
        <v>400103.2218</v>
      </c>
      <c r="K505" s="13">
        <f>IFERROR(__xludf.DUMMYFUNCTION("IF(A505="""","""",
   IF(F505&gt;0,
      INDEX(FILTER('RE Portfolio'!L$2:L2000,'RE Portfolio'!D$2:D2000=""BUY""), INT((ROW()-2)/amortYears)+1) - G505,
      INDEX(FILTER('RE Portfolio'!L$2:L2000,'RE Portfolio'!D$2:D2000=""BUY""), INT((ROW()-2)/amortYears)+1"&amp;")
   )
)
"),11020.962731070438)</f>
        <v>11020.96273</v>
      </c>
      <c r="L505" s="15">
        <f>IFERROR(__xludf.DUMMYFUNCTION("IF(A505="""","""",
  INDEX(FILTER('RE Portfolio'!C$2:C2000,'RE Portfolio'!D$2:D2000=""BUY""), INT((ROW()-2)/amortYears)+1)
  * (1 + VALUE(Assumptions!$B$11))^(D505-1)
)
"),895647.8137978329)</f>
        <v>895647.8138</v>
      </c>
    </row>
    <row r="506">
      <c r="A506" s="15">
        <f>IFERROR(__xludf.DUMMYFUNCTION("IFERROR(INDEX(FILTER('RE Portfolio'!A$2:A2000,'RE Portfolio'!D$2:D2000=""BUY""), INT((ROW()-2)/amortYears)+1), )
"),14.0)</f>
        <v>14</v>
      </c>
      <c r="B506" s="15">
        <f>IFERROR(__xludf.DUMMYFUNCTION("IFERROR(INDEX(FILTER('RE Portfolio'!B$2:B2000,'RE Portfolio'!D$2:D2000=""BUY""), INT((ROW()-2)/amortYears)+1), )
"),54.0)</f>
        <v>54</v>
      </c>
      <c r="C506" s="15">
        <f>IFERROR(__xludf.DUMMYFUNCTION("IFERROR(INDEX(FILTER('RE Portfolio'!G$2:G2000,'RE Portfolio'!D$2:D2000=""BUY""), INT((ROW()-2)/amortYears)+1), )
"),471952.7052934018)</f>
        <v>471952.7053</v>
      </c>
      <c r="D506" s="15">
        <f>MOD(ROW()-2, amortYears)+1</f>
        <v>11</v>
      </c>
      <c r="E506" s="15">
        <f t="shared" si="1"/>
        <v>64</v>
      </c>
      <c r="F506" s="16">
        <f t="shared" si="2"/>
        <v>400103.2218</v>
      </c>
      <c r="G506" s="16">
        <f>IF(D506&lt;=mortTerm, -PMT(mortRate/12, mortTerm*12, C506)*12, 0)
</f>
        <v>35796.74563</v>
      </c>
      <c r="H506" s="16">
        <f>IF(D506&lt;=mortTerm, G506 - I506, 0)
</f>
        <v>25709.71707</v>
      </c>
      <c r="I506" s="16">
        <f>IF(D506&lt;=mortTerm, F506 - J506, 0)
</f>
        <v>10087.02856</v>
      </c>
      <c r="J506" s="16">
        <f>IF(D506&lt;=mortTerm,
   F506*(1+mortRate/12)^12 - (-PMT(mortRate/12, mortTerm*12, C506))*(((1+mortRate/12)^12 - 1)/(mortRate/12)),
   0
)
</f>
        <v>390016.1933</v>
      </c>
      <c r="K506" s="13">
        <f>IFERROR(__xludf.DUMMYFUNCTION("IF(A506="""","""",
   IF(F506&gt;0,
      INDEX(FILTER('RE Portfolio'!L$2:L2000,'RE Portfolio'!D$2:D2000=""BUY""), INT((ROW()-2)/amortYears)+1) - G506,
      INDEX(FILTER('RE Portfolio'!L$2:L2000,'RE Portfolio'!D$2:D2000=""BUY""), INT((ROW()-2)/amortYears)+1"&amp;")
   )
)
"),11020.962731070438)</f>
        <v>11020.96273</v>
      </c>
      <c r="L506" s="15">
        <f>IFERROR(__xludf.DUMMYFUNCTION("IF(A506="""","""",
  INDEX(FILTER('RE Portfolio'!C$2:C2000,'RE Portfolio'!D$2:D2000=""BUY""), INT((ROW()-2)/amortYears)+1)
  * (1 + VALUE(Assumptions!$B$11))^(D506-1)
)
"),931473.7263497462)</f>
        <v>931473.7263</v>
      </c>
    </row>
    <row r="507">
      <c r="A507" s="15">
        <f>IFERROR(__xludf.DUMMYFUNCTION("IFERROR(INDEX(FILTER('RE Portfolio'!A$2:A2000,'RE Portfolio'!D$2:D2000=""BUY""), INT((ROW()-2)/amortYears)+1), )
"),14.0)</f>
        <v>14</v>
      </c>
      <c r="B507" s="15">
        <f>IFERROR(__xludf.DUMMYFUNCTION("IFERROR(INDEX(FILTER('RE Portfolio'!B$2:B2000,'RE Portfolio'!D$2:D2000=""BUY""), INT((ROW()-2)/amortYears)+1), )
"),54.0)</f>
        <v>54</v>
      </c>
      <c r="C507" s="15">
        <f>IFERROR(__xludf.DUMMYFUNCTION("IFERROR(INDEX(FILTER('RE Portfolio'!G$2:G2000,'RE Portfolio'!D$2:D2000=""BUY""), INT((ROW()-2)/amortYears)+1), )
"),471952.7052934018)</f>
        <v>471952.7053</v>
      </c>
      <c r="D507" s="15">
        <f>MOD(ROW()-2, amortYears)+1</f>
        <v>12</v>
      </c>
      <c r="E507" s="15">
        <f t="shared" si="1"/>
        <v>65</v>
      </c>
      <c r="F507" s="16">
        <f t="shared" si="2"/>
        <v>390016.1933</v>
      </c>
      <c r="G507" s="16">
        <f>IF(D507&lt;=mortTerm, -PMT(mortRate/12, mortTerm*12, C507)*12, 0)
</f>
        <v>35796.74563</v>
      </c>
      <c r="H507" s="16">
        <f>IF(D507&lt;=mortTerm, G507 - I507, 0)
</f>
        <v>25034.17009</v>
      </c>
      <c r="I507" s="16">
        <f>IF(D507&lt;=mortTerm, F507 - J507, 0)
</f>
        <v>10762.57555</v>
      </c>
      <c r="J507" s="16">
        <f>IF(D507&lt;=mortTerm,
   F507*(1+mortRate/12)^12 - (-PMT(mortRate/12, mortTerm*12, C507))*(((1+mortRate/12)^12 - 1)/(mortRate/12)),
   0
)
</f>
        <v>379253.6177</v>
      </c>
      <c r="K507" s="13">
        <f>IFERROR(__xludf.DUMMYFUNCTION("IF(A507="""","""",
   IF(F507&gt;0,
      INDEX(FILTER('RE Portfolio'!L$2:L2000,'RE Portfolio'!D$2:D2000=""BUY""), INT((ROW()-2)/amortYears)+1) - G507,
      INDEX(FILTER('RE Portfolio'!L$2:L2000,'RE Portfolio'!D$2:D2000=""BUY""), INT((ROW()-2)/amortYears)+1"&amp;")
   )
)
"),11020.962731070438)</f>
        <v>11020.96273</v>
      </c>
      <c r="L507" s="15">
        <f>IFERROR(__xludf.DUMMYFUNCTION("IF(A507="""","""",
  INDEX(FILTER('RE Portfolio'!C$2:C2000,'RE Portfolio'!D$2:D2000=""BUY""), INT((ROW()-2)/amortYears)+1)
  * (1 + VALUE(Assumptions!$B$11))^(D507-1)
)
"),968732.6754037361)</f>
        <v>968732.6754</v>
      </c>
    </row>
    <row r="508">
      <c r="A508" s="15">
        <f>IFERROR(__xludf.DUMMYFUNCTION("IFERROR(INDEX(FILTER('RE Portfolio'!A$2:A2000,'RE Portfolio'!D$2:D2000=""BUY""), INT((ROW()-2)/amortYears)+1), )
"),14.0)</f>
        <v>14</v>
      </c>
      <c r="B508" s="15">
        <f>IFERROR(__xludf.DUMMYFUNCTION("IFERROR(INDEX(FILTER('RE Portfolio'!B$2:B2000,'RE Portfolio'!D$2:D2000=""BUY""), INT((ROW()-2)/amortYears)+1), )
"),54.0)</f>
        <v>54</v>
      </c>
      <c r="C508" s="15">
        <f>IFERROR(__xludf.DUMMYFUNCTION("IFERROR(INDEX(FILTER('RE Portfolio'!G$2:G2000,'RE Portfolio'!D$2:D2000=""BUY""), INT((ROW()-2)/amortYears)+1), )
"),471952.7052934018)</f>
        <v>471952.7053</v>
      </c>
      <c r="D508" s="15">
        <f>MOD(ROW()-2, amortYears)+1</f>
        <v>13</v>
      </c>
      <c r="E508" s="15">
        <f t="shared" si="1"/>
        <v>66</v>
      </c>
      <c r="F508" s="16">
        <f t="shared" si="2"/>
        <v>379253.6177</v>
      </c>
      <c r="G508" s="16">
        <f>IF(D508&lt;=mortTerm, -PMT(mortRate/12, mortTerm*12, C508)*12, 0)
</f>
        <v>35796.74563</v>
      </c>
      <c r="H508" s="16">
        <f>IF(D508&lt;=mortTerm, G508 - I508, 0)
</f>
        <v>24313.38047</v>
      </c>
      <c r="I508" s="16">
        <f>IF(D508&lt;=mortTerm, F508 - J508, 0)
</f>
        <v>11483.36516</v>
      </c>
      <c r="J508" s="16">
        <f>IF(D508&lt;=mortTerm,
   F508*(1+mortRate/12)^12 - (-PMT(mortRate/12, mortTerm*12, C508))*(((1+mortRate/12)^12 - 1)/(mortRate/12)),
   0
)
</f>
        <v>367770.2525</v>
      </c>
      <c r="K508" s="13">
        <f>IFERROR(__xludf.DUMMYFUNCTION("IF(A508="""","""",
   IF(F508&gt;0,
      INDEX(FILTER('RE Portfolio'!L$2:L2000,'RE Portfolio'!D$2:D2000=""BUY""), INT((ROW()-2)/amortYears)+1) - G508,
      INDEX(FILTER('RE Portfolio'!L$2:L2000,'RE Portfolio'!D$2:D2000=""BUY""), INT((ROW()-2)/amortYears)+1"&amp;")
   )
)
"),11020.962731070438)</f>
        <v>11020.96273</v>
      </c>
      <c r="L508" s="15">
        <f>IFERROR(__xludf.DUMMYFUNCTION("IF(A508="""","""",
  INDEX(FILTER('RE Portfolio'!C$2:C2000,'RE Portfolio'!D$2:D2000=""BUY""), INT((ROW()-2)/amortYears)+1)
  * (1 + VALUE(Assumptions!$B$11))^(D508-1)
)
"),1007481.9824198857)</f>
        <v>1007481.982</v>
      </c>
    </row>
    <row r="509">
      <c r="A509" s="15">
        <f>IFERROR(__xludf.DUMMYFUNCTION("IFERROR(INDEX(FILTER('RE Portfolio'!A$2:A2000,'RE Portfolio'!D$2:D2000=""BUY""), INT((ROW()-2)/amortYears)+1), )
"),14.0)</f>
        <v>14</v>
      </c>
      <c r="B509" s="15">
        <f>IFERROR(__xludf.DUMMYFUNCTION("IFERROR(INDEX(FILTER('RE Portfolio'!B$2:B2000,'RE Portfolio'!D$2:D2000=""BUY""), INT((ROW()-2)/amortYears)+1), )
"),54.0)</f>
        <v>54</v>
      </c>
      <c r="C509" s="15">
        <f>IFERROR(__xludf.DUMMYFUNCTION("IFERROR(INDEX(FILTER('RE Portfolio'!G$2:G2000,'RE Portfolio'!D$2:D2000=""BUY""), INT((ROW()-2)/amortYears)+1), )
"),471952.7052934018)</f>
        <v>471952.7053</v>
      </c>
      <c r="D509" s="15">
        <f>MOD(ROW()-2, amortYears)+1</f>
        <v>14</v>
      </c>
      <c r="E509" s="15">
        <f t="shared" si="1"/>
        <v>67</v>
      </c>
      <c r="F509" s="16">
        <f t="shared" si="2"/>
        <v>367770.2525</v>
      </c>
      <c r="G509" s="16">
        <f>IF(D509&lt;=mortTerm, -PMT(mortRate/12, mortTerm*12, C509)*12, 0)
</f>
        <v>35796.74563</v>
      </c>
      <c r="H509" s="16">
        <f>IF(D509&lt;=mortTerm, G509 - I509, 0)
</f>
        <v>23544.31824</v>
      </c>
      <c r="I509" s="16">
        <f>IF(D509&lt;=mortTerm, F509 - J509, 0)
</f>
        <v>12252.4274</v>
      </c>
      <c r="J509" s="16">
        <f>IF(D509&lt;=mortTerm,
   F509*(1+mortRate/12)^12 - (-PMT(mortRate/12, mortTerm*12, C509))*(((1+mortRate/12)^12 - 1)/(mortRate/12)),
   0
)
</f>
        <v>355517.8251</v>
      </c>
      <c r="K509" s="13">
        <f>IFERROR(__xludf.DUMMYFUNCTION("IF(A509="""","""",
   IF(F509&gt;0,
      INDEX(FILTER('RE Portfolio'!L$2:L2000,'RE Portfolio'!D$2:D2000=""BUY""), INT((ROW()-2)/amortYears)+1) - G509,
      INDEX(FILTER('RE Portfolio'!L$2:L2000,'RE Portfolio'!D$2:D2000=""BUY""), INT((ROW()-2)/amortYears)+1"&amp;")
   )
)
"),11020.962731070438)</f>
        <v>11020.96273</v>
      </c>
      <c r="L509" s="15">
        <f>IFERROR(__xludf.DUMMYFUNCTION("IF(A509="""","""",
  INDEX(FILTER('RE Portfolio'!C$2:C2000,'RE Portfolio'!D$2:D2000=""BUY""), INT((ROW()-2)/amortYears)+1)
  * (1 + VALUE(Assumptions!$B$11))^(D509-1)
)
"),1047781.2617166811)</f>
        <v>1047781.262</v>
      </c>
    </row>
    <row r="510">
      <c r="A510" s="15">
        <f>IFERROR(__xludf.DUMMYFUNCTION("IFERROR(INDEX(FILTER('RE Portfolio'!A$2:A2000,'RE Portfolio'!D$2:D2000=""BUY""), INT((ROW()-2)/amortYears)+1), )
"),14.0)</f>
        <v>14</v>
      </c>
      <c r="B510" s="15">
        <f>IFERROR(__xludf.DUMMYFUNCTION("IFERROR(INDEX(FILTER('RE Portfolio'!B$2:B2000,'RE Portfolio'!D$2:D2000=""BUY""), INT((ROW()-2)/amortYears)+1), )
"),54.0)</f>
        <v>54</v>
      </c>
      <c r="C510" s="15">
        <f>IFERROR(__xludf.DUMMYFUNCTION("IFERROR(INDEX(FILTER('RE Portfolio'!G$2:G2000,'RE Portfolio'!D$2:D2000=""BUY""), INT((ROW()-2)/amortYears)+1), )
"),471952.7052934018)</f>
        <v>471952.7053</v>
      </c>
      <c r="D510" s="15">
        <f>MOD(ROW()-2, amortYears)+1</f>
        <v>15</v>
      </c>
      <c r="E510" s="15">
        <f t="shared" si="1"/>
        <v>68</v>
      </c>
      <c r="F510" s="16">
        <f t="shared" si="2"/>
        <v>355517.8251</v>
      </c>
      <c r="G510" s="16">
        <f>IF(D510&lt;=mortTerm, -PMT(mortRate/12, mortTerm*12, C510)*12, 0)
</f>
        <v>35796.74563</v>
      </c>
      <c r="H510" s="16">
        <f>IF(D510&lt;=mortTerm, G510 - I510, 0)
</f>
        <v>22723.75048</v>
      </c>
      <c r="I510" s="16">
        <f>IF(D510&lt;=mortTerm, F510 - J510, 0)
</f>
        <v>13072.99515</v>
      </c>
      <c r="J510" s="16">
        <f>IF(D510&lt;=mortTerm,
   F510*(1+mortRate/12)^12 - (-PMT(mortRate/12, mortTerm*12, C510))*(((1+mortRate/12)^12 - 1)/(mortRate/12)),
   0
)
</f>
        <v>342444.83</v>
      </c>
      <c r="K510" s="13">
        <f>IFERROR(__xludf.DUMMYFUNCTION("IF(A510="""","""",
   IF(F510&gt;0,
      INDEX(FILTER('RE Portfolio'!L$2:L2000,'RE Portfolio'!D$2:D2000=""BUY""), INT((ROW()-2)/amortYears)+1) - G510,
      INDEX(FILTER('RE Portfolio'!L$2:L2000,'RE Portfolio'!D$2:D2000=""BUY""), INT((ROW()-2)/amortYears)+1"&amp;")
   )
)
"),11020.962731070438)</f>
        <v>11020.96273</v>
      </c>
      <c r="L510" s="15">
        <f>IFERROR(__xludf.DUMMYFUNCTION("IF(A510="""","""",
  INDEX(FILTER('RE Portfolio'!C$2:C2000,'RE Portfolio'!D$2:D2000=""BUY""), INT((ROW()-2)/amortYears)+1)
  * (1 + VALUE(Assumptions!$B$11))^(D510-1)
)
"),1089692.5121853484)</f>
        <v>1089692.512</v>
      </c>
    </row>
    <row r="511">
      <c r="A511" s="15">
        <f>IFERROR(__xludf.DUMMYFUNCTION("IFERROR(INDEX(FILTER('RE Portfolio'!A$2:A2000,'RE Portfolio'!D$2:D2000=""BUY""), INT((ROW()-2)/amortYears)+1), )
"),14.0)</f>
        <v>14</v>
      </c>
      <c r="B511" s="15">
        <f>IFERROR(__xludf.DUMMYFUNCTION("IFERROR(INDEX(FILTER('RE Portfolio'!B$2:B2000,'RE Portfolio'!D$2:D2000=""BUY""), INT((ROW()-2)/amortYears)+1), )
"),54.0)</f>
        <v>54</v>
      </c>
      <c r="C511" s="15">
        <f>IFERROR(__xludf.DUMMYFUNCTION("IFERROR(INDEX(FILTER('RE Portfolio'!G$2:G2000,'RE Portfolio'!D$2:D2000=""BUY""), INT((ROW()-2)/amortYears)+1), )
"),471952.7052934018)</f>
        <v>471952.7053</v>
      </c>
      <c r="D511" s="15">
        <f>MOD(ROW()-2, amortYears)+1</f>
        <v>16</v>
      </c>
      <c r="E511" s="15">
        <f t="shared" si="1"/>
        <v>69</v>
      </c>
      <c r="F511" s="16">
        <f t="shared" si="2"/>
        <v>342444.83</v>
      </c>
      <c r="G511" s="16">
        <f>IF(D511&lt;=mortTerm, -PMT(mortRate/12, mortTerm*12, C511)*12, 0)
</f>
        <v>35796.74563</v>
      </c>
      <c r="H511" s="16">
        <f>IF(D511&lt;=mortTerm, G511 - I511, 0)
</f>
        <v>21848.22779</v>
      </c>
      <c r="I511" s="16">
        <f>IF(D511&lt;=mortTerm, F511 - J511, 0)
</f>
        <v>13948.51785</v>
      </c>
      <c r="J511" s="16">
        <f>IF(D511&lt;=mortTerm,
   F511*(1+mortRate/12)^12 - (-PMT(mortRate/12, mortTerm*12, C511))*(((1+mortRate/12)^12 - 1)/(mortRate/12)),
   0
)
</f>
        <v>328496.3121</v>
      </c>
      <c r="K511" s="13">
        <f>IFERROR(__xludf.DUMMYFUNCTION("IF(A511="""","""",
   IF(F511&gt;0,
      INDEX(FILTER('RE Portfolio'!L$2:L2000,'RE Portfolio'!D$2:D2000=""BUY""), INT((ROW()-2)/amortYears)+1) - G511,
      INDEX(FILTER('RE Portfolio'!L$2:L2000,'RE Portfolio'!D$2:D2000=""BUY""), INT((ROW()-2)/amortYears)+1"&amp;")
   )
)
"),11020.962731070438)</f>
        <v>11020.96273</v>
      </c>
      <c r="L511" s="15">
        <f>IFERROR(__xludf.DUMMYFUNCTION("IF(A511="""","""",
  INDEX(FILTER('RE Portfolio'!C$2:C2000,'RE Portfolio'!D$2:D2000=""BUY""), INT((ROW()-2)/amortYears)+1)
  * (1 + VALUE(Assumptions!$B$11))^(D511-1)
)
"),1133280.2126727623)</f>
        <v>1133280.213</v>
      </c>
    </row>
    <row r="512">
      <c r="A512" s="15">
        <f>IFERROR(__xludf.DUMMYFUNCTION("IFERROR(INDEX(FILTER('RE Portfolio'!A$2:A2000,'RE Portfolio'!D$2:D2000=""BUY""), INT((ROW()-2)/amortYears)+1), )
"),14.0)</f>
        <v>14</v>
      </c>
      <c r="B512" s="15">
        <f>IFERROR(__xludf.DUMMYFUNCTION("IFERROR(INDEX(FILTER('RE Portfolio'!B$2:B2000,'RE Portfolio'!D$2:D2000=""BUY""), INT((ROW()-2)/amortYears)+1), )
"),54.0)</f>
        <v>54</v>
      </c>
      <c r="C512" s="15">
        <f>IFERROR(__xludf.DUMMYFUNCTION("IFERROR(INDEX(FILTER('RE Portfolio'!G$2:G2000,'RE Portfolio'!D$2:D2000=""BUY""), INT((ROW()-2)/amortYears)+1), )
"),471952.7052934018)</f>
        <v>471952.7053</v>
      </c>
      <c r="D512" s="15">
        <f>MOD(ROW()-2, amortYears)+1</f>
        <v>17</v>
      </c>
      <c r="E512" s="15">
        <f t="shared" si="1"/>
        <v>70</v>
      </c>
      <c r="F512" s="16">
        <f t="shared" si="2"/>
        <v>328496.3121</v>
      </c>
      <c r="G512" s="16">
        <f>IF(D512&lt;=mortTerm, -PMT(mortRate/12, mortTerm*12, C512)*12, 0)
</f>
        <v>35796.74563</v>
      </c>
      <c r="H512" s="16">
        <f>IF(D512&lt;=mortTerm, G512 - I512, 0)
</f>
        <v>20914.06972</v>
      </c>
      <c r="I512" s="16">
        <f>IF(D512&lt;=mortTerm, F512 - J512, 0)
</f>
        <v>14882.67592</v>
      </c>
      <c r="J512" s="16">
        <f>IF(D512&lt;=mortTerm,
   F512*(1+mortRate/12)^12 - (-PMT(mortRate/12, mortTerm*12, C512))*(((1+mortRate/12)^12 - 1)/(mortRate/12)),
   0
)
</f>
        <v>313613.6362</v>
      </c>
      <c r="K512" s="13">
        <f>IFERROR(__xludf.DUMMYFUNCTION("IF(A512="""","""",
   IF(F512&gt;0,
      INDEX(FILTER('RE Portfolio'!L$2:L2000,'RE Portfolio'!D$2:D2000=""BUY""), INT((ROW()-2)/amortYears)+1) - G512,
      INDEX(FILTER('RE Portfolio'!L$2:L2000,'RE Portfolio'!D$2:D2000=""BUY""), INT((ROW()-2)/amortYears)+1"&amp;")
   )
)
"),11020.962731070438)</f>
        <v>11020.96273</v>
      </c>
      <c r="L512" s="15">
        <f>IFERROR(__xludf.DUMMYFUNCTION("IF(A512="""","""",
  INDEX(FILTER('RE Portfolio'!C$2:C2000,'RE Portfolio'!D$2:D2000=""BUY""), INT((ROW()-2)/amortYears)+1)
  * (1 + VALUE(Assumptions!$B$11))^(D512-1)
)
"),1178611.4211796727)</f>
        <v>1178611.421</v>
      </c>
    </row>
    <row r="513">
      <c r="A513" s="15">
        <f>IFERROR(__xludf.DUMMYFUNCTION("IFERROR(INDEX(FILTER('RE Portfolio'!A$2:A2000,'RE Portfolio'!D$2:D2000=""BUY""), INT((ROW()-2)/amortYears)+1), )
"),14.0)</f>
        <v>14</v>
      </c>
      <c r="B513" s="15">
        <f>IFERROR(__xludf.DUMMYFUNCTION("IFERROR(INDEX(FILTER('RE Portfolio'!B$2:B2000,'RE Portfolio'!D$2:D2000=""BUY""), INT((ROW()-2)/amortYears)+1), )
"),54.0)</f>
        <v>54</v>
      </c>
      <c r="C513" s="15">
        <f>IFERROR(__xludf.DUMMYFUNCTION("IFERROR(INDEX(FILTER('RE Portfolio'!G$2:G2000,'RE Portfolio'!D$2:D2000=""BUY""), INT((ROW()-2)/amortYears)+1), )
"),471952.7052934018)</f>
        <v>471952.7053</v>
      </c>
      <c r="D513" s="15">
        <f>MOD(ROW()-2, amortYears)+1</f>
        <v>18</v>
      </c>
      <c r="E513" s="15">
        <f t="shared" si="1"/>
        <v>71</v>
      </c>
      <c r="F513" s="16">
        <f t="shared" si="2"/>
        <v>313613.6362</v>
      </c>
      <c r="G513" s="16">
        <f>IF(D513&lt;=mortTerm, -PMT(mortRate/12, mortTerm*12, C513)*12, 0)
</f>
        <v>35796.74563</v>
      </c>
      <c r="H513" s="16">
        <f>IF(D513&lt;=mortTerm, G513 - I513, 0)
</f>
        <v>19917.34935</v>
      </c>
      <c r="I513" s="16">
        <f>IF(D513&lt;=mortTerm, F513 - J513, 0)
</f>
        <v>15879.39629</v>
      </c>
      <c r="J513" s="16">
        <f>IF(D513&lt;=mortTerm,
   F513*(1+mortRate/12)^12 - (-PMT(mortRate/12, mortTerm*12, C513))*(((1+mortRate/12)^12 - 1)/(mortRate/12)),
   0
)
</f>
        <v>297734.2399</v>
      </c>
      <c r="K513" s="13">
        <f>IFERROR(__xludf.DUMMYFUNCTION("IF(A513="""","""",
   IF(F513&gt;0,
      INDEX(FILTER('RE Portfolio'!L$2:L2000,'RE Portfolio'!D$2:D2000=""BUY""), INT((ROW()-2)/amortYears)+1) - G513,
      INDEX(FILTER('RE Portfolio'!L$2:L2000,'RE Portfolio'!D$2:D2000=""BUY""), INT((ROW()-2)/amortYears)+1"&amp;")
   )
)
"),11020.962731070438)</f>
        <v>11020.96273</v>
      </c>
      <c r="L513" s="15">
        <f>IFERROR(__xludf.DUMMYFUNCTION("IF(A513="""","""",
  INDEX(FILTER('RE Portfolio'!C$2:C2000,'RE Portfolio'!D$2:D2000=""BUY""), INT((ROW()-2)/amortYears)+1)
  * (1 + VALUE(Assumptions!$B$11))^(D513-1)
)
"),1225755.8780268598)</f>
        <v>1225755.878</v>
      </c>
    </row>
    <row r="514">
      <c r="A514" s="15">
        <f>IFERROR(__xludf.DUMMYFUNCTION("IFERROR(INDEX(FILTER('RE Portfolio'!A$2:A2000,'RE Portfolio'!D$2:D2000=""BUY""), INT((ROW()-2)/amortYears)+1), )
"),14.0)</f>
        <v>14</v>
      </c>
      <c r="B514" s="15">
        <f>IFERROR(__xludf.DUMMYFUNCTION("IFERROR(INDEX(FILTER('RE Portfolio'!B$2:B2000,'RE Portfolio'!D$2:D2000=""BUY""), INT((ROW()-2)/amortYears)+1), )
"),54.0)</f>
        <v>54</v>
      </c>
      <c r="C514" s="15">
        <f>IFERROR(__xludf.DUMMYFUNCTION("IFERROR(INDEX(FILTER('RE Portfolio'!G$2:G2000,'RE Portfolio'!D$2:D2000=""BUY""), INT((ROW()-2)/amortYears)+1), )
"),471952.7052934018)</f>
        <v>471952.7053</v>
      </c>
      <c r="D514" s="15">
        <f>MOD(ROW()-2, amortYears)+1</f>
        <v>19</v>
      </c>
      <c r="E514" s="15">
        <f t="shared" si="1"/>
        <v>72</v>
      </c>
      <c r="F514" s="16">
        <f t="shared" si="2"/>
        <v>297734.2399</v>
      </c>
      <c r="G514" s="16">
        <f>IF(D514&lt;=mortTerm, -PMT(mortRate/12, mortTerm*12, C514)*12, 0)
</f>
        <v>35796.74563</v>
      </c>
      <c r="H514" s="16">
        <f>IF(D514&lt;=mortTerm, G514 - I514, 0)
</f>
        <v>18853.87677</v>
      </c>
      <c r="I514" s="16">
        <f>IF(D514&lt;=mortTerm, F514 - J514, 0)
</f>
        <v>16942.86887</v>
      </c>
      <c r="J514" s="16">
        <f>IF(D514&lt;=mortTerm,
   F514*(1+mortRate/12)^12 - (-PMT(mortRate/12, mortTerm*12, C514))*(((1+mortRate/12)^12 - 1)/(mortRate/12)),
   0
)
</f>
        <v>280791.3711</v>
      </c>
      <c r="K514" s="13">
        <f>IFERROR(__xludf.DUMMYFUNCTION("IF(A514="""","""",
   IF(F514&gt;0,
      INDEX(FILTER('RE Portfolio'!L$2:L2000,'RE Portfolio'!D$2:D2000=""BUY""), INT((ROW()-2)/amortYears)+1) - G514,
      INDEX(FILTER('RE Portfolio'!L$2:L2000,'RE Portfolio'!D$2:D2000=""BUY""), INT((ROW()-2)/amortYears)+1"&amp;")
   )
)
"),11020.962731070438)</f>
        <v>11020.96273</v>
      </c>
      <c r="L514" s="15">
        <f>IFERROR(__xludf.DUMMYFUNCTION("IF(A514="""","""",
  INDEX(FILTER('RE Portfolio'!C$2:C2000,'RE Portfolio'!D$2:D2000=""BUY""), INT((ROW()-2)/amortYears)+1)
  * (1 + VALUE(Assumptions!$B$11))^(D514-1)
)
"),1274786.1131479342)</f>
        <v>1274786.113</v>
      </c>
    </row>
    <row r="515">
      <c r="A515" s="15">
        <f>IFERROR(__xludf.DUMMYFUNCTION("IFERROR(INDEX(FILTER('RE Portfolio'!A$2:A2000,'RE Portfolio'!D$2:D2000=""BUY""), INT((ROW()-2)/amortYears)+1), )
"),14.0)</f>
        <v>14</v>
      </c>
      <c r="B515" s="15">
        <f>IFERROR(__xludf.DUMMYFUNCTION("IFERROR(INDEX(FILTER('RE Portfolio'!B$2:B2000,'RE Portfolio'!D$2:D2000=""BUY""), INT((ROW()-2)/amortYears)+1), )
"),54.0)</f>
        <v>54</v>
      </c>
      <c r="C515" s="15">
        <f>IFERROR(__xludf.DUMMYFUNCTION("IFERROR(INDEX(FILTER('RE Portfolio'!G$2:G2000,'RE Portfolio'!D$2:D2000=""BUY""), INT((ROW()-2)/amortYears)+1), )
"),471952.7052934018)</f>
        <v>471952.7053</v>
      </c>
      <c r="D515" s="15">
        <f>MOD(ROW()-2, amortYears)+1</f>
        <v>20</v>
      </c>
      <c r="E515" s="15">
        <f t="shared" si="1"/>
        <v>73</v>
      </c>
      <c r="F515" s="16">
        <f t="shared" si="2"/>
        <v>280791.3711</v>
      </c>
      <c r="G515" s="16">
        <f>IF(D515&lt;=mortTerm, -PMT(mortRate/12, mortTerm*12, C515)*12, 0)
</f>
        <v>35796.74563</v>
      </c>
      <c r="H515" s="16">
        <f>IF(D515&lt;=mortTerm, G515 - I515, 0)
</f>
        <v>17719.18146</v>
      </c>
      <c r="I515" s="16">
        <f>IF(D515&lt;=mortTerm, F515 - J515, 0)
</f>
        <v>18077.56417</v>
      </c>
      <c r="J515" s="16">
        <f>IF(D515&lt;=mortTerm,
   F515*(1+mortRate/12)^12 - (-PMT(mortRate/12, mortTerm*12, C515))*(((1+mortRate/12)^12 - 1)/(mortRate/12)),
   0
)
</f>
        <v>262713.8069</v>
      </c>
      <c r="K515" s="13">
        <f>IFERROR(__xludf.DUMMYFUNCTION("IF(A515="""","""",
   IF(F515&gt;0,
      INDEX(FILTER('RE Portfolio'!L$2:L2000,'RE Portfolio'!D$2:D2000=""BUY""), INT((ROW()-2)/amortYears)+1) - G515,
      INDEX(FILTER('RE Portfolio'!L$2:L2000,'RE Portfolio'!D$2:D2000=""BUY""), INT((ROW()-2)/amortYears)+1"&amp;")
   )
)
"),11020.962731070438)</f>
        <v>11020.96273</v>
      </c>
      <c r="L515" s="15">
        <f>IFERROR(__xludf.DUMMYFUNCTION("IF(A515="""","""",
  INDEX(FILTER('RE Portfolio'!C$2:C2000,'RE Portfolio'!D$2:D2000=""BUY""), INT((ROW()-2)/amortYears)+1)
  * (1 + VALUE(Assumptions!$B$11))^(D515-1)
)
"),1325777.5576738517)</f>
        <v>1325777.558</v>
      </c>
    </row>
    <row r="516">
      <c r="A516" s="15">
        <f>IFERROR(__xludf.DUMMYFUNCTION("IFERROR(INDEX(FILTER('RE Portfolio'!A$2:A2000,'RE Portfolio'!D$2:D2000=""BUY""), INT((ROW()-2)/amortYears)+1), )
"),14.0)</f>
        <v>14</v>
      </c>
      <c r="B516" s="15">
        <f>IFERROR(__xludf.DUMMYFUNCTION("IFERROR(INDEX(FILTER('RE Portfolio'!B$2:B2000,'RE Portfolio'!D$2:D2000=""BUY""), INT((ROW()-2)/amortYears)+1), )
"),54.0)</f>
        <v>54</v>
      </c>
      <c r="C516" s="15">
        <f>IFERROR(__xludf.DUMMYFUNCTION("IFERROR(INDEX(FILTER('RE Portfolio'!G$2:G2000,'RE Portfolio'!D$2:D2000=""BUY""), INT((ROW()-2)/amortYears)+1), )
"),471952.7052934018)</f>
        <v>471952.7053</v>
      </c>
      <c r="D516" s="15">
        <f>MOD(ROW()-2, amortYears)+1</f>
        <v>21</v>
      </c>
      <c r="E516" s="15">
        <f t="shared" si="1"/>
        <v>74</v>
      </c>
      <c r="F516" s="16">
        <f t="shared" si="2"/>
        <v>262713.8069</v>
      </c>
      <c r="G516" s="16">
        <f>IF(D516&lt;=mortTerm, -PMT(mortRate/12, mortTerm*12, C516)*12, 0)
</f>
        <v>35796.74563</v>
      </c>
      <c r="H516" s="16">
        <f>IF(D516&lt;=mortTerm, G516 - I516, 0)
</f>
        <v>16508.49351</v>
      </c>
      <c r="I516" s="16">
        <f>IF(D516&lt;=mortTerm, F516 - J516, 0)
</f>
        <v>19288.25212</v>
      </c>
      <c r="J516" s="16">
        <f>IF(D516&lt;=mortTerm,
   F516*(1+mortRate/12)^12 - (-PMT(mortRate/12, mortTerm*12, C516))*(((1+mortRate/12)^12 - 1)/(mortRate/12)),
   0
)
</f>
        <v>243425.5548</v>
      </c>
      <c r="K516" s="13">
        <f>IFERROR(__xludf.DUMMYFUNCTION("IF(A516="""","""",
   IF(F516&gt;0,
      INDEX(FILTER('RE Portfolio'!L$2:L2000,'RE Portfolio'!D$2:D2000=""BUY""), INT((ROW()-2)/amortYears)+1) - G516,
      INDEX(FILTER('RE Portfolio'!L$2:L2000,'RE Portfolio'!D$2:D2000=""BUY""), INT((ROW()-2)/amortYears)+1"&amp;")
   )
)
"),11020.962731070438)</f>
        <v>11020.96273</v>
      </c>
      <c r="L516" s="15">
        <f>IFERROR(__xludf.DUMMYFUNCTION("IF(A516="""","""",
  INDEX(FILTER('RE Portfolio'!C$2:C2000,'RE Portfolio'!D$2:D2000=""BUY""), INT((ROW()-2)/amortYears)+1)
  * (1 + VALUE(Assumptions!$B$11))^(D516-1)
)
"),1378808.6599808058)</f>
        <v>1378808.66</v>
      </c>
    </row>
    <row r="517">
      <c r="A517" s="15">
        <f>IFERROR(__xludf.DUMMYFUNCTION("IFERROR(INDEX(FILTER('RE Portfolio'!A$2:A2000,'RE Portfolio'!D$2:D2000=""BUY""), INT((ROW()-2)/amortYears)+1), )
"),14.0)</f>
        <v>14</v>
      </c>
      <c r="B517" s="15">
        <f>IFERROR(__xludf.DUMMYFUNCTION("IFERROR(INDEX(FILTER('RE Portfolio'!B$2:B2000,'RE Portfolio'!D$2:D2000=""BUY""), INT((ROW()-2)/amortYears)+1), )
"),54.0)</f>
        <v>54</v>
      </c>
      <c r="C517" s="15">
        <f>IFERROR(__xludf.DUMMYFUNCTION("IFERROR(INDEX(FILTER('RE Portfolio'!G$2:G2000,'RE Portfolio'!D$2:D2000=""BUY""), INT((ROW()-2)/amortYears)+1), )
"),471952.7052934018)</f>
        <v>471952.7053</v>
      </c>
      <c r="D517" s="15">
        <f>MOD(ROW()-2, amortYears)+1</f>
        <v>22</v>
      </c>
      <c r="E517" s="15">
        <f t="shared" si="1"/>
        <v>75</v>
      </c>
      <c r="F517" s="16">
        <f t="shared" si="2"/>
        <v>243425.5548</v>
      </c>
      <c r="G517" s="16">
        <f>IF(D517&lt;=mortTerm, -PMT(mortRate/12, mortTerm*12, C517)*12, 0)
</f>
        <v>35796.74563</v>
      </c>
      <c r="H517" s="16">
        <f>IF(D517&lt;=mortTerm, G517 - I517, 0)
</f>
        <v>15216.72354</v>
      </c>
      <c r="I517" s="16">
        <f>IF(D517&lt;=mortTerm, F517 - J517, 0)
</f>
        <v>20580.02209</v>
      </c>
      <c r="J517" s="16">
        <f>IF(D517&lt;=mortTerm,
   F517*(1+mortRate/12)^12 - (-PMT(mortRate/12, mortTerm*12, C517))*(((1+mortRate/12)^12 - 1)/(mortRate/12)),
   0
)
</f>
        <v>222845.5327</v>
      </c>
      <c r="K517" s="13">
        <f>IFERROR(__xludf.DUMMYFUNCTION("IF(A517="""","""",
   IF(F517&gt;0,
      INDEX(FILTER('RE Portfolio'!L$2:L2000,'RE Portfolio'!D$2:D2000=""BUY""), INT((ROW()-2)/amortYears)+1) - G517,
      INDEX(FILTER('RE Portfolio'!L$2:L2000,'RE Portfolio'!D$2:D2000=""BUY""), INT((ROW()-2)/amortYears)+1"&amp;")
   )
)
"),11020.962731070438)</f>
        <v>11020.96273</v>
      </c>
      <c r="L517" s="15">
        <f>IFERROR(__xludf.DUMMYFUNCTION("IF(A517="""","""",
  INDEX(FILTER('RE Portfolio'!C$2:C2000,'RE Portfolio'!D$2:D2000=""BUY""), INT((ROW()-2)/amortYears)+1)
  * (1 + VALUE(Assumptions!$B$11))^(D517-1)
)
"),1433961.006380038)</f>
        <v>1433961.006</v>
      </c>
    </row>
    <row r="518">
      <c r="A518" s="15">
        <f>IFERROR(__xludf.DUMMYFUNCTION("IFERROR(INDEX(FILTER('RE Portfolio'!A$2:A2000,'RE Portfolio'!D$2:D2000=""BUY""), INT((ROW()-2)/amortYears)+1), )
"),14.0)</f>
        <v>14</v>
      </c>
      <c r="B518" s="15">
        <f>IFERROR(__xludf.DUMMYFUNCTION("IFERROR(INDEX(FILTER('RE Portfolio'!B$2:B2000,'RE Portfolio'!D$2:D2000=""BUY""), INT((ROW()-2)/amortYears)+1), )
"),54.0)</f>
        <v>54</v>
      </c>
      <c r="C518" s="15">
        <f>IFERROR(__xludf.DUMMYFUNCTION("IFERROR(INDEX(FILTER('RE Portfolio'!G$2:G2000,'RE Portfolio'!D$2:D2000=""BUY""), INT((ROW()-2)/amortYears)+1), )
"),471952.7052934018)</f>
        <v>471952.7053</v>
      </c>
      <c r="D518" s="15">
        <f>MOD(ROW()-2, amortYears)+1</f>
        <v>23</v>
      </c>
      <c r="E518" s="15">
        <f t="shared" si="1"/>
        <v>76</v>
      </c>
      <c r="F518" s="16">
        <f t="shared" si="2"/>
        <v>222845.5327</v>
      </c>
      <c r="G518" s="16">
        <f>IF(D518&lt;=mortTerm, -PMT(mortRate/12, mortTerm*12, C518)*12, 0)
</f>
        <v>35796.74563</v>
      </c>
      <c r="H518" s="16">
        <f>IF(D518&lt;=mortTerm, G518 - I518, 0)
</f>
        <v>13838.44135</v>
      </c>
      <c r="I518" s="16">
        <f>IF(D518&lt;=mortTerm, F518 - J518, 0)
</f>
        <v>21958.30429</v>
      </c>
      <c r="J518" s="16">
        <f>IF(D518&lt;=mortTerm,
   F518*(1+mortRate/12)^12 - (-PMT(mortRate/12, mortTerm*12, C518))*(((1+mortRate/12)^12 - 1)/(mortRate/12)),
   0
)
</f>
        <v>200887.2284</v>
      </c>
      <c r="K518" s="13">
        <f>IFERROR(__xludf.DUMMYFUNCTION("IF(A518="""","""",
   IF(F518&gt;0,
      INDEX(FILTER('RE Portfolio'!L$2:L2000,'RE Portfolio'!D$2:D2000=""BUY""), INT((ROW()-2)/amortYears)+1) - G518,
      INDEX(FILTER('RE Portfolio'!L$2:L2000,'RE Portfolio'!D$2:D2000=""BUY""), INT((ROW()-2)/amortYears)+1"&amp;")
   )
)
"),11020.962731070438)</f>
        <v>11020.96273</v>
      </c>
      <c r="L518" s="15">
        <f>IFERROR(__xludf.DUMMYFUNCTION("IF(A518="""","""",
  INDEX(FILTER('RE Portfolio'!C$2:C2000,'RE Portfolio'!D$2:D2000=""BUY""), INT((ROW()-2)/amortYears)+1)
  * (1 + VALUE(Assumptions!$B$11))^(D518-1)
)
"),1491319.4466352395)</f>
        <v>1491319.447</v>
      </c>
    </row>
    <row r="519">
      <c r="A519" s="15">
        <f>IFERROR(__xludf.DUMMYFUNCTION("IFERROR(INDEX(FILTER('RE Portfolio'!A$2:A2000,'RE Portfolio'!D$2:D2000=""BUY""), INT((ROW()-2)/amortYears)+1), )
"),14.0)</f>
        <v>14</v>
      </c>
      <c r="B519" s="15">
        <f>IFERROR(__xludf.DUMMYFUNCTION("IFERROR(INDEX(FILTER('RE Portfolio'!B$2:B2000,'RE Portfolio'!D$2:D2000=""BUY""), INT((ROW()-2)/amortYears)+1), )
"),54.0)</f>
        <v>54</v>
      </c>
      <c r="C519" s="15">
        <f>IFERROR(__xludf.DUMMYFUNCTION("IFERROR(INDEX(FILTER('RE Portfolio'!G$2:G2000,'RE Portfolio'!D$2:D2000=""BUY""), INT((ROW()-2)/amortYears)+1), )
"),471952.7052934018)</f>
        <v>471952.7053</v>
      </c>
      <c r="D519" s="15">
        <f>MOD(ROW()-2, amortYears)+1</f>
        <v>24</v>
      </c>
      <c r="E519" s="15">
        <f t="shared" si="1"/>
        <v>77</v>
      </c>
      <c r="F519" s="16">
        <f t="shared" si="2"/>
        <v>200887.2284</v>
      </c>
      <c r="G519" s="16">
        <f>IF(D519&lt;=mortTerm, -PMT(mortRate/12, mortTerm*12, C519)*12, 0)
</f>
        <v>35796.74563</v>
      </c>
      <c r="H519" s="16">
        <f>IF(D519&lt;=mortTerm, G519 - I519, 0)
</f>
        <v>12367.85304</v>
      </c>
      <c r="I519" s="16">
        <f>IF(D519&lt;=mortTerm, F519 - J519, 0)
</f>
        <v>23428.89259</v>
      </c>
      <c r="J519" s="16">
        <f>IF(D519&lt;=mortTerm,
   F519*(1+mortRate/12)^12 - (-PMT(mortRate/12, mortTerm*12, C519))*(((1+mortRate/12)^12 - 1)/(mortRate/12)),
   0
)
</f>
        <v>177458.3358</v>
      </c>
      <c r="K519" s="13">
        <f>IFERROR(__xludf.DUMMYFUNCTION("IF(A519="""","""",
   IF(F519&gt;0,
      INDEX(FILTER('RE Portfolio'!L$2:L2000,'RE Portfolio'!D$2:D2000=""BUY""), INT((ROW()-2)/amortYears)+1) - G519,
      INDEX(FILTER('RE Portfolio'!L$2:L2000,'RE Portfolio'!D$2:D2000=""BUY""), INT((ROW()-2)/amortYears)+1"&amp;")
   )
)
"),11020.962731070438)</f>
        <v>11020.96273</v>
      </c>
      <c r="L519" s="15">
        <f>IFERROR(__xludf.DUMMYFUNCTION("IF(A519="""","""",
  INDEX(FILTER('RE Portfolio'!C$2:C2000,'RE Portfolio'!D$2:D2000=""BUY""), INT((ROW()-2)/amortYears)+1)
  * (1 + VALUE(Assumptions!$B$11))^(D519-1)
)
"),1550972.2245006491)</f>
        <v>1550972.225</v>
      </c>
    </row>
    <row r="520">
      <c r="A520" s="15">
        <f>IFERROR(__xludf.DUMMYFUNCTION("IFERROR(INDEX(FILTER('RE Portfolio'!A$2:A2000,'RE Portfolio'!D$2:D2000=""BUY""), INT((ROW()-2)/amortYears)+1), )
"),14.0)</f>
        <v>14</v>
      </c>
      <c r="B520" s="15">
        <f>IFERROR(__xludf.DUMMYFUNCTION("IFERROR(INDEX(FILTER('RE Portfolio'!B$2:B2000,'RE Portfolio'!D$2:D2000=""BUY""), INT((ROW()-2)/amortYears)+1), )
"),54.0)</f>
        <v>54</v>
      </c>
      <c r="C520" s="15">
        <f>IFERROR(__xludf.DUMMYFUNCTION("IFERROR(INDEX(FILTER('RE Portfolio'!G$2:G2000,'RE Portfolio'!D$2:D2000=""BUY""), INT((ROW()-2)/amortYears)+1), )
"),471952.7052934018)</f>
        <v>471952.7053</v>
      </c>
      <c r="D520" s="15">
        <f>MOD(ROW()-2, amortYears)+1</f>
        <v>25</v>
      </c>
      <c r="E520" s="15">
        <f t="shared" si="1"/>
        <v>78</v>
      </c>
      <c r="F520" s="16">
        <f t="shared" si="2"/>
        <v>177458.3358</v>
      </c>
      <c r="G520" s="16">
        <f>IF(D520&lt;=mortTerm, -PMT(mortRate/12, mortTerm*12, C520)*12, 0)
</f>
        <v>35796.74563</v>
      </c>
      <c r="H520" s="16">
        <f>IF(D520&lt;=mortTerm, G520 - I520, 0)
</f>
        <v>10798.77672</v>
      </c>
      <c r="I520" s="16">
        <f>IF(D520&lt;=mortTerm, F520 - J520, 0)
</f>
        <v>24997.96892</v>
      </c>
      <c r="J520" s="16">
        <f>IF(D520&lt;=mortTerm,
   F520*(1+mortRate/12)^12 - (-PMT(mortRate/12, mortTerm*12, C520))*(((1+mortRate/12)^12 - 1)/(mortRate/12)),
   0
)
</f>
        <v>152460.3669</v>
      </c>
      <c r="K520" s="13">
        <f>IFERROR(__xludf.DUMMYFUNCTION("IF(A520="""","""",
   IF(F520&gt;0,
      INDEX(FILTER('RE Portfolio'!L$2:L2000,'RE Portfolio'!D$2:D2000=""BUY""), INT((ROW()-2)/amortYears)+1) - G520,
      INDEX(FILTER('RE Portfolio'!L$2:L2000,'RE Portfolio'!D$2:D2000=""BUY""), INT((ROW()-2)/amortYears)+1"&amp;")
   )
)
"),11020.962731070438)</f>
        <v>11020.96273</v>
      </c>
      <c r="L520" s="15">
        <f>IFERROR(__xludf.DUMMYFUNCTION("IF(A520="""","""",
  INDEX(FILTER('RE Portfolio'!C$2:C2000,'RE Portfolio'!D$2:D2000=""BUY""), INT((ROW()-2)/amortYears)+1)
  * (1 + VALUE(Assumptions!$B$11))^(D520-1)
)
"),1613011.1134806753)</f>
        <v>1613011.113</v>
      </c>
    </row>
    <row r="521">
      <c r="A521" s="15">
        <f>IFERROR(__xludf.DUMMYFUNCTION("IFERROR(INDEX(FILTER('RE Portfolio'!A$2:A2000,'RE Portfolio'!D$2:D2000=""BUY""), INT((ROW()-2)/amortYears)+1), )
"),14.0)</f>
        <v>14</v>
      </c>
      <c r="B521" s="15">
        <f>IFERROR(__xludf.DUMMYFUNCTION("IFERROR(INDEX(FILTER('RE Portfolio'!B$2:B2000,'RE Portfolio'!D$2:D2000=""BUY""), INT((ROW()-2)/amortYears)+1), )
"),54.0)</f>
        <v>54</v>
      </c>
      <c r="C521" s="15">
        <f>IFERROR(__xludf.DUMMYFUNCTION("IFERROR(INDEX(FILTER('RE Portfolio'!G$2:G2000,'RE Portfolio'!D$2:D2000=""BUY""), INT((ROW()-2)/amortYears)+1), )
"),471952.7052934018)</f>
        <v>471952.7053</v>
      </c>
      <c r="D521" s="15">
        <f>MOD(ROW()-2, amortYears)+1</f>
        <v>26</v>
      </c>
      <c r="E521" s="15">
        <f t="shared" si="1"/>
        <v>79</v>
      </c>
      <c r="F521" s="16">
        <f t="shared" si="2"/>
        <v>152460.3669</v>
      </c>
      <c r="G521" s="16">
        <f>IF(D521&lt;=mortTerm, -PMT(mortRate/12, mortTerm*12, C521)*12, 0)
</f>
        <v>35796.74563</v>
      </c>
      <c r="H521" s="16">
        <f>IF(D521&lt;=mortTerm, G521 - I521, 0)
</f>
        <v>9124.616442</v>
      </c>
      <c r="I521" s="16">
        <f>IF(D521&lt;=mortTerm, F521 - J521, 0)
</f>
        <v>26672.12919</v>
      </c>
      <c r="J521" s="16">
        <f>IF(D521&lt;=mortTerm,
   F521*(1+mortRate/12)^12 - (-PMT(mortRate/12, mortTerm*12, C521))*(((1+mortRate/12)^12 - 1)/(mortRate/12)),
   0
)
</f>
        <v>125788.2377</v>
      </c>
      <c r="K521" s="13">
        <f>IFERROR(__xludf.DUMMYFUNCTION("IF(A521="""","""",
   IF(F521&gt;0,
      INDEX(FILTER('RE Portfolio'!L$2:L2000,'RE Portfolio'!D$2:D2000=""BUY""), INT((ROW()-2)/amortYears)+1) - G521,
      INDEX(FILTER('RE Portfolio'!L$2:L2000,'RE Portfolio'!D$2:D2000=""BUY""), INT((ROW()-2)/amortYears)+1"&amp;")
   )
)
"),11020.962731070438)</f>
        <v>11020.96273</v>
      </c>
      <c r="L521" s="15">
        <f>IFERROR(__xludf.DUMMYFUNCTION("IF(A521="""","""",
  INDEX(FILTER('RE Portfolio'!C$2:C2000,'RE Portfolio'!D$2:D2000=""BUY""), INT((ROW()-2)/amortYears)+1)
  * (1 + VALUE(Assumptions!$B$11))^(D521-1)
)
"),1677531.558019902)</f>
        <v>1677531.558</v>
      </c>
    </row>
    <row r="522">
      <c r="A522" s="15">
        <f>IFERROR(__xludf.DUMMYFUNCTION("IFERROR(INDEX(FILTER('RE Portfolio'!A$2:A2000,'RE Portfolio'!D$2:D2000=""BUY""), INT((ROW()-2)/amortYears)+1), )
"),14.0)</f>
        <v>14</v>
      </c>
      <c r="B522" s="15">
        <f>IFERROR(__xludf.DUMMYFUNCTION("IFERROR(INDEX(FILTER('RE Portfolio'!B$2:B2000,'RE Portfolio'!D$2:D2000=""BUY""), INT((ROW()-2)/amortYears)+1), )
"),54.0)</f>
        <v>54</v>
      </c>
      <c r="C522" s="15">
        <f>IFERROR(__xludf.DUMMYFUNCTION("IFERROR(INDEX(FILTER('RE Portfolio'!G$2:G2000,'RE Portfolio'!D$2:D2000=""BUY""), INT((ROW()-2)/amortYears)+1), )
"),471952.7052934018)</f>
        <v>471952.7053</v>
      </c>
      <c r="D522" s="15">
        <f>MOD(ROW()-2, amortYears)+1</f>
        <v>27</v>
      </c>
      <c r="E522" s="15">
        <f t="shared" si="1"/>
        <v>80</v>
      </c>
      <c r="F522" s="16">
        <f t="shared" si="2"/>
        <v>125788.2377</v>
      </c>
      <c r="G522" s="16">
        <f>IF(D522&lt;=mortTerm, -PMT(mortRate/12, mortTerm*12, C522)*12, 0)
</f>
        <v>35796.74563</v>
      </c>
      <c r="H522" s="16">
        <f>IF(D522&lt;=mortTerm, G522 - I522, 0)
</f>
        <v>7338.334554</v>
      </c>
      <c r="I522" s="16">
        <f>IF(D522&lt;=mortTerm, F522 - J522, 0)
</f>
        <v>28458.41108</v>
      </c>
      <c r="J522" s="16">
        <f>IF(D522&lt;=mortTerm,
   F522*(1+mortRate/12)^12 - (-PMT(mortRate/12, mortTerm*12, C522))*(((1+mortRate/12)^12 - 1)/(mortRate/12)),
   0
)
</f>
        <v>97329.82662</v>
      </c>
      <c r="K522" s="13">
        <f>IFERROR(__xludf.DUMMYFUNCTION("IF(A522="""","""",
   IF(F522&gt;0,
      INDEX(FILTER('RE Portfolio'!L$2:L2000,'RE Portfolio'!D$2:D2000=""BUY""), INT((ROW()-2)/amortYears)+1) - G522,
      INDEX(FILTER('RE Portfolio'!L$2:L2000,'RE Portfolio'!D$2:D2000=""BUY""), INT((ROW()-2)/amortYears)+1"&amp;")
   )
)
"),11020.962731070438)</f>
        <v>11020.96273</v>
      </c>
      <c r="L522" s="15">
        <f>IFERROR(__xludf.DUMMYFUNCTION("IF(A522="""","""",
  INDEX(FILTER('RE Portfolio'!C$2:C2000,'RE Portfolio'!D$2:D2000=""BUY""), INT((ROW()-2)/amortYears)+1)
  * (1 + VALUE(Assumptions!$B$11))^(D522-1)
)
"),1744632.8203406984)</f>
        <v>1744632.82</v>
      </c>
    </row>
    <row r="523">
      <c r="A523" s="15">
        <f>IFERROR(__xludf.DUMMYFUNCTION("IFERROR(INDEX(FILTER('RE Portfolio'!A$2:A2000,'RE Portfolio'!D$2:D2000=""BUY""), INT((ROW()-2)/amortYears)+1), )
"),14.0)</f>
        <v>14</v>
      </c>
      <c r="B523" s="15">
        <f>IFERROR(__xludf.DUMMYFUNCTION("IFERROR(INDEX(FILTER('RE Portfolio'!B$2:B2000,'RE Portfolio'!D$2:D2000=""BUY""), INT((ROW()-2)/amortYears)+1), )
"),54.0)</f>
        <v>54</v>
      </c>
      <c r="C523" s="15">
        <f>IFERROR(__xludf.DUMMYFUNCTION("IFERROR(INDEX(FILTER('RE Portfolio'!G$2:G2000,'RE Portfolio'!D$2:D2000=""BUY""), INT((ROW()-2)/amortYears)+1), )
"),471952.7052934018)</f>
        <v>471952.7053</v>
      </c>
      <c r="D523" s="15">
        <f>MOD(ROW()-2, amortYears)+1</f>
        <v>28</v>
      </c>
      <c r="E523" s="15">
        <f t="shared" si="1"/>
        <v>81</v>
      </c>
      <c r="F523" s="16">
        <f t="shared" si="2"/>
        <v>97329.82662</v>
      </c>
      <c r="G523" s="16">
        <f>IF(D523&lt;=mortTerm, -PMT(mortRate/12, mortTerm*12, C523)*12, 0)
</f>
        <v>35796.74563</v>
      </c>
      <c r="H523" s="16">
        <f>IF(D523&lt;=mortTerm, G523 - I523, 0)
</f>
        <v>5432.422059</v>
      </c>
      <c r="I523" s="16">
        <f>IF(D523&lt;=mortTerm, F523 - J523, 0)
</f>
        <v>30364.32358</v>
      </c>
      <c r="J523" s="16">
        <f>IF(D523&lt;=mortTerm,
   F523*(1+mortRate/12)^12 - (-PMT(mortRate/12, mortTerm*12, C523))*(((1+mortRate/12)^12 - 1)/(mortRate/12)),
   0
)
</f>
        <v>66965.50305</v>
      </c>
      <c r="K523" s="13">
        <f>IFERROR(__xludf.DUMMYFUNCTION("IF(A523="""","""",
   IF(F523&gt;0,
      INDEX(FILTER('RE Portfolio'!L$2:L2000,'RE Portfolio'!D$2:D2000=""BUY""), INT((ROW()-2)/amortYears)+1) - G523,
      INDEX(FILTER('RE Portfolio'!L$2:L2000,'RE Portfolio'!D$2:D2000=""BUY""), INT((ROW()-2)/amortYears)+1"&amp;")
   )
)
"),11020.962731070438)</f>
        <v>11020.96273</v>
      </c>
      <c r="L523" s="15">
        <f>IFERROR(__xludf.DUMMYFUNCTION("IF(A523="""","""",
  INDEX(FILTER('RE Portfolio'!C$2:C2000,'RE Portfolio'!D$2:D2000=""BUY""), INT((ROW()-2)/amortYears)+1)
  * (1 + VALUE(Assumptions!$B$11))^(D523-1)
)
"),1814418.1331543264)</f>
        <v>1814418.133</v>
      </c>
    </row>
    <row r="524">
      <c r="A524" s="15">
        <f>IFERROR(__xludf.DUMMYFUNCTION("IFERROR(INDEX(FILTER('RE Portfolio'!A$2:A2000,'RE Portfolio'!D$2:D2000=""BUY""), INT((ROW()-2)/amortYears)+1), )
"),14.0)</f>
        <v>14</v>
      </c>
      <c r="B524" s="15">
        <f>IFERROR(__xludf.DUMMYFUNCTION("IFERROR(INDEX(FILTER('RE Portfolio'!B$2:B2000,'RE Portfolio'!D$2:D2000=""BUY""), INT((ROW()-2)/amortYears)+1), )
"),54.0)</f>
        <v>54</v>
      </c>
      <c r="C524" s="15">
        <f>IFERROR(__xludf.DUMMYFUNCTION("IFERROR(INDEX(FILTER('RE Portfolio'!G$2:G2000,'RE Portfolio'!D$2:D2000=""BUY""), INT((ROW()-2)/amortYears)+1), )
"),471952.7052934018)</f>
        <v>471952.7053</v>
      </c>
      <c r="D524" s="15">
        <f>MOD(ROW()-2, amortYears)+1</f>
        <v>29</v>
      </c>
      <c r="E524" s="15">
        <f t="shared" si="1"/>
        <v>82</v>
      </c>
      <c r="F524" s="16">
        <f t="shared" si="2"/>
        <v>66965.50305</v>
      </c>
      <c r="G524" s="16">
        <f>IF(D524&lt;=mortTerm, -PMT(mortRate/12, mortTerm*12, C524)*12, 0)
</f>
        <v>35796.74563</v>
      </c>
      <c r="H524" s="16">
        <f>IF(D524&lt;=mortTerm, G524 - I524, 0)
</f>
        <v>3398.867074</v>
      </c>
      <c r="I524" s="16">
        <f>IF(D524&lt;=mortTerm, F524 - J524, 0)
</f>
        <v>32397.87856</v>
      </c>
      <c r="J524" s="16">
        <f>IF(D524&lt;=mortTerm,
   F524*(1+mortRate/12)^12 - (-PMT(mortRate/12, mortTerm*12, C524))*(((1+mortRate/12)^12 - 1)/(mortRate/12)),
   0
)
</f>
        <v>34567.62449</v>
      </c>
      <c r="K524" s="13">
        <f>IFERROR(__xludf.DUMMYFUNCTION("IF(A524="""","""",
   IF(F524&gt;0,
      INDEX(FILTER('RE Portfolio'!L$2:L2000,'RE Portfolio'!D$2:D2000=""BUY""), INT((ROW()-2)/amortYears)+1) - G524,
      INDEX(FILTER('RE Portfolio'!L$2:L2000,'RE Portfolio'!D$2:D2000=""BUY""), INT((ROW()-2)/amortYears)+1"&amp;")
   )
)
"),11020.962731070438)</f>
        <v>11020.96273</v>
      </c>
      <c r="L524" s="15">
        <f>IFERROR(__xludf.DUMMYFUNCTION("IF(A524="""","""",
  INDEX(FILTER('RE Portfolio'!C$2:C2000,'RE Portfolio'!D$2:D2000=""BUY""), INT((ROW()-2)/amortYears)+1)
  * (1 + VALUE(Assumptions!$B$11))^(D524-1)
)
"),1886994.8584804996)</f>
        <v>1886994.858</v>
      </c>
    </row>
    <row r="525">
      <c r="A525" s="15">
        <f>IFERROR(__xludf.DUMMYFUNCTION("IFERROR(INDEX(FILTER('RE Portfolio'!A$2:A2000,'RE Portfolio'!D$2:D2000=""BUY""), INT((ROW()-2)/amortYears)+1), )
"),14.0)</f>
        <v>14</v>
      </c>
      <c r="B525" s="15">
        <f>IFERROR(__xludf.DUMMYFUNCTION("IFERROR(INDEX(FILTER('RE Portfolio'!B$2:B2000,'RE Portfolio'!D$2:D2000=""BUY""), INT((ROW()-2)/amortYears)+1), )
"),54.0)</f>
        <v>54</v>
      </c>
      <c r="C525" s="15">
        <f>IFERROR(__xludf.DUMMYFUNCTION("IFERROR(INDEX(FILTER('RE Portfolio'!G$2:G2000,'RE Portfolio'!D$2:D2000=""BUY""), INT((ROW()-2)/amortYears)+1), )
"),471952.7052934018)</f>
        <v>471952.7053</v>
      </c>
      <c r="D525" s="15">
        <f>MOD(ROW()-2, amortYears)+1</f>
        <v>30</v>
      </c>
      <c r="E525" s="15">
        <f t="shared" si="1"/>
        <v>83</v>
      </c>
      <c r="F525" s="16">
        <f t="shared" si="2"/>
        <v>34567.62449</v>
      </c>
      <c r="G525" s="16">
        <f>IF(D525&lt;=mortTerm, -PMT(mortRate/12, mortTerm*12, C525)*12, 0)
</f>
        <v>35796.74563</v>
      </c>
      <c r="H525" s="16">
        <f>IF(D525&lt;=mortTerm, G525 - I525, 0)
</f>
        <v>1229.121146</v>
      </c>
      <c r="I525" s="16">
        <f>IF(D525&lt;=mortTerm, F525 - J525, 0)
</f>
        <v>34567.62449</v>
      </c>
      <c r="J525" s="16">
        <f>IF(D525&lt;=mortTerm,
   F525*(1+mortRate/12)^12 - (-PMT(mortRate/12, mortTerm*12, C525))*(((1+mortRate/12)^12 - 1)/(mortRate/12)),
   0
)
</f>
        <v>-0.0000000001455191523</v>
      </c>
      <c r="K525" s="13">
        <f>IFERROR(__xludf.DUMMYFUNCTION("IF(A525="""","""",
   IF(F525&gt;0,
      INDEX(FILTER('RE Portfolio'!L$2:L2000,'RE Portfolio'!D$2:D2000=""BUY""), INT((ROW()-2)/amortYears)+1) - G525,
      INDEX(FILTER('RE Portfolio'!L$2:L2000,'RE Portfolio'!D$2:D2000=""BUY""), INT((ROW()-2)/amortYears)+1"&amp;")
   )
)
"),11020.962731070438)</f>
        <v>11020.96273</v>
      </c>
      <c r="L525" s="15">
        <f>IFERROR(__xludf.DUMMYFUNCTION("IF(A525="""","""",
  INDEX(FILTER('RE Portfolio'!C$2:C2000,'RE Portfolio'!D$2:D2000=""BUY""), INT((ROW()-2)/amortYears)+1)
  * (1 + VALUE(Assumptions!$B$11))^(D525-1)
)
"),1962474.6528197196)</f>
        <v>1962474.653</v>
      </c>
    </row>
    <row r="526">
      <c r="A526" s="15">
        <f>IFERROR(__xludf.DUMMYFUNCTION("IFERROR(INDEX(FILTER('RE Portfolio'!A$2:A2000,'RE Portfolio'!D$2:D2000=""BUY""), INT((ROW()-2)/amortYears)+1), )
"),14.0)</f>
        <v>14</v>
      </c>
      <c r="B526" s="15">
        <f>IFERROR(__xludf.DUMMYFUNCTION("IFERROR(INDEX(FILTER('RE Portfolio'!B$2:B2000,'RE Portfolio'!D$2:D2000=""BUY""), INT((ROW()-2)/amortYears)+1), )
"),54.0)</f>
        <v>54</v>
      </c>
      <c r="C526" s="15">
        <f>IFERROR(__xludf.DUMMYFUNCTION("IFERROR(INDEX(FILTER('RE Portfolio'!G$2:G2000,'RE Portfolio'!D$2:D2000=""BUY""), INT((ROW()-2)/amortYears)+1), )
"),471952.7052934018)</f>
        <v>471952.7053</v>
      </c>
      <c r="D526" s="15">
        <f>MOD(ROW()-2, amortYears)+1</f>
        <v>31</v>
      </c>
      <c r="E526" s="15">
        <f t="shared" si="1"/>
        <v>84</v>
      </c>
      <c r="F526" s="16">
        <f t="shared" si="2"/>
        <v>-0.0000000001455191523</v>
      </c>
      <c r="G526" s="15">
        <f>IF(D526&lt;=mortTerm, -PMT(mortRate/12, mortTerm*12, C526)*12, 0)
</f>
        <v>0</v>
      </c>
      <c r="H526" s="15">
        <f>IF(D526&lt;=mortTerm, G526 - I526, 0)
</f>
        <v>0</v>
      </c>
      <c r="I526" s="15">
        <f>IF(D526&lt;=mortTerm, F526 - J526, 0)
</f>
        <v>0</v>
      </c>
      <c r="J526" s="15">
        <f>IF(D526&lt;=mortTerm,
   F526*(1+mortRate/12)^12 - (-PMT(mortRate/12, mortTerm*12, C526))*(((1+mortRate/12)^12 - 1)/(mortRate/12)),
   0
)
</f>
        <v>0</v>
      </c>
      <c r="K526" s="13">
        <f>IFERROR(__xludf.DUMMYFUNCTION("IF(A526="""","""",
   IF(F526&gt;0,
      INDEX(FILTER('RE Portfolio'!L$2:L2000,'RE Portfolio'!D$2:D2000=""BUY""), INT((ROW()-2)/amortYears)+1) - G526,
      INDEX(FILTER('RE Portfolio'!L$2:L2000,'RE Portfolio'!D$2:D2000=""BUY""), INT((ROW()-2)/amortYears)+1"&amp;")
   )
)
"),46817.70836510545)</f>
        <v>46817.70837</v>
      </c>
      <c r="L526" s="15">
        <f>IFERROR(__xludf.DUMMYFUNCTION("IF(A526="""","""",
  INDEX(FILTER('RE Portfolio'!C$2:C2000,'RE Portfolio'!D$2:D2000=""BUY""), INT((ROW()-2)/amortYears)+1)
  * (1 + VALUE(Assumptions!$B$11))^(D526-1)
)
"),2040973.6389325086)</f>
        <v>2040973.639</v>
      </c>
    </row>
    <row r="527">
      <c r="A527" s="15">
        <f>IFERROR(__xludf.DUMMYFUNCTION("IFERROR(INDEX(FILTER('RE Portfolio'!A$2:A2000,'RE Portfolio'!D$2:D2000=""BUY""), INT((ROW()-2)/amortYears)+1), )
"),14.0)</f>
        <v>14</v>
      </c>
      <c r="B527" s="15">
        <f>IFERROR(__xludf.DUMMYFUNCTION("IFERROR(INDEX(FILTER('RE Portfolio'!B$2:B2000,'RE Portfolio'!D$2:D2000=""BUY""), INT((ROW()-2)/amortYears)+1), )
"),54.0)</f>
        <v>54</v>
      </c>
      <c r="C527" s="15">
        <f>IFERROR(__xludf.DUMMYFUNCTION("IFERROR(INDEX(FILTER('RE Portfolio'!G$2:G2000,'RE Portfolio'!D$2:D2000=""BUY""), INT((ROW()-2)/amortYears)+1), )
"),471952.7052934018)</f>
        <v>471952.7053</v>
      </c>
      <c r="D527" s="15">
        <f>MOD(ROW()-2, amortYears)+1</f>
        <v>32</v>
      </c>
      <c r="E527" s="15">
        <f t="shared" si="1"/>
        <v>85</v>
      </c>
      <c r="F527" s="15">
        <f t="shared" si="2"/>
        <v>0</v>
      </c>
      <c r="G527" s="15">
        <f>IF(D527&lt;=mortTerm, -PMT(mortRate/12, mortTerm*12, C527)*12, 0)
</f>
        <v>0</v>
      </c>
      <c r="H527" s="15">
        <f>IF(D527&lt;=mortTerm, G527 - I527, 0)
</f>
        <v>0</v>
      </c>
      <c r="I527" s="15">
        <f>IF(D527&lt;=mortTerm, F527 - J527, 0)
</f>
        <v>0</v>
      </c>
      <c r="J527" s="15">
        <f>IF(D527&lt;=mortTerm,
   F527*(1+mortRate/12)^12 - (-PMT(mortRate/12, mortTerm*12, C527))*(((1+mortRate/12)^12 - 1)/(mortRate/12)),
   0
)
</f>
        <v>0</v>
      </c>
      <c r="K527" s="13">
        <f>IFERROR(__xludf.DUMMYFUNCTION("IF(A527="""","""",
   IF(F527&gt;0,
      INDEX(FILTER('RE Portfolio'!L$2:L2000,'RE Portfolio'!D$2:D2000=""BUY""), INT((ROW()-2)/amortYears)+1) - G527,
      INDEX(FILTER('RE Portfolio'!L$2:L2000,'RE Portfolio'!D$2:D2000=""BUY""), INT((ROW()-2)/amortYears)+1"&amp;")
   )
)
"),46817.70836510545)</f>
        <v>46817.70837</v>
      </c>
      <c r="L527" s="15">
        <f>IFERROR(__xludf.DUMMYFUNCTION("IF(A527="""","""",
  INDEX(FILTER('RE Portfolio'!C$2:C2000,'RE Portfolio'!D$2:D2000=""BUY""), INT((ROW()-2)/amortYears)+1)
  * (1 + VALUE(Assumptions!$B$11))^(D527-1)
)
"),2122612.584489809)</f>
        <v>2122612.584</v>
      </c>
    </row>
    <row r="528">
      <c r="A528" s="15">
        <f>IFERROR(__xludf.DUMMYFUNCTION("IFERROR(INDEX(FILTER('RE Portfolio'!A$2:A2000,'RE Portfolio'!D$2:D2000=""BUY""), INT((ROW()-2)/amortYears)+1), )
"),14.0)</f>
        <v>14</v>
      </c>
      <c r="B528" s="15">
        <f>IFERROR(__xludf.DUMMYFUNCTION("IFERROR(INDEX(FILTER('RE Portfolio'!B$2:B2000,'RE Portfolio'!D$2:D2000=""BUY""), INT((ROW()-2)/amortYears)+1), )
"),54.0)</f>
        <v>54</v>
      </c>
      <c r="C528" s="15">
        <f>IFERROR(__xludf.DUMMYFUNCTION("IFERROR(INDEX(FILTER('RE Portfolio'!G$2:G2000,'RE Portfolio'!D$2:D2000=""BUY""), INT((ROW()-2)/amortYears)+1), )
"),471952.7052934018)</f>
        <v>471952.7053</v>
      </c>
      <c r="D528" s="15">
        <f>MOD(ROW()-2, amortYears)+1</f>
        <v>33</v>
      </c>
      <c r="E528" s="15">
        <f t="shared" si="1"/>
        <v>86</v>
      </c>
      <c r="F528" s="15">
        <f t="shared" si="2"/>
        <v>0</v>
      </c>
      <c r="G528" s="15">
        <f>IF(D528&lt;=mortTerm, -PMT(mortRate/12, mortTerm*12, C528)*12, 0)
</f>
        <v>0</v>
      </c>
      <c r="H528" s="15">
        <f>IF(D528&lt;=mortTerm, G528 - I528, 0)
</f>
        <v>0</v>
      </c>
      <c r="I528" s="15">
        <f>IF(D528&lt;=mortTerm, F528 - J528, 0)
</f>
        <v>0</v>
      </c>
      <c r="J528" s="15">
        <f>IF(D528&lt;=mortTerm,
   F528*(1+mortRate/12)^12 - (-PMT(mortRate/12, mortTerm*12, C528))*(((1+mortRate/12)^12 - 1)/(mortRate/12)),
   0
)
</f>
        <v>0</v>
      </c>
      <c r="K528" s="13">
        <f>IFERROR(__xludf.DUMMYFUNCTION("IF(A528="""","""",
   IF(F528&gt;0,
      INDEX(FILTER('RE Portfolio'!L$2:L2000,'RE Portfolio'!D$2:D2000=""BUY""), INT((ROW()-2)/amortYears)+1) - G528,
      INDEX(FILTER('RE Portfolio'!L$2:L2000,'RE Portfolio'!D$2:D2000=""BUY""), INT((ROW()-2)/amortYears)+1"&amp;")
   )
)
"),46817.70836510545)</f>
        <v>46817.70837</v>
      </c>
      <c r="L528" s="15">
        <f>IFERROR(__xludf.DUMMYFUNCTION("IF(A528="""","""",
  INDEX(FILTER('RE Portfolio'!C$2:C2000,'RE Portfolio'!D$2:D2000=""BUY""), INT((ROW()-2)/amortYears)+1)
  * (1 + VALUE(Assumptions!$B$11))^(D528-1)
)
"),2207517.087869401)</f>
        <v>2207517.088</v>
      </c>
    </row>
    <row r="529">
      <c r="A529" s="15">
        <f>IFERROR(__xludf.DUMMYFUNCTION("IFERROR(INDEX(FILTER('RE Portfolio'!A$2:A2000,'RE Portfolio'!D$2:D2000=""BUY""), INT((ROW()-2)/amortYears)+1), )
"),14.0)</f>
        <v>14</v>
      </c>
      <c r="B529" s="15">
        <f>IFERROR(__xludf.DUMMYFUNCTION("IFERROR(INDEX(FILTER('RE Portfolio'!B$2:B2000,'RE Portfolio'!D$2:D2000=""BUY""), INT((ROW()-2)/amortYears)+1), )
"),54.0)</f>
        <v>54</v>
      </c>
      <c r="C529" s="15">
        <f>IFERROR(__xludf.DUMMYFUNCTION("IFERROR(INDEX(FILTER('RE Portfolio'!G$2:G2000,'RE Portfolio'!D$2:D2000=""BUY""), INT((ROW()-2)/amortYears)+1), )
"),471952.7052934018)</f>
        <v>471952.7053</v>
      </c>
      <c r="D529" s="15">
        <f>MOD(ROW()-2, amortYears)+1</f>
        <v>34</v>
      </c>
      <c r="E529" s="15">
        <f t="shared" si="1"/>
        <v>87</v>
      </c>
      <c r="F529" s="15">
        <f t="shared" si="2"/>
        <v>0</v>
      </c>
      <c r="G529" s="15">
        <f>IF(D529&lt;=mortTerm, -PMT(mortRate/12, mortTerm*12, C529)*12, 0)
</f>
        <v>0</v>
      </c>
      <c r="H529" s="15">
        <f>IF(D529&lt;=mortTerm, G529 - I529, 0)
</f>
        <v>0</v>
      </c>
      <c r="I529" s="15">
        <f>IF(D529&lt;=mortTerm, F529 - J529, 0)
</f>
        <v>0</v>
      </c>
      <c r="J529" s="15">
        <f>IF(D529&lt;=mortTerm,
   F529*(1+mortRate/12)^12 - (-PMT(mortRate/12, mortTerm*12, C529))*(((1+mortRate/12)^12 - 1)/(mortRate/12)),
   0
)
</f>
        <v>0</v>
      </c>
      <c r="K529" s="13">
        <f>IFERROR(__xludf.DUMMYFUNCTION("IF(A529="""","""",
   IF(F529&gt;0,
      INDEX(FILTER('RE Portfolio'!L$2:L2000,'RE Portfolio'!D$2:D2000=""BUY""), INT((ROW()-2)/amortYears)+1) - G529,
      INDEX(FILTER('RE Portfolio'!L$2:L2000,'RE Portfolio'!D$2:D2000=""BUY""), INT((ROW()-2)/amortYears)+1"&amp;")
   )
)
"),46817.70836510545)</f>
        <v>46817.70837</v>
      </c>
      <c r="L529" s="15">
        <f>IFERROR(__xludf.DUMMYFUNCTION("IF(A529="""","""",
  INDEX(FILTER('RE Portfolio'!C$2:C2000,'RE Portfolio'!D$2:D2000=""BUY""), INT((ROW()-2)/amortYears)+1)
  * (1 + VALUE(Assumptions!$B$11))^(D529-1)
)
"),2295817.7713841777)</f>
        <v>2295817.771</v>
      </c>
    </row>
    <row r="530">
      <c r="A530" s="15">
        <f>IFERROR(__xludf.DUMMYFUNCTION("IFERROR(INDEX(FILTER('RE Portfolio'!A$2:A2000,'RE Portfolio'!D$2:D2000=""BUY""), INT((ROW()-2)/amortYears)+1), )
"),14.0)</f>
        <v>14</v>
      </c>
      <c r="B530" s="15">
        <f>IFERROR(__xludf.DUMMYFUNCTION("IFERROR(INDEX(FILTER('RE Portfolio'!B$2:B2000,'RE Portfolio'!D$2:D2000=""BUY""), INT((ROW()-2)/amortYears)+1), )
"),54.0)</f>
        <v>54</v>
      </c>
      <c r="C530" s="15">
        <f>IFERROR(__xludf.DUMMYFUNCTION("IFERROR(INDEX(FILTER('RE Portfolio'!G$2:G2000,'RE Portfolio'!D$2:D2000=""BUY""), INT((ROW()-2)/amortYears)+1), )
"),471952.7052934018)</f>
        <v>471952.7053</v>
      </c>
      <c r="D530" s="15">
        <f>MOD(ROW()-2, amortYears)+1</f>
        <v>35</v>
      </c>
      <c r="E530" s="15">
        <f t="shared" si="1"/>
        <v>88</v>
      </c>
      <c r="F530" s="15">
        <f t="shared" si="2"/>
        <v>0</v>
      </c>
      <c r="G530" s="15">
        <f>IF(D530&lt;=mortTerm, -PMT(mortRate/12, mortTerm*12, C530)*12, 0)
</f>
        <v>0</v>
      </c>
      <c r="H530" s="15">
        <f>IF(D530&lt;=mortTerm, G530 - I530, 0)
</f>
        <v>0</v>
      </c>
      <c r="I530" s="15">
        <f>IF(D530&lt;=mortTerm, F530 - J530, 0)
</f>
        <v>0</v>
      </c>
      <c r="J530" s="15">
        <f>IF(D530&lt;=mortTerm,
   F530*(1+mortRate/12)^12 - (-PMT(mortRate/12, mortTerm*12, C530))*(((1+mortRate/12)^12 - 1)/(mortRate/12)),
   0
)
</f>
        <v>0</v>
      </c>
      <c r="K530" s="13">
        <f>IFERROR(__xludf.DUMMYFUNCTION("IF(A530="""","""",
   IF(F530&gt;0,
      INDEX(FILTER('RE Portfolio'!L$2:L2000,'RE Portfolio'!D$2:D2000=""BUY""), INT((ROW()-2)/amortYears)+1) - G530,
      INDEX(FILTER('RE Portfolio'!L$2:L2000,'RE Portfolio'!D$2:D2000=""BUY""), INT((ROW()-2)/amortYears)+1"&amp;")
   )
)
"),46817.70836510545)</f>
        <v>46817.70837</v>
      </c>
      <c r="L530" s="15">
        <f>IFERROR(__xludf.DUMMYFUNCTION("IF(A530="""","""",
  INDEX(FILTER('RE Portfolio'!C$2:C2000,'RE Portfolio'!D$2:D2000=""BUY""), INT((ROW()-2)/amortYears)+1)
  * (1 + VALUE(Assumptions!$B$11))^(D530-1)
)
"),2387650.482239545)</f>
        <v>2387650.482</v>
      </c>
    </row>
    <row r="531">
      <c r="A531" s="15">
        <f>IFERROR(__xludf.DUMMYFUNCTION("IFERROR(INDEX(FILTER('RE Portfolio'!A$2:A2000,'RE Portfolio'!D$2:D2000=""BUY""), INT((ROW()-2)/amortYears)+1), )
"),14.0)</f>
        <v>14</v>
      </c>
      <c r="B531" s="15">
        <f>IFERROR(__xludf.DUMMYFUNCTION("IFERROR(INDEX(FILTER('RE Portfolio'!B$2:B2000,'RE Portfolio'!D$2:D2000=""BUY""), INT((ROW()-2)/amortYears)+1), )
"),54.0)</f>
        <v>54</v>
      </c>
      <c r="C531" s="15">
        <f>IFERROR(__xludf.DUMMYFUNCTION("IFERROR(INDEX(FILTER('RE Portfolio'!G$2:G2000,'RE Portfolio'!D$2:D2000=""BUY""), INT((ROW()-2)/amortYears)+1), )
"),471952.7052934018)</f>
        <v>471952.7053</v>
      </c>
      <c r="D531" s="15">
        <f>MOD(ROW()-2, amortYears)+1</f>
        <v>36</v>
      </c>
      <c r="E531" s="15">
        <f t="shared" si="1"/>
        <v>89</v>
      </c>
      <c r="F531" s="15">
        <f t="shared" si="2"/>
        <v>0</v>
      </c>
      <c r="G531" s="15">
        <f>IF(D531&lt;=mortTerm, -PMT(mortRate/12, mortTerm*12, C531)*12, 0)
</f>
        <v>0</v>
      </c>
      <c r="H531" s="15">
        <f>IF(D531&lt;=mortTerm, G531 - I531, 0)
</f>
        <v>0</v>
      </c>
      <c r="I531" s="15">
        <f>IF(D531&lt;=mortTerm, F531 - J531, 0)
</f>
        <v>0</v>
      </c>
      <c r="J531" s="15">
        <f>IF(D531&lt;=mortTerm,
   F531*(1+mortRate/12)^12 - (-PMT(mortRate/12, mortTerm*12, C531))*(((1+mortRate/12)^12 - 1)/(mortRate/12)),
   0
)
</f>
        <v>0</v>
      </c>
      <c r="K531" s="13">
        <f>IFERROR(__xludf.DUMMYFUNCTION("IF(A531="""","""",
   IF(F531&gt;0,
      INDEX(FILTER('RE Portfolio'!L$2:L2000,'RE Portfolio'!D$2:D2000=""BUY""), INT((ROW()-2)/amortYears)+1) - G531,
      INDEX(FILTER('RE Portfolio'!L$2:L2000,'RE Portfolio'!D$2:D2000=""BUY""), INT((ROW()-2)/amortYears)+1"&amp;")
   )
)
"),46817.70836510545)</f>
        <v>46817.70837</v>
      </c>
      <c r="L531" s="15">
        <f>IFERROR(__xludf.DUMMYFUNCTION("IF(A531="""","""",
  INDEX(FILTER('RE Portfolio'!C$2:C2000,'RE Portfolio'!D$2:D2000=""BUY""), INT((ROW()-2)/amortYears)+1)
  * (1 + VALUE(Assumptions!$B$11))^(D531-1)
)
"),2483156.5015291264)</f>
        <v>2483156.502</v>
      </c>
    </row>
    <row r="532">
      <c r="A532" s="15">
        <f>IFERROR(__xludf.DUMMYFUNCTION("IFERROR(INDEX(FILTER('RE Portfolio'!A$2:A2000,'RE Portfolio'!D$2:D2000=""BUY""), INT((ROW()-2)/amortYears)+1), )
"),14.0)</f>
        <v>14</v>
      </c>
      <c r="B532" s="15">
        <f>IFERROR(__xludf.DUMMYFUNCTION("IFERROR(INDEX(FILTER('RE Portfolio'!B$2:B2000,'RE Portfolio'!D$2:D2000=""BUY""), INT((ROW()-2)/amortYears)+1), )
"),54.0)</f>
        <v>54</v>
      </c>
      <c r="C532" s="15">
        <f>IFERROR(__xludf.DUMMYFUNCTION("IFERROR(INDEX(FILTER('RE Portfolio'!G$2:G2000,'RE Portfolio'!D$2:D2000=""BUY""), INT((ROW()-2)/amortYears)+1), )
"),471952.7052934018)</f>
        <v>471952.7053</v>
      </c>
      <c r="D532" s="15">
        <f>MOD(ROW()-2, amortYears)+1</f>
        <v>37</v>
      </c>
      <c r="E532" s="15">
        <f t="shared" si="1"/>
        <v>90</v>
      </c>
      <c r="F532" s="15">
        <f t="shared" si="2"/>
        <v>0</v>
      </c>
      <c r="G532" s="15">
        <f>IF(D532&lt;=mortTerm, -PMT(mortRate/12, mortTerm*12, C532)*12, 0)
</f>
        <v>0</v>
      </c>
      <c r="H532" s="15">
        <f>IF(D532&lt;=mortTerm, G532 - I532, 0)
</f>
        <v>0</v>
      </c>
      <c r="I532" s="15">
        <f>IF(D532&lt;=mortTerm, F532 - J532, 0)
</f>
        <v>0</v>
      </c>
      <c r="J532" s="15">
        <f>IF(D532&lt;=mortTerm,
   F532*(1+mortRate/12)^12 - (-PMT(mortRate/12, mortTerm*12, C532))*(((1+mortRate/12)^12 - 1)/(mortRate/12)),
   0
)
</f>
        <v>0</v>
      </c>
      <c r="K532" s="13">
        <f>IFERROR(__xludf.DUMMYFUNCTION("IF(A532="""","""",
   IF(F532&gt;0,
      INDEX(FILTER('RE Portfolio'!L$2:L2000,'RE Portfolio'!D$2:D2000=""BUY""), INT((ROW()-2)/amortYears)+1) - G532,
      INDEX(FILTER('RE Portfolio'!L$2:L2000,'RE Portfolio'!D$2:D2000=""BUY""), INT((ROW()-2)/amortYears)+1"&amp;")
   )
)
"),46817.70836510545)</f>
        <v>46817.70837</v>
      </c>
      <c r="L532" s="15">
        <f>IFERROR(__xludf.DUMMYFUNCTION("IF(A532="""","""",
  INDEX(FILTER('RE Portfolio'!C$2:C2000,'RE Portfolio'!D$2:D2000=""BUY""), INT((ROW()-2)/amortYears)+1)
  * (1 + VALUE(Assumptions!$B$11))^(D532-1)
)
"),2582482.7615902917)</f>
        <v>2582482.762</v>
      </c>
    </row>
    <row r="533">
      <c r="A533" s="15">
        <f>IFERROR(__xludf.DUMMYFUNCTION("IFERROR(INDEX(FILTER('RE Portfolio'!A$2:A2000,'RE Portfolio'!D$2:D2000=""BUY""), INT((ROW()-2)/amortYears)+1), )
"),14.0)</f>
        <v>14</v>
      </c>
      <c r="B533" s="15">
        <f>IFERROR(__xludf.DUMMYFUNCTION("IFERROR(INDEX(FILTER('RE Portfolio'!B$2:B2000,'RE Portfolio'!D$2:D2000=""BUY""), INT((ROW()-2)/amortYears)+1), )
"),54.0)</f>
        <v>54</v>
      </c>
      <c r="C533" s="15">
        <f>IFERROR(__xludf.DUMMYFUNCTION("IFERROR(INDEX(FILTER('RE Portfolio'!G$2:G2000,'RE Portfolio'!D$2:D2000=""BUY""), INT((ROW()-2)/amortYears)+1), )
"),471952.7052934018)</f>
        <v>471952.7053</v>
      </c>
      <c r="D533" s="15">
        <f>MOD(ROW()-2, amortYears)+1</f>
        <v>38</v>
      </c>
      <c r="E533" s="15">
        <f t="shared" si="1"/>
        <v>91</v>
      </c>
      <c r="F533" s="15">
        <f t="shared" si="2"/>
        <v>0</v>
      </c>
      <c r="G533" s="15">
        <f>IF(D533&lt;=mortTerm, -PMT(mortRate/12, mortTerm*12, C533)*12, 0)
</f>
        <v>0</v>
      </c>
      <c r="H533" s="15">
        <f>IF(D533&lt;=mortTerm, G533 - I533, 0)
</f>
        <v>0</v>
      </c>
      <c r="I533" s="15">
        <f>IF(D533&lt;=mortTerm, F533 - J533, 0)
</f>
        <v>0</v>
      </c>
      <c r="J533" s="15">
        <f>IF(D533&lt;=mortTerm,
   F533*(1+mortRate/12)^12 - (-PMT(mortRate/12, mortTerm*12, C533))*(((1+mortRate/12)^12 - 1)/(mortRate/12)),
   0
)
</f>
        <v>0</v>
      </c>
      <c r="K533" s="13">
        <f>IFERROR(__xludf.DUMMYFUNCTION("IF(A533="""","""",
   IF(F533&gt;0,
      INDEX(FILTER('RE Portfolio'!L$2:L2000,'RE Portfolio'!D$2:D2000=""BUY""), INT((ROW()-2)/amortYears)+1) - G533,
      INDEX(FILTER('RE Portfolio'!L$2:L2000,'RE Portfolio'!D$2:D2000=""BUY""), INT((ROW()-2)/amortYears)+1"&amp;")
   )
)
"),46817.70836510545)</f>
        <v>46817.70837</v>
      </c>
      <c r="L533" s="15">
        <f>IFERROR(__xludf.DUMMYFUNCTION("IF(A533="""","""",
  INDEX(FILTER('RE Portfolio'!C$2:C2000,'RE Portfolio'!D$2:D2000=""BUY""), INT((ROW()-2)/amortYears)+1)
  * (1 + VALUE(Assumptions!$B$11))^(D533-1)
)
"),2685782.0720539032)</f>
        <v>2685782.072</v>
      </c>
    </row>
    <row r="534">
      <c r="A534" s="15">
        <f>IFERROR(__xludf.DUMMYFUNCTION("IFERROR(INDEX(FILTER('RE Portfolio'!A$2:A2000,'RE Portfolio'!D$2:D2000=""BUY""), INT((ROW()-2)/amortYears)+1), )
"),15.0)</f>
        <v>15</v>
      </c>
      <c r="B534" s="15">
        <f>IFERROR(__xludf.DUMMYFUNCTION("IFERROR(INDEX(FILTER('RE Portfolio'!B$2:B2000,'RE Portfolio'!D$2:D2000=""BUY""), INT((ROW()-2)/amortYears)+1), )
"),56.0)</f>
        <v>56</v>
      </c>
      <c r="C534" s="15">
        <f>IFERROR(__xludf.DUMMYFUNCTION("IFERROR(INDEX(FILTER('RE Portfolio'!G$2:G2000,'RE Portfolio'!D$2:D2000=""BUY""), INT((ROW()-2)/amortYears)+1), )
"),495845.3109988802)</f>
        <v>495845.311</v>
      </c>
      <c r="D534" s="15">
        <f>MOD(ROW()-2, amortYears)+1</f>
        <v>1</v>
      </c>
      <c r="E534" s="15">
        <f t="shared" si="1"/>
        <v>56</v>
      </c>
      <c r="F534" s="15">
        <f t="shared" si="2"/>
        <v>495845.311</v>
      </c>
      <c r="G534" s="16">
        <f>IF(D534&lt;=mortTerm, -PMT(mortRate/12, mortTerm*12, C534)*12, 0)
</f>
        <v>37608.95588</v>
      </c>
      <c r="H534" s="16">
        <f>IF(D534&lt;=mortTerm, G534 - I534, 0)
</f>
        <v>32066.76655</v>
      </c>
      <c r="I534" s="16">
        <f>IF(D534&lt;=mortTerm, F534 - J534, 0)
</f>
        <v>5542.189328</v>
      </c>
      <c r="J534" s="16">
        <f>IF(D534&lt;=mortTerm,
   F534*(1+mortRate/12)^12 - (-PMT(mortRate/12, mortTerm*12, C534))*(((1+mortRate/12)^12 - 1)/(mortRate/12)),
   0
)
</f>
        <v>490303.1217</v>
      </c>
      <c r="K534" s="13">
        <f>IFERROR(__xludf.DUMMYFUNCTION("IF(A534="""","""",
   IF(F534&gt;0,
      INDEX(FILTER('RE Portfolio'!L$2:L2000,'RE Portfolio'!D$2:D2000=""BUY""), INT((ROW()-2)/amortYears)+1) - G534,
      INDEX(FILTER('RE Portfolio'!L$2:L2000,'RE Portfolio'!D$2:D2000=""BUY""), INT((ROW()-2)/amortYears)+1"&amp;")
   )
)
"),11578.89896933089)</f>
        <v>11578.89897</v>
      </c>
      <c r="L534" s="15">
        <f>IFERROR(__xludf.DUMMYFUNCTION("IF(A534="""","""",
  INDEX(FILTER('RE Portfolio'!C$2:C2000,'RE Portfolio'!D$2:D2000=""BUY""), INT((ROW()-2)/amortYears)+1)
  * (1 + VALUE(Assumptions!$B$11))^(D534-1)
)
"),661127.0813318403)</f>
        <v>661127.0813</v>
      </c>
    </row>
    <row r="535">
      <c r="A535" s="15">
        <f>IFERROR(__xludf.DUMMYFUNCTION("IFERROR(INDEX(FILTER('RE Portfolio'!A$2:A2000,'RE Portfolio'!D$2:D2000=""BUY""), INT((ROW()-2)/amortYears)+1), )
"),15.0)</f>
        <v>15</v>
      </c>
      <c r="B535" s="15">
        <f>IFERROR(__xludf.DUMMYFUNCTION("IFERROR(INDEX(FILTER('RE Portfolio'!B$2:B2000,'RE Portfolio'!D$2:D2000=""BUY""), INT((ROW()-2)/amortYears)+1), )
"),56.0)</f>
        <v>56</v>
      </c>
      <c r="C535" s="15">
        <f>IFERROR(__xludf.DUMMYFUNCTION("IFERROR(INDEX(FILTER('RE Portfolio'!G$2:G2000,'RE Portfolio'!D$2:D2000=""BUY""), INT((ROW()-2)/amortYears)+1), )
"),495845.3109988802)</f>
        <v>495845.311</v>
      </c>
      <c r="D535" s="15">
        <f>MOD(ROW()-2, amortYears)+1</f>
        <v>2</v>
      </c>
      <c r="E535" s="15">
        <f t="shared" si="1"/>
        <v>57</v>
      </c>
      <c r="F535" s="16">
        <f t="shared" si="2"/>
        <v>490303.1217</v>
      </c>
      <c r="G535" s="16">
        <f>IF(D535&lt;=mortTerm, -PMT(mortRate/12, mortTerm*12, C535)*12, 0)
</f>
        <v>37608.95588</v>
      </c>
      <c r="H535" s="16">
        <f>IF(D535&lt;=mortTerm, G535 - I535, 0)
</f>
        <v>31695.59587</v>
      </c>
      <c r="I535" s="16">
        <f>IF(D535&lt;=mortTerm, F535 - J535, 0)
</f>
        <v>5913.360011</v>
      </c>
      <c r="J535" s="16">
        <f>IF(D535&lt;=mortTerm,
   F535*(1+mortRate/12)^12 - (-PMT(mortRate/12, mortTerm*12, C535))*(((1+mortRate/12)^12 - 1)/(mortRate/12)),
   0
)
</f>
        <v>484389.7617</v>
      </c>
      <c r="K535" s="13">
        <f>IFERROR(__xludf.DUMMYFUNCTION("IF(A535="""","""",
   IF(F535&gt;0,
      INDEX(FILTER('RE Portfolio'!L$2:L2000,'RE Portfolio'!D$2:D2000=""BUY""), INT((ROW()-2)/amortYears)+1) - G535,
      INDEX(FILTER('RE Portfolio'!L$2:L2000,'RE Portfolio'!D$2:D2000=""BUY""), INT((ROW()-2)/amortYears)+1"&amp;")
   )
)
"),11578.89896933089)</f>
        <v>11578.89897</v>
      </c>
      <c r="L535" s="15">
        <f>IFERROR(__xludf.DUMMYFUNCTION("IF(A535="""","""",
  INDEX(FILTER('RE Portfolio'!C$2:C2000,'RE Portfolio'!D$2:D2000=""BUY""), INT((ROW()-2)/amortYears)+1)
  * (1 + VALUE(Assumptions!$B$11))^(D535-1)
)
"),687572.1645851139)</f>
        <v>687572.1646</v>
      </c>
    </row>
    <row r="536">
      <c r="A536" s="15">
        <f>IFERROR(__xludf.DUMMYFUNCTION("IFERROR(INDEX(FILTER('RE Portfolio'!A$2:A2000,'RE Portfolio'!D$2:D2000=""BUY""), INT((ROW()-2)/amortYears)+1), )
"),15.0)</f>
        <v>15</v>
      </c>
      <c r="B536" s="15">
        <f>IFERROR(__xludf.DUMMYFUNCTION("IFERROR(INDEX(FILTER('RE Portfolio'!B$2:B2000,'RE Portfolio'!D$2:D2000=""BUY""), INT((ROW()-2)/amortYears)+1), )
"),56.0)</f>
        <v>56</v>
      </c>
      <c r="C536" s="15">
        <f>IFERROR(__xludf.DUMMYFUNCTION("IFERROR(INDEX(FILTER('RE Portfolio'!G$2:G2000,'RE Portfolio'!D$2:D2000=""BUY""), INT((ROW()-2)/amortYears)+1), )
"),495845.3109988802)</f>
        <v>495845.311</v>
      </c>
      <c r="D536" s="15">
        <f>MOD(ROW()-2, amortYears)+1</f>
        <v>3</v>
      </c>
      <c r="E536" s="15">
        <f t="shared" si="1"/>
        <v>58</v>
      </c>
      <c r="F536" s="16">
        <f t="shared" si="2"/>
        <v>484389.7617</v>
      </c>
      <c r="G536" s="16">
        <f>IF(D536&lt;=mortTerm, -PMT(mortRate/12, mortTerm*12, C536)*12, 0)
</f>
        <v>37608.95588</v>
      </c>
      <c r="H536" s="16">
        <f>IF(D536&lt;=mortTerm, G536 - I536, 0)
</f>
        <v>31299.5672</v>
      </c>
      <c r="I536" s="16">
        <f>IF(D536&lt;=mortTerm, F536 - J536, 0)
</f>
        <v>6309.388683</v>
      </c>
      <c r="J536" s="16">
        <f>IF(D536&lt;=mortTerm,
   F536*(1+mortRate/12)^12 - (-PMT(mortRate/12, mortTerm*12, C536))*(((1+mortRate/12)^12 - 1)/(mortRate/12)),
   0
)
</f>
        <v>478080.373</v>
      </c>
      <c r="K536" s="13">
        <f>IFERROR(__xludf.DUMMYFUNCTION("IF(A536="""","""",
   IF(F536&gt;0,
      INDEX(FILTER('RE Portfolio'!L$2:L2000,'RE Portfolio'!D$2:D2000=""BUY""), INT((ROW()-2)/amortYears)+1) - G536,
      INDEX(FILTER('RE Portfolio'!L$2:L2000,'RE Portfolio'!D$2:D2000=""BUY""), INT((ROW()-2)/amortYears)+1"&amp;")
   )
)
"),11578.89896933089)</f>
        <v>11578.89897</v>
      </c>
      <c r="L536" s="15">
        <f>IFERROR(__xludf.DUMMYFUNCTION("IF(A536="""","""",
  INDEX(FILTER('RE Portfolio'!C$2:C2000,'RE Portfolio'!D$2:D2000=""BUY""), INT((ROW()-2)/amortYears)+1)
  * (1 + VALUE(Assumptions!$B$11))^(D536-1)
)
"),715075.0511685185)</f>
        <v>715075.0512</v>
      </c>
    </row>
    <row r="537">
      <c r="A537" s="15">
        <f>IFERROR(__xludf.DUMMYFUNCTION("IFERROR(INDEX(FILTER('RE Portfolio'!A$2:A2000,'RE Portfolio'!D$2:D2000=""BUY""), INT((ROW()-2)/amortYears)+1), )
"),15.0)</f>
        <v>15</v>
      </c>
      <c r="B537" s="15">
        <f>IFERROR(__xludf.DUMMYFUNCTION("IFERROR(INDEX(FILTER('RE Portfolio'!B$2:B2000,'RE Portfolio'!D$2:D2000=""BUY""), INT((ROW()-2)/amortYears)+1), )
"),56.0)</f>
        <v>56</v>
      </c>
      <c r="C537" s="15">
        <f>IFERROR(__xludf.DUMMYFUNCTION("IFERROR(INDEX(FILTER('RE Portfolio'!G$2:G2000,'RE Portfolio'!D$2:D2000=""BUY""), INT((ROW()-2)/amortYears)+1), )
"),495845.3109988802)</f>
        <v>495845.311</v>
      </c>
      <c r="D537" s="15">
        <f>MOD(ROW()-2, amortYears)+1</f>
        <v>4</v>
      </c>
      <c r="E537" s="15">
        <f t="shared" si="1"/>
        <v>59</v>
      </c>
      <c r="F537" s="16">
        <f t="shared" si="2"/>
        <v>478080.373</v>
      </c>
      <c r="G537" s="16">
        <f>IF(D537&lt;=mortTerm, -PMT(mortRate/12, mortTerm*12, C537)*12, 0)
</f>
        <v>37608.95588</v>
      </c>
      <c r="H537" s="16">
        <f>IF(D537&lt;=mortTerm, G537 - I537, 0)
</f>
        <v>30877.01575</v>
      </c>
      <c r="I537" s="16">
        <f>IF(D537&lt;=mortTerm, F537 - J537, 0)
</f>
        <v>6731.940128</v>
      </c>
      <c r="J537" s="16">
        <f>IF(D537&lt;=mortTerm,
   F537*(1+mortRate/12)^12 - (-PMT(mortRate/12, mortTerm*12, C537))*(((1+mortRate/12)^12 - 1)/(mortRate/12)),
   0
)
</f>
        <v>471348.4328</v>
      </c>
      <c r="K537" s="13">
        <f>IFERROR(__xludf.DUMMYFUNCTION("IF(A537="""","""",
   IF(F537&gt;0,
      INDEX(FILTER('RE Portfolio'!L$2:L2000,'RE Portfolio'!D$2:D2000=""BUY""), INT((ROW()-2)/amortYears)+1) - G537,
      INDEX(FILTER('RE Portfolio'!L$2:L2000,'RE Portfolio'!D$2:D2000=""BUY""), INT((ROW()-2)/amortYears)+1"&amp;")
   )
)
"),11578.89896933089)</f>
        <v>11578.89897</v>
      </c>
      <c r="L537" s="15">
        <f>IFERROR(__xludf.DUMMYFUNCTION("IF(A537="""","""",
  INDEX(FILTER('RE Portfolio'!C$2:C2000,'RE Portfolio'!D$2:D2000=""BUY""), INT((ROW()-2)/amortYears)+1)
  * (1 + VALUE(Assumptions!$B$11))^(D537-1)
)
"),743678.0532152592)</f>
        <v>743678.0532</v>
      </c>
    </row>
    <row r="538">
      <c r="A538" s="15">
        <f>IFERROR(__xludf.DUMMYFUNCTION("IFERROR(INDEX(FILTER('RE Portfolio'!A$2:A2000,'RE Portfolio'!D$2:D2000=""BUY""), INT((ROW()-2)/amortYears)+1), )
"),15.0)</f>
        <v>15</v>
      </c>
      <c r="B538" s="15">
        <f>IFERROR(__xludf.DUMMYFUNCTION("IFERROR(INDEX(FILTER('RE Portfolio'!B$2:B2000,'RE Portfolio'!D$2:D2000=""BUY""), INT((ROW()-2)/amortYears)+1), )
"),56.0)</f>
        <v>56</v>
      </c>
      <c r="C538" s="15">
        <f>IFERROR(__xludf.DUMMYFUNCTION("IFERROR(INDEX(FILTER('RE Portfolio'!G$2:G2000,'RE Portfolio'!D$2:D2000=""BUY""), INT((ROW()-2)/amortYears)+1), )
"),495845.3109988802)</f>
        <v>495845.311</v>
      </c>
      <c r="D538" s="15">
        <f>MOD(ROW()-2, amortYears)+1</f>
        <v>5</v>
      </c>
      <c r="E538" s="15">
        <f t="shared" si="1"/>
        <v>60</v>
      </c>
      <c r="F538" s="16">
        <f t="shared" si="2"/>
        <v>471348.4328</v>
      </c>
      <c r="G538" s="16">
        <f>IF(D538&lt;=mortTerm, -PMT(mortRate/12, mortTerm*12, C538)*12, 0)
</f>
        <v>37608.95588</v>
      </c>
      <c r="H538" s="16">
        <f>IF(D538&lt;=mortTerm, G538 - I538, 0)
</f>
        <v>30426.16526</v>
      </c>
      <c r="I538" s="16">
        <f>IF(D538&lt;=mortTerm, F538 - J538, 0)
</f>
        <v>7182.790626</v>
      </c>
      <c r="J538" s="16">
        <f>IF(D538&lt;=mortTerm,
   F538*(1+mortRate/12)^12 - (-PMT(mortRate/12, mortTerm*12, C538))*(((1+mortRate/12)^12 - 1)/(mortRate/12)),
   0
)
</f>
        <v>464165.6422</v>
      </c>
      <c r="K538" s="13">
        <f>IFERROR(__xludf.DUMMYFUNCTION("IF(A538="""","""",
   IF(F538&gt;0,
      INDEX(FILTER('RE Portfolio'!L$2:L2000,'RE Portfolio'!D$2:D2000=""BUY""), INT((ROW()-2)/amortYears)+1) - G538,
      INDEX(FILTER('RE Portfolio'!L$2:L2000,'RE Portfolio'!D$2:D2000=""BUY""), INT((ROW()-2)/amortYears)+1"&amp;")
   )
)
"),11578.89896933089)</f>
        <v>11578.89897</v>
      </c>
      <c r="L538" s="15">
        <f>IFERROR(__xludf.DUMMYFUNCTION("IF(A538="""","""",
  INDEX(FILTER('RE Portfolio'!C$2:C2000,'RE Portfolio'!D$2:D2000=""BUY""), INT((ROW()-2)/amortYears)+1)
  * (1 + VALUE(Assumptions!$B$11))^(D538-1)
)
"),773425.1753438696)</f>
        <v>773425.1753</v>
      </c>
    </row>
    <row r="539">
      <c r="A539" s="15">
        <f>IFERROR(__xludf.DUMMYFUNCTION("IFERROR(INDEX(FILTER('RE Portfolio'!A$2:A2000,'RE Portfolio'!D$2:D2000=""BUY""), INT((ROW()-2)/amortYears)+1), )
"),15.0)</f>
        <v>15</v>
      </c>
      <c r="B539" s="15">
        <f>IFERROR(__xludf.DUMMYFUNCTION("IFERROR(INDEX(FILTER('RE Portfolio'!B$2:B2000,'RE Portfolio'!D$2:D2000=""BUY""), INT((ROW()-2)/amortYears)+1), )
"),56.0)</f>
        <v>56</v>
      </c>
      <c r="C539" s="15">
        <f>IFERROR(__xludf.DUMMYFUNCTION("IFERROR(INDEX(FILTER('RE Portfolio'!G$2:G2000,'RE Portfolio'!D$2:D2000=""BUY""), INT((ROW()-2)/amortYears)+1), )
"),495845.3109988802)</f>
        <v>495845.311</v>
      </c>
      <c r="D539" s="15">
        <f>MOD(ROW()-2, amortYears)+1</f>
        <v>6</v>
      </c>
      <c r="E539" s="15">
        <f t="shared" si="1"/>
        <v>61</v>
      </c>
      <c r="F539" s="16">
        <f t="shared" si="2"/>
        <v>464165.6422</v>
      </c>
      <c r="G539" s="16">
        <f>IF(D539&lt;=mortTerm, -PMT(mortRate/12, mortTerm*12, C539)*12, 0)
</f>
        <v>37608.95588</v>
      </c>
      <c r="H539" s="16">
        <f>IF(D539&lt;=mortTerm, G539 - I539, 0)
</f>
        <v>29945.12047</v>
      </c>
      <c r="I539" s="16">
        <f>IF(D539&lt;=mortTerm, F539 - J539, 0)
</f>
        <v>7663.835416</v>
      </c>
      <c r="J539" s="16">
        <f>IF(D539&lt;=mortTerm,
   F539*(1+mortRate/12)^12 - (-PMT(mortRate/12, mortTerm*12, C539))*(((1+mortRate/12)^12 - 1)/(mortRate/12)),
   0
)
</f>
        <v>456501.8068</v>
      </c>
      <c r="K539" s="13">
        <f>IFERROR(__xludf.DUMMYFUNCTION("IF(A539="""","""",
   IF(F539&gt;0,
      INDEX(FILTER('RE Portfolio'!L$2:L2000,'RE Portfolio'!D$2:D2000=""BUY""), INT((ROW()-2)/amortYears)+1) - G539,
      INDEX(FILTER('RE Portfolio'!L$2:L2000,'RE Portfolio'!D$2:D2000=""BUY""), INT((ROW()-2)/amortYears)+1"&amp;")
   )
)
"),11578.89896933089)</f>
        <v>11578.89897</v>
      </c>
      <c r="L539" s="15">
        <f>IFERROR(__xludf.DUMMYFUNCTION("IF(A539="""","""",
  INDEX(FILTER('RE Portfolio'!C$2:C2000,'RE Portfolio'!D$2:D2000=""BUY""), INT((ROW()-2)/amortYears)+1)
  * (1 + VALUE(Assumptions!$B$11))^(D539-1)
)
"),804362.1823576244)</f>
        <v>804362.1824</v>
      </c>
    </row>
    <row r="540">
      <c r="A540" s="15">
        <f>IFERROR(__xludf.DUMMYFUNCTION("IFERROR(INDEX(FILTER('RE Portfolio'!A$2:A2000,'RE Portfolio'!D$2:D2000=""BUY""), INT((ROW()-2)/amortYears)+1), )
"),15.0)</f>
        <v>15</v>
      </c>
      <c r="B540" s="15">
        <f>IFERROR(__xludf.DUMMYFUNCTION("IFERROR(INDEX(FILTER('RE Portfolio'!B$2:B2000,'RE Portfolio'!D$2:D2000=""BUY""), INT((ROW()-2)/amortYears)+1), )
"),56.0)</f>
        <v>56</v>
      </c>
      <c r="C540" s="15">
        <f>IFERROR(__xludf.DUMMYFUNCTION("IFERROR(INDEX(FILTER('RE Portfolio'!G$2:G2000,'RE Portfolio'!D$2:D2000=""BUY""), INT((ROW()-2)/amortYears)+1), )
"),495845.3109988802)</f>
        <v>495845.311</v>
      </c>
      <c r="D540" s="15">
        <f>MOD(ROW()-2, amortYears)+1</f>
        <v>7</v>
      </c>
      <c r="E540" s="15">
        <f t="shared" si="1"/>
        <v>62</v>
      </c>
      <c r="F540" s="16">
        <f t="shared" si="2"/>
        <v>456501.8068</v>
      </c>
      <c r="G540" s="16">
        <f>IF(D540&lt;=mortTerm, -PMT(mortRate/12, mortTerm*12, C540)*12, 0)
</f>
        <v>37608.95588</v>
      </c>
      <c r="H540" s="16">
        <f>IF(D540&lt;=mortTerm, G540 - I540, 0)
</f>
        <v>29431.85921</v>
      </c>
      <c r="I540" s="16">
        <f>IF(D540&lt;=mortTerm, F540 - J540, 0)
</f>
        <v>8177.096668</v>
      </c>
      <c r="J540" s="16">
        <f>IF(D540&lt;=mortTerm,
   F540*(1+mortRate/12)^12 - (-PMT(mortRate/12, mortTerm*12, C540))*(((1+mortRate/12)^12 - 1)/(mortRate/12)),
   0
)
</f>
        <v>448324.7101</v>
      </c>
      <c r="K540" s="13">
        <f>IFERROR(__xludf.DUMMYFUNCTION("IF(A540="""","""",
   IF(F540&gt;0,
      INDEX(FILTER('RE Portfolio'!L$2:L2000,'RE Portfolio'!D$2:D2000=""BUY""), INT((ROW()-2)/amortYears)+1) - G540,
      INDEX(FILTER('RE Portfolio'!L$2:L2000,'RE Portfolio'!D$2:D2000=""BUY""), INT((ROW()-2)/amortYears)+1"&amp;")
   )
)
"),11578.89896933089)</f>
        <v>11578.89897</v>
      </c>
      <c r="L540" s="15">
        <f>IFERROR(__xludf.DUMMYFUNCTION("IF(A540="""","""",
  INDEX(FILTER('RE Portfolio'!C$2:C2000,'RE Portfolio'!D$2:D2000=""BUY""), INT((ROW()-2)/amortYears)+1)
  * (1 + VALUE(Assumptions!$B$11))^(D540-1)
)
"),836536.6696519295)</f>
        <v>836536.6697</v>
      </c>
    </row>
    <row r="541">
      <c r="A541" s="15">
        <f>IFERROR(__xludf.DUMMYFUNCTION("IFERROR(INDEX(FILTER('RE Portfolio'!A$2:A2000,'RE Portfolio'!D$2:D2000=""BUY""), INT((ROW()-2)/amortYears)+1), )
"),15.0)</f>
        <v>15</v>
      </c>
      <c r="B541" s="15">
        <f>IFERROR(__xludf.DUMMYFUNCTION("IFERROR(INDEX(FILTER('RE Portfolio'!B$2:B2000,'RE Portfolio'!D$2:D2000=""BUY""), INT((ROW()-2)/amortYears)+1), )
"),56.0)</f>
        <v>56</v>
      </c>
      <c r="C541" s="15">
        <f>IFERROR(__xludf.DUMMYFUNCTION("IFERROR(INDEX(FILTER('RE Portfolio'!G$2:G2000,'RE Portfolio'!D$2:D2000=""BUY""), INT((ROW()-2)/amortYears)+1), )
"),495845.3109988802)</f>
        <v>495845.311</v>
      </c>
      <c r="D541" s="15">
        <f>MOD(ROW()-2, amortYears)+1</f>
        <v>8</v>
      </c>
      <c r="E541" s="15">
        <f t="shared" si="1"/>
        <v>63</v>
      </c>
      <c r="F541" s="16">
        <f t="shared" si="2"/>
        <v>448324.7101</v>
      </c>
      <c r="G541" s="16">
        <f>IF(D541&lt;=mortTerm, -PMT(mortRate/12, mortTerm*12, C541)*12, 0)
</f>
        <v>37608.95588</v>
      </c>
      <c r="H541" s="16">
        <f>IF(D541&lt;=mortTerm, G541 - I541, 0)
</f>
        <v>28884.22391</v>
      </c>
      <c r="I541" s="16">
        <f>IF(D541&lt;=mortTerm, F541 - J541, 0)
</f>
        <v>8724.731975</v>
      </c>
      <c r="J541" s="16">
        <f>IF(D541&lt;=mortTerm,
   F541*(1+mortRate/12)^12 - (-PMT(mortRate/12, mortTerm*12, C541))*(((1+mortRate/12)^12 - 1)/(mortRate/12)),
   0
)
</f>
        <v>439599.9782</v>
      </c>
      <c r="K541" s="13">
        <f>IFERROR(__xludf.DUMMYFUNCTION("IF(A541="""","""",
   IF(F541&gt;0,
      INDEX(FILTER('RE Portfolio'!L$2:L2000,'RE Portfolio'!D$2:D2000=""BUY""), INT((ROW()-2)/amortYears)+1) - G541,
      INDEX(FILTER('RE Portfolio'!L$2:L2000,'RE Portfolio'!D$2:D2000=""BUY""), INT((ROW()-2)/amortYears)+1"&amp;")
   )
)
"),11578.89896933089)</f>
        <v>11578.89897</v>
      </c>
      <c r="L541" s="15">
        <f>IFERROR(__xludf.DUMMYFUNCTION("IF(A541="""","""",
  INDEX(FILTER('RE Portfolio'!C$2:C2000,'RE Portfolio'!D$2:D2000=""BUY""), INT((ROW()-2)/amortYears)+1)
  * (1 + VALUE(Assumptions!$B$11))^(D541-1)
)
"),869998.1364380067)</f>
        <v>869998.1364</v>
      </c>
    </row>
    <row r="542">
      <c r="A542" s="15">
        <f>IFERROR(__xludf.DUMMYFUNCTION("IFERROR(INDEX(FILTER('RE Portfolio'!A$2:A2000,'RE Portfolio'!D$2:D2000=""BUY""), INT((ROW()-2)/amortYears)+1), )
"),15.0)</f>
        <v>15</v>
      </c>
      <c r="B542" s="15">
        <f>IFERROR(__xludf.DUMMYFUNCTION("IFERROR(INDEX(FILTER('RE Portfolio'!B$2:B2000,'RE Portfolio'!D$2:D2000=""BUY""), INT((ROW()-2)/amortYears)+1), )
"),56.0)</f>
        <v>56</v>
      </c>
      <c r="C542" s="15">
        <f>IFERROR(__xludf.DUMMYFUNCTION("IFERROR(INDEX(FILTER('RE Portfolio'!G$2:G2000,'RE Portfolio'!D$2:D2000=""BUY""), INT((ROW()-2)/amortYears)+1), )
"),495845.3109988802)</f>
        <v>495845.311</v>
      </c>
      <c r="D542" s="15">
        <f>MOD(ROW()-2, amortYears)+1</f>
        <v>9</v>
      </c>
      <c r="E542" s="15">
        <f t="shared" si="1"/>
        <v>64</v>
      </c>
      <c r="F542" s="16">
        <f t="shared" si="2"/>
        <v>439599.9782</v>
      </c>
      <c r="G542" s="16">
        <f>IF(D542&lt;=mortTerm, -PMT(mortRate/12, mortTerm*12, C542)*12, 0)
</f>
        <v>37608.95588</v>
      </c>
      <c r="H542" s="16">
        <f>IF(D542&lt;=mortTerm, G542 - I542, 0)
</f>
        <v>28299.91245</v>
      </c>
      <c r="I542" s="16">
        <f>IF(D542&lt;=mortTerm, F542 - J542, 0)
</f>
        <v>9309.043434</v>
      </c>
      <c r="J542" s="16">
        <f>IF(D542&lt;=mortTerm,
   F542*(1+mortRate/12)^12 - (-PMT(mortRate/12, mortTerm*12, C542))*(((1+mortRate/12)^12 - 1)/(mortRate/12)),
   0
)
</f>
        <v>430290.9347</v>
      </c>
      <c r="K542" s="13">
        <f>IFERROR(__xludf.DUMMYFUNCTION("IF(A542="""","""",
   IF(F542&gt;0,
      INDEX(FILTER('RE Portfolio'!L$2:L2000,'RE Portfolio'!D$2:D2000=""BUY""), INT((ROW()-2)/amortYears)+1) - G542,
      INDEX(FILTER('RE Portfolio'!L$2:L2000,'RE Portfolio'!D$2:D2000=""BUY""), INT((ROW()-2)/amortYears)+1"&amp;")
   )
)
"),11578.89896933089)</f>
        <v>11578.89897</v>
      </c>
      <c r="L542" s="15">
        <f>IFERROR(__xludf.DUMMYFUNCTION("IF(A542="""","""",
  INDEX(FILTER('RE Portfolio'!C$2:C2000,'RE Portfolio'!D$2:D2000=""BUY""), INT((ROW()-2)/amortYears)+1)
  * (1 + VALUE(Assumptions!$B$11))^(D542-1)
)
"),904798.0618955268)</f>
        <v>904798.0619</v>
      </c>
    </row>
    <row r="543">
      <c r="A543" s="15">
        <f>IFERROR(__xludf.DUMMYFUNCTION("IFERROR(INDEX(FILTER('RE Portfolio'!A$2:A2000,'RE Portfolio'!D$2:D2000=""BUY""), INT((ROW()-2)/amortYears)+1), )
"),15.0)</f>
        <v>15</v>
      </c>
      <c r="B543" s="15">
        <f>IFERROR(__xludf.DUMMYFUNCTION("IFERROR(INDEX(FILTER('RE Portfolio'!B$2:B2000,'RE Portfolio'!D$2:D2000=""BUY""), INT((ROW()-2)/amortYears)+1), )
"),56.0)</f>
        <v>56</v>
      </c>
      <c r="C543" s="15">
        <f>IFERROR(__xludf.DUMMYFUNCTION("IFERROR(INDEX(FILTER('RE Portfolio'!G$2:G2000,'RE Portfolio'!D$2:D2000=""BUY""), INT((ROW()-2)/amortYears)+1), )
"),495845.3109988802)</f>
        <v>495845.311</v>
      </c>
      <c r="D543" s="15">
        <f>MOD(ROW()-2, amortYears)+1</f>
        <v>10</v>
      </c>
      <c r="E543" s="15">
        <f t="shared" si="1"/>
        <v>65</v>
      </c>
      <c r="F543" s="16">
        <f t="shared" si="2"/>
        <v>430290.9347</v>
      </c>
      <c r="G543" s="16">
        <f>IF(D543&lt;=mortTerm, -PMT(mortRate/12, mortTerm*12, C543)*12, 0)
</f>
        <v>37608.95588</v>
      </c>
      <c r="H543" s="16">
        <f>IF(D543&lt;=mortTerm, G543 - I543, 0)
</f>
        <v>27676.46857</v>
      </c>
      <c r="I543" s="16">
        <f>IF(D543&lt;=mortTerm, F543 - J543, 0)
</f>
        <v>9932.487313</v>
      </c>
      <c r="J543" s="16">
        <f>IF(D543&lt;=mortTerm,
   F543*(1+mortRate/12)^12 - (-PMT(mortRate/12, mortTerm*12, C543))*(((1+mortRate/12)^12 - 1)/(mortRate/12)),
   0
)
</f>
        <v>420358.4474</v>
      </c>
      <c r="K543" s="13">
        <f>IFERROR(__xludf.DUMMYFUNCTION("IF(A543="""","""",
   IF(F543&gt;0,
      INDEX(FILTER('RE Portfolio'!L$2:L2000,'RE Portfolio'!D$2:D2000=""BUY""), INT((ROW()-2)/amortYears)+1) - G543,
      INDEX(FILTER('RE Portfolio'!L$2:L2000,'RE Portfolio'!D$2:D2000=""BUY""), INT((ROW()-2)/amortYears)+1"&amp;")
   )
)
"),11578.89896933089)</f>
        <v>11578.89897</v>
      </c>
      <c r="L543" s="15">
        <f>IFERROR(__xludf.DUMMYFUNCTION("IF(A543="""","""",
  INDEX(FILTER('RE Portfolio'!C$2:C2000,'RE Portfolio'!D$2:D2000=""BUY""), INT((ROW()-2)/amortYears)+1)
  * (1 + VALUE(Assumptions!$B$11))^(D543-1)
)
"),940989.984371348)</f>
        <v>940989.9844</v>
      </c>
    </row>
    <row r="544">
      <c r="A544" s="15">
        <f>IFERROR(__xludf.DUMMYFUNCTION("IFERROR(INDEX(FILTER('RE Portfolio'!A$2:A2000,'RE Portfolio'!D$2:D2000=""BUY""), INT((ROW()-2)/amortYears)+1), )
"),15.0)</f>
        <v>15</v>
      </c>
      <c r="B544" s="15">
        <f>IFERROR(__xludf.DUMMYFUNCTION("IFERROR(INDEX(FILTER('RE Portfolio'!B$2:B2000,'RE Portfolio'!D$2:D2000=""BUY""), INT((ROW()-2)/amortYears)+1), )
"),56.0)</f>
        <v>56</v>
      </c>
      <c r="C544" s="15">
        <f>IFERROR(__xludf.DUMMYFUNCTION("IFERROR(INDEX(FILTER('RE Portfolio'!G$2:G2000,'RE Portfolio'!D$2:D2000=""BUY""), INT((ROW()-2)/amortYears)+1), )
"),495845.3109988802)</f>
        <v>495845.311</v>
      </c>
      <c r="D544" s="15">
        <f>MOD(ROW()-2, amortYears)+1</f>
        <v>11</v>
      </c>
      <c r="E544" s="15">
        <f t="shared" si="1"/>
        <v>66</v>
      </c>
      <c r="F544" s="16">
        <f t="shared" si="2"/>
        <v>420358.4474</v>
      </c>
      <c r="G544" s="16">
        <f>IF(D544&lt;=mortTerm, -PMT(mortRate/12, mortTerm*12, C544)*12, 0)
</f>
        <v>37608.95588</v>
      </c>
      <c r="H544" s="16">
        <f>IF(D544&lt;=mortTerm, G544 - I544, 0)
</f>
        <v>27011.2715</v>
      </c>
      <c r="I544" s="16">
        <f>IF(D544&lt;=mortTerm, F544 - J544, 0)
</f>
        <v>10597.68438</v>
      </c>
      <c r="J544" s="16">
        <f>IF(D544&lt;=mortTerm,
   F544*(1+mortRate/12)^12 - (-PMT(mortRate/12, mortTerm*12, C544))*(((1+mortRate/12)^12 - 1)/(mortRate/12)),
   0
)
</f>
        <v>409760.763</v>
      </c>
      <c r="K544" s="13">
        <f>IFERROR(__xludf.DUMMYFUNCTION("IF(A544="""","""",
   IF(F544&gt;0,
      INDEX(FILTER('RE Portfolio'!L$2:L2000,'RE Portfolio'!D$2:D2000=""BUY""), INT((ROW()-2)/amortYears)+1) - G544,
      INDEX(FILTER('RE Portfolio'!L$2:L2000,'RE Portfolio'!D$2:D2000=""BUY""), INT((ROW()-2)/amortYears)+1"&amp;")
   )
)
"),11578.89896933089)</f>
        <v>11578.89897</v>
      </c>
      <c r="L544" s="15">
        <f>IFERROR(__xludf.DUMMYFUNCTION("IF(A544="""","""",
  INDEX(FILTER('RE Portfolio'!C$2:C2000,'RE Portfolio'!D$2:D2000=""BUY""), INT((ROW()-2)/amortYears)+1)
  * (1 + VALUE(Assumptions!$B$11))^(D544-1)
)
"),978629.5837462019)</f>
        <v>978629.5837</v>
      </c>
    </row>
    <row r="545">
      <c r="A545" s="15">
        <f>IFERROR(__xludf.DUMMYFUNCTION("IFERROR(INDEX(FILTER('RE Portfolio'!A$2:A2000,'RE Portfolio'!D$2:D2000=""BUY""), INT((ROW()-2)/amortYears)+1), )
"),15.0)</f>
        <v>15</v>
      </c>
      <c r="B545" s="15">
        <f>IFERROR(__xludf.DUMMYFUNCTION("IFERROR(INDEX(FILTER('RE Portfolio'!B$2:B2000,'RE Portfolio'!D$2:D2000=""BUY""), INT((ROW()-2)/amortYears)+1), )
"),56.0)</f>
        <v>56</v>
      </c>
      <c r="C545" s="15">
        <f>IFERROR(__xludf.DUMMYFUNCTION("IFERROR(INDEX(FILTER('RE Portfolio'!G$2:G2000,'RE Portfolio'!D$2:D2000=""BUY""), INT((ROW()-2)/amortYears)+1), )
"),495845.3109988802)</f>
        <v>495845.311</v>
      </c>
      <c r="D545" s="15">
        <f>MOD(ROW()-2, amortYears)+1</f>
        <v>12</v>
      </c>
      <c r="E545" s="15">
        <f t="shared" si="1"/>
        <v>67</v>
      </c>
      <c r="F545" s="16">
        <f t="shared" si="2"/>
        <v>409760.763</v>
      </c>
      <c r="G545" s="16">
        <f>IF(D545&lt;=mortTerm, -PMT(mortRate/12, mortTerm*12, C545)*12, 0)
</f>
        <v>37608.95588</v>
      </c>
      <c r="H545" s="16">
        <f>IF(D545&lt;=mortTerm, G545 - I545, 0)
</f>
        <v>26301.52495</v>
      </c>
      <c r="I545" s="16">
        <f>IF(D545&lt;=mortTerm, F545 - J545, 0)
</f>
        <v>11307.43093</v>
      </c>
      <c r="J545" s="16">
        <f>IF(D545&lt;=mortTerm,
   F545*(1+mortRate/12)^12 - (-PMT(mortRate/12, mortTerm*12, C545))*(((1+mortRate/12)^12 - 1)/(mortRate/12)),
   0
)
</f>
        <v>398453.3321</v>
      </c>
      <c r="K545" s="13">
        <f>IFERROR(__xludf.DUMMYFUNCTION("IF(A545="""","""",
   IF(F545&gt;0,
      INDEX(FILTER('RE Portfolio'!L$2:L2000,'RE Portfolio'!D$2:D2000=""BUY""), INT((ROW()-2)/amortYears)+1) - G545,
      INDEX(FILTER('RE Portfolio'!L$2:L2000,'RE Portfolio'!D$2:D2000=""BUY""), INT((ROW()-2)/amortYears)+1"&amp;")
   )
)
"),11578.89896933089)</f>
        <v>11578.89897</v>
      </c>
      <c r="L545" s="15">
        <f>IFERROR(__xludf.DUMMYFUNCTION("IF(A545="""","""",
  INDEX(FILTER('RE Portfolio'!C$2:C2000,'RE Portfolio'!D$2:D2000=""BUY""), INT((ROW()-2)/amortYears)+1)
  * (1 + VALUE(Assumptions!$B$11))^(D545-1)
)
"),1017774.7670960501)</f>
        <v>1017774.767</v>
      </c>
    </row>
    <row r="546">
      <c r="A546" s="15">
        <f>IFERROR(__xludf.DUMMYFUNCTION("IFERROR(INDEX(FILTER('RE Portfolio'!A$2:A2000,'RE Portfolio'!D$2:D2000=""BUY""), INT((ROW()-2)/amortYears)+1), )
"),15.0)</f>
        <v>15</v>
      </c>
      <c r="B546" s="15">
        <f>IFERROR(__xludf.DUMMYFUNCTION("IFERROR(INDEX(FILTER('RE Portfolio'!B$2:B2000,'RE Portfolio'!D$2:D2000=""BUY""), INT((ROW()-2)/amortYears)+1), )
"),56.0)</f>
        <v>56</v>
      </c>
      <c r="C546" s="15">
        <f>IFERROR(__xludf.DUMMYFUNCTION("IFERROR(INDEX(FILTER('RE Portfolio'!G$2:G2000,'RE Portfolio'!D$2:D2000=""BUY""), INT((ROW()-2)/amortYears)+1), )
"),495845.3109988802)</f>
        <v>495845.311</v>
      </c>
      <c r="D546" s="15">
        <f>MOD(ROW()-2, amortYears)+1</f>
        <v>13</v>
      </c>
      <c r="E546" s="15">
        <f t="shared" si="1"/>
        <v>68</v>
      </c>
      <c r="F546" s="16">
        <f t="shared" si="2"/>
        <v>398453.3321</v>
      </c>
      <c r="G546" s="16">
        <f>IF(D546&lt;=mortTerm, -PMT(mortRate/12, mortTerm*12, C546)*12, 0)
</f>
        <v>37608.95588</v>
      </c>
      <c r="H546" s="16">
        <f>IF(D546&lt;=mortTerm, G546 - I546, 0)
</f>
        <v>25544.24536</v>
      </c>
      <c r="I546" s="16">
        <f>IF(D546&lt;=mortTerm, F546 - J546, 0)
</f>
        <v>12064.71052</v>
      </c>
      <c r="J546" s="16">
        <f>IF(D546&lt;=mortTerm,
   F546*(1+mortRate/12)^12 - (-PMT(mortRate/12, mortTerm*12, C546))*(((1+mortRate/12)^12 - 1)/(mortRate/12)),
   0
)
</f>
        <v>386388.6216</v>
      </c>
      <c r="K546" s="13">
        <f>IFERROR(__xludf.DUMMYFUNCTION("IF(A546="""","""",
   IF(F546&gt;0,
      INDEX(FILTER('RE Portfolio'!L$2:L2000,'RE Portfolio'!D$2:D2000=""BUY""), INT((ROW()-2)/amortYears)+1) - G546,
      INDEX(FILTER('RE Portfolio'!L$2:L2000,'RE Portfolio'!D$2:D2000=""BUY""), INT((ROW()-2)/amortYears)+1"&amp;")
   )
)
"),11578.89896933089)</f>
        <v>11578.89897</v>
      </c>
      <c r="L546" s="15">
        <f>IFERROR(__xludf.DUMMYFUNCTION("IF(A546="""","""",
  INDEX(FILTER('RE Portfolio'!C$2:C2000,'RE Portfolio'!D$2:D2000=""BUY""), INT((ROW()-2)/amortYears)+1)
  * (1 + VALUE(Assumptions!$B$11))^(D546-1)
)
"),1058485.7577798923)</f>
        <v>1058485.758</v>
      </c>
    </row>
    <row r="547">
      <c r="A547" s="15">
        <f>IFERROR(__xludf.DUMMYFUNCTION("IFERROR(INDEX(FILTER('RE Portfolio'!A$2:A2000,'RE Portfolio'!D$2:D2000=""BUY""), INT((ROW()-2)/amortYears)+1), )
"),15.0)</f>
        <v>15</v>
      </c>
      <c r="B547" s="15">
        <f>IFERROR(__xludf.DUMMYFUNCTION("IFERROR(INDEX(FILTER('RE Portfolio'!B$2:B2000,'RE Portfolio'!D$2:D2000=""BUY""), INT((ROW()-2)/amortYears)+1), )
"),56.0)</f>
        <v>56</v>
      </c>
      <c r="C547" s="15">
        <f>IFERROR(__xludf.DUMMYFUNCTION("IFERROR(INDEX(FILTER('RE Portfolio'!G$2:G2000,'RE Portfolio'!D$2:D2000=""BUY""), INT((ROW()-2)/amortYears)+1), )
"),495845.3109988802)</f>
        <v>495845.311</v>
      </c>
      <c r="D547" s="15">
        <f>MOD(ROW()-2, amortYears)+1</f>
        <v>14</v>
      </c>
      <c r="E547" s="15">
        <f t="shared" si="1"/>
        <v>69</v>
      </c>
      <c r="F547" s="16">
        <f t="shared" si="2"/>
        <v>386388.6216</v>
      </c>
      <c r="G547" s="16">
        <f>IF(D547&lt;=mortTerm, -PMT(mortRate/12, mortTerm*12, C547)*12, 0)
</f>
        <v>37608.95588</v>
      </c>
      <c r="H547" s="16">
        <f>IF(D547&lt;=mortTerm, G547 - I547, 0)
</f>
        <v>24736.24935</v>
      </c>
      <c r="I547" s="16">
        <f>IF(D547&lt;=mortTerm, F547 - J547, 0)
</f>
        <v>12872.70653</v>
      </c>
      <c r="J547" s="16">
        <f>IF(D547&lt;=mortTerm,
   F547*(1+mortRate/12)^12 - (-PMT(mortRate/12, mortTerm*12, C547))*(((1+mortRate/12)^12 - 1)/(mortRate/12)),
   0
)
</f>
        <v>373515.915</v>
      </c>
      <c r="K547" s="13">
        <f>IFERROR(__xludf.DUMMYFUNCTION("IF(A547="""","""",
   IF(F547&gt;0,
      INDEX(FILTER('RE Portfolio'!L$2:L2000,'RE Portfolio'!D$2:D2000=""BUY""), INT((ROW()-2)/amortYears)+1) - G547,
      INDEX(FILTER('RE Portfolio'!L$2:L2000,'RE Portfolio'!D$2:D2000=""BUY""), INT((ROW()-2)/amortYears)+1"&amp;")
   )
)
"),11578.89896933089)</f>
        <v>11578.89897</v>
      </c>
      <c r="L547" s="15">
        <f>IFERROR(__xludf.DUMMYFUNCTION("IF(A547="""","""",
  INDEX(FILTER('RE Portfolio'!C$2:C2000,'RE Portfolio'!D$2:D2000=""BUY""), INT((ROW()-2)/amortYears)+1)
  * (1 + VALUE(Assumptions!$B$11))^(D547-1)
)
"),1100825.1880910879)</f>
        <v>1100825.188</v>
      </c>
    </row>
    <row r="548">
      <c r="A548" s="15">
        <f>IFERROR(__xludf.DUMMYFUNCTION("IFERROR(INDEX(FILTER('RE Portfolio'!A$2:A2000,'RE Portfolio'!D$2:D2000=""BUY""), INT((ROW()-2)/amortYears)+1), )
"),15.0)</f>
        <v>15</v>
      </c>
      <c r="B548" s="15">
        <f>IFERROR(__xludf.DUMMYFUNCTION("IFERROR(INDEX(FILTER('RE Portfolio'!B$2:B2000,'RE Portfolio'!D$2:D2000=""BUY""), INT((ROW()-2)/amortYears)+1), )
"),56.0)</f>
        <v>56</v>
      </c>
      <c r="C548" s="15">
        <f>IFERROR(__xludf.DUMMYFUNCTION("IFERROR(INDEX(FILTER('RE Portfolio'!G$2:G2000,'RE Portfolio'!D$2:D2000=""BUY""), INT((ROW()-2)/amortYears)+1), )
"),495845.3109988802)</f>
        <v>495845.311</v>
      </c>
      <c r="D548" s="15">
        <f>MOD(ROW()-2, amortYears)+1</f>
        <v>15</v>
      </c>
      <c r="E548" s="15">
        <f t="shared" si="1"/>
        <v>70</v>
      </c>
      <c r="F548" s="16">
        <f t="shared" si="2"/>
        <v>373515.915</v>
      </c>
      <c r="G548" s="16">
        <f>IF(D548&lt;=mortTerm, -PMT(mortRate/12, mortTerm*12, C548)*12, 0)
</f>
        <v>37608.95588</v>
      </c>
      <c r="H548" s="16">
        <f>IF(D548&lt;=mortTerm, G548 - I548, 0)
</f>
        <v>23874.14035</v>
      </c>
      <c r="I548" s="16">
        <f>IF(D548&lt;=mortTerm, F548 - J548, 0)
</f>
        <v>13734.81553</v>
      </c>
      <c r="J548" s="16">
        <f>IF(D548&lt;=mortTerm,
   F548*(1+mortRate/12)^12 - (-PMT(mortRate/12, mortTerm*12, C548))*(((1+mortRate/12)^12 - 1)/(mortRate/12)),
   0
)
</f>
        <v>359781.0995</v>
      </c>
      <c r="K548" s="13">
        <f>IFERROR(__xludf.DUMMYFUNCTION("IF(A548="""","""",
   IF(F548&gt;0,
      INDEX(FILTER('RE Portfolio'!L$2:L2000,'RE Portfolio'!D$2:D2000=""BUY""), INT((ROW()-2)/amortYears)+1) - G548,
      INDEX(FILTER('RE Portfolio'!L$2:L2000,'RE Portfolio'!D$2:D2000=""BUY""), INT((ROW()-2)/amortYears)+1"&amp;")
   )
)
"),11578.89896933089)</f>
        <v>11578.89897</v>
      </c>
      <c r="L548" s="15">
        <f>IFERROR(__xludf.DUMMYFUNCTION("IF(A548="""","""",
  INDEX(FILTER('RE Portfolio'!C$2:C2000,'RE Portfolio'!D$2:D2000=""BUY""), INT((ROW()-2)/amortYears)+1)
  * (1 + VALUE(Assumptions!$B$11))^(D548-1)
)
"),1144858.1956147314)</f>
        <v>1144858.196</v>
      </c>
    </row>
    <row r="549">
      <c r="A549" s="15">
        <f>IFERROR(__xludf.DUMMYFUNCTION("IFERROR(INDEX(FILTER('RE Portfolio'!A$2:A2000,'RE Portfolio'!D$2:D2000=""BUY""), INT((ROW()-2)/amortYears)+1), )
"),15.0)</f>
        <v>15</v>
      </c>
      <c r="B549" s="15">
        <f>IFERROR(__xludf.DUMMYFUNCTION("IFERROR(INDEX(FILTER('RE Portfolio'!B$2:B2000,'RE Portfolio'!D$2:D2000=""BUY""), INT((ROW()-2)/amortYears)+1), )
"),56.0)</f>
        <v>56</v>
      </c>
      <c r="C549" s="15">
        <f>IFERROR(__xludf.DUMMYFUNCTION("IFERROR(INDEX(FILTER('RE Portfolio'!G$2:G2000,'RE Portfolio'!D$2:D2000=""BUY""), INT((ROW()-2)/amortYears)+1), )
"),495845.3109988802)</f>
        <v>495845.311</v>
      </c>
      <c r="D549" s="15">
        <f>MOD(ROW()-2, amortYears)+1</f>
        <v>16</v>
      </c>
      <c r="E549" s="15">
        <f t="shared" si="1"/>
        <v>71</v>
      </c>
      <c r="F549" s="16">
        <f t="shared" si="2"/>
        <v>359781.0995</v>
      </c>
      <c r="G549" s="16">
        <f>IF(D549&lt;=mortTerm, -PMT(mortRate/12, mortTerm*12, C549)*12, 0)
</f>
        <v>37608.95588</v>
      </c>
      <c r="H549" s="16">
        <f>IF(D549&lt;=mortTerm, G549 - I549, 0)
</f>
        <v>22954.29432</v>
      </c>
      <c r="I549" s="16">
        <f>IF(D549&lt;=mortTerm, F549 - J549, 0)
</f>
        <v>14654.66156</v>
      </c>
      <c r="J549" s="16">
        <f>IF(D549&lt;=mortTerm,
   F549*(1+mortRate/12)^12 - (-PMT(mortRate/12, mortTerm*12, C549))*(((1+mortRate/12)^12 - 1)/(mortRate/12)),
   0
)
</f>
        <v>345126.438</v>
      </c>
      <c r="K549" s="13">
        <f>IFERROR(__xludf.DUMMYFUNCTION("IF(A549="""","""",
   IF(F549&gt;0,
      INDEX(FILTER('RE Portfolio'!L$2:L2000,'RE Portfolio'!D$2:D2000=""BUY""), INT((ROW()-2)/amortYears)+1) - G549,
      INDEX(FILTER('RE Portfolio'!L$2:L2000,'RE Portfolio'!D$2:D2000=""BUY""), INT((ROW()-2)/amortYears)+1"&amp;")
   )
)
"),11578.89896933089)</f>
        <v>11578.89897</v>
      </c>
      <c r="L549" s="15">
        <f>IFERROR(__xludf.DUMMYFUNCTION("IF(A549="""","""",
  INDEX(FILTER('RE Portfolio'!C$2:C2000,'RE Portfolio'!D$2:D2000=""BUY""), INT((ROW()-2)/amortYears)+1)
  * (1 + VALUE(Assumptions!$B$11))^(D549-1)
)
"),1190652.5234393207)</f>
        <v>1190652.523</v>
      </c>
    </row>
    <row r="550">
      <c r="A550" s="15">
        <f>IFERROR(__xludf.DUMMYFUNCTION("IFERROR(INDEX(FILTER('RE Portfolio'!A$2:A2000,'RE Portfolio'!D$2:D2000=""BUY""), INT((ROW()-2)/amortYears)+1), )
"),15.0)</f>
        <v>15</v>
      </c>
      <c r="B550" s="15">
        <f>IFERROR(__xludf.DUMMYFUNCTION("IFERROR(INDEX(FILTER('RE Portfolio'!B$2:B2000,'RE Portfolio'!D$2:D2000=""BUY""), INT((ROW()-2)/amortYears)+1), )
"),56.0)</f>
        <v>56</v>
      </c>
      <c r="C550" s="15">
        <f>IFERROR(__xludf.DUMMYFUNCTION("IFERROR(INDEX(FILTER('RE Portfolio'!G$2:G2000,'RE Portfolio'!D$2:D2000=""BUY""), INT((ROW()-2)/amortYears)+1), )
"),495845.3109988802)</f>
        <v>495845.311</v>
      </c>
      <c r="D550" s="15">
        <f>MOD(ROW()-2, amortYears)+1</f>
        <v>17</v>
      </c>
      <c r="E550" s="15">
        <f t="shared" si="1"/>
        <v>72</v>
      </c>
      <c r="F550" s="16">
        <f t="shared" si="2"/>
        <v>345126.438</v>
      </c>
      <c r="G550" s="16">
        <f>IF(D550&lt;=mortTerm, -PMT(mortRate/12, mortTerm*12, C550)*12, 0)
</f>
        <v>37608.95588</v>
      </c>
      <c r="H550" s="16">
        <f>IF(D550&lt;=mortTerm, G550 - I550, 0)
</f>
        <v>21972.84449</v>
      </c>
      <c r="I550" s="16">
        <f>IF(D550&lt;=mortTerm, F550 - J550, 0)
</f>
        <v>15636.11139</v>
      </c>
      <c r="J550" s="16">
        <f>IF(D550&lt;=mortTerm,
   F550*(1+mortRate/12)^12 - (-PMT(mortRate/12, mortTerm*12, C550))*(((1+mortRate/12)^12 - 1)/(mortRate/12)),
   0
)
</f>
        <v>329490.3266</v>
      </c>
      <c r="K550" s="13">
        <f>IFERROR(__xludf.DUMMYFUNCTION("IF(A550="""","""",
   IF(F550&gt;0,
      INDEX(FILTER('RE Portfolio'!L$2:L2000,'RE Portfolio'!D$2:D2000=""BUY""), INT((ROW()-2)/amortYears)+1) - G550,
      INDEX(FILTER('RE Portfolio'!L$2:L2000,'RE Portfolio'!D$2:D2000=""BUY""), INT((ROW()-2)/amortYears)+1"&amp;")
   )
)
"),11578.89896933089)</f>
        <v>11578.89897</v>
      </c>
      <c r="L550" s="15">
        <f>IFERROR(__xludf.DUMMYFUNCTION("IF(A550="""","""",
  INDEX(FILTER('RE Portfolio'!C$2:C2000,'RE Portfolio'!D$2:D2000=""BUY""), INT((ROW()-2)/amortYears)+1)
  * (1 + VALUE(Assumptions!$B$11))^(D550-1)
)
"),1238278.6243768935)</f>
        <v>1238278.624</v>
      </c>
    </row>
    <row r="551">
      <c r="A551" s="15">
        <f>IFERROR(__xludf.DUMMYFUNCTION("IFERROR(INDEX(FILTER('RE Portfolio'!A$2:A2000,'RE Portfolio'!D$2:D2000=""BUY""), INT((ROW()-2)/amortYears)+1), )
"),15.0)</f>
        <v>15</v>
      </c>
      <c r="B551" s="15">
        <f>IFERROR(__xludf.DUMMYFUNCTION("IFERROR(INDEX(FILTER('RE Portfolio'!B$2:B2000,'RE Portfolio'!D$2:D2000=""BUY""), INT((ROW()-2)/amortYears)+1), )
"),56.0)</f>
        <v>56</v>
      </c>
      <c r="C551" s="15">
        <f>IFERROR(__xludf.DUMMYFUNCTION("IFERROR(INDEX(FILTER('RE Portfolio'!G$2:G2000,'RE Portfolio'!D$2:D2000=""BUY""), INT((ROW()-2)/amortYears)+1), )
"),495845.3109988802)</f>
        <v>495845.311</v>
      </c>
      <c r="D551" s="15">
        <f>MOD(ROW()-2, amortYears)+1</f>
        <v>18</v>
      </c>
      <c r="E551" s="15">
        <f t="shared" si="1"/>
        <v>73</v>
      </c>
      <c r="F551" s="16">
        <f t="shared" si="2"/>
        <v>329490.3266</v>
      </c>
      <c r="G551" s="16">
        <f>IF(D551&lt;=mortTerm, -PMT(mortRate/12, mortTerm*12, C551)*12, 0)
</f>
        <v>37608.95588</v>
      </c>
      <c r="H551" s="16">
        <f>IF(D551&lt;=mortTerm, G551 - I551, 0)
</f>
        <v>20925.66516</v>
      </c>
      <c r="I551" s="16">
        <f>IF(D551&lt;=mortTerm, F551 - J551, 0)
</f>
        <v>16683.29073</v>
      </c>
      <c r="J551" s="16">
        <f>IF(D551&lt;=mortTerm,
   F551*(1+mortRate/12)^12 - (-PMT(mortRate/12, mortTerm*12, C551))*(((1+mortRate/12)^12 - 1)/(mortRate/12)),
   0
)
</f>
        <v>312807.0358</v>
      </c>
      <c r="K551" s="13">
        <f>IFERROR(__xludf.DUMMYFUNCTION("IF(A551="""","""",
   IF(F551&gt;0,
      INDEX(FILTER('RE Portfolio'!L$2:L2000,'RE Portfolio'!D$2:D2000=""BUY""), INT((ROW()-2)/amortYears)+1) - G551,
      INDEX(FILTER('RE Portfolio'!L$2:L2000,'RE Portfolio'!D$2:D2000=""BUY""), INT((ROW()-2)/amortYears)+1"&amp;")
   )
)
"),11578.89896933089)</f>
        <v>11578.89897</v>
      </c>
      <c r="L551" s="15">
        <f>IFERROR(__xludf.DUMMYFUNCTION("IF(A551="""","""",
  INDEX(FILTER('RE Portfolio'!C$2:C2000,'RE Portfolio'!D$2:D2000=""BUY""), INT((ROW()-2)/amortYears)+1)
  * (1 + VALUE(Assumptions!$B$11))^(D551-1)
)
"),1287809.7693519695)</f>
        <v>1287809.769</v>
      </c>
    </row>
    <row r="552">
      <c r="A552" s="15">
        <f>IFERROR(__xludf.DUMMYFUNCTION("IFERROR(INDEX(FILTER('RE Portfolio'!A$2:A2000,'RE Portfolio'!D$2:D2000=""BUY""), INT((ROW()-2)/amortYears)+1), )
"),15.0)</f>
        <v>15</v>
      </c>
      <c r="B552" s="15">
        <f>IFERROR(__xludf.DUMMYFUNCTION("IFERROR(INDEX(FILTER('RE Portfolio'!B$2:B2000,'RE Portfolio'!D$2:D2000=""BUY""), INT((ROW()-2)/amortYears)+1), )
"),56.0)</f>
        <v>56</v>
      </c>
      <c r="C552" s="15">
        <f>IFERROR(__xludf.DUMMYFUNCTION("IFERROR(INDEX(FILTER('RE Portfolio'!G$2:G2000,'RE Portfolio'!D$2:D2000=""BUY""), INT((ROW()-2)/amortYears)+1), )
"),495845.3109988802)</f>
        <v>495845.311</v>
      </c>
      <c r="D552" s="15">
        <f>MOD(ROW()-2, amortYears)+1</f>
        <v>19</v>
      </c>
      <c r="E552" s="15">
        <f t="shared" si="1"/>
        <v>74</v>
      </c>
      <c r="F552" s="16">
        <f t="shared" si="2"/>
        <v>312807.0358</v>
      </c>
      <c r="G552" s="16">
        <f>IF(D552&lt;=mortTerm, -PMT(mortRate/12, mortTerm*12, C552)*12, 0)
</f>
        <v>37608.95588</v>
      </c>
      <c r="H552" s="16">
        <f>IF(D552&lt;=mortTerm, G552 - I552, 0)
</f>
        <v>19808.35428</v>
      </c>
      <c r="I552" s="16">
        <f>IF(D552&lt;=mortTerm, F552 - J552, 0)
</f>
        <v>17800.6016</v>
      </c>
      <c r="J552" s="16">
        <f>IF(D552&lt;=mortTerm,
   F552*(1+mortRate/12)^12 - (-PMT(mortRate/12, mortTerm*12, C552))*(((1+mortRate/12)^12 - 1)/(mortRate/12)),
   0
)
</f>
        <v>295006.4342</v>
      </c>
      <c r="K552" s="13">
        <f>IFERROR(__xludf.DUMMYFUNCTION("IF(A552="""","""",
   IF(F552&gt;0,
      INDEX(FILTER('RE Portfolio'!L$2:L2000,'RE Portfolio'!D$2:D2000=""BUY""), INT((ROW()-2)/amortYears)+1) - G552,
      INDEX(FILTER('RE Portfolio'!L$2:L2000,'RE Portfolio'!D$2:D2000=""BUY""), INT((ROW()-2)/amortYears)+1"&amp;")
   )
)
"),11578.89896933089)</f>
        <v>11578.89897</v>
      </c>
      <c r="L552" s="15">
        <f>IFERROR(__xludf.DUMMYFUNCTION("IF(A552="""","""",
  INDEX(FILTER('RE Portfolio'!C$2:C2000,'RE Portfolio'!D$2:D2000=""BUY""), INT((ROW()-2)/amortYears)+1)
  * (1 + VALUE(Assumptions!$B$11))^(D552-1)
)
"),1339322.1601260484)</f>
        <v>1339322.16</v>
      </c>
    </row>
    <row r="553">
      <c r="A553" s="15">
        <f>IFERROR(__xludf.DUMMYFUNCTION("IFERROR(INDEX(FILTER('RE Portfolio'!A$2:A2000,'RE Portfolio'!D$2:D2000=""BUY""), INT((ROW()-2)/amortYears)+1), )
"),15.0)</f>
        <v>15</v>
      </c>
      <c r="B553" s="15">
        <f>IFERROR(__xludf.DUMMYFUNCTION("IFERROR(INDEX(FILTER('RE Portfolio'!B$2:B2000,'RE Portfolio'!D$2:D2000=""BUY""), INT((ROW()-2)/amortYears)+1), )
"),56.0)</f>
        <v>56</v>
      </c>
      <c r="C553" s="15">
        <f>IFERROR(__xludf.DUMMYFUNCTION("IFERROR(INDEX(FILTER('RE Portfolio'!G$2:G2000,'RE Portfolio'!D$2:D2000=""BUY""), INT((ROW()-2)/amortYears)+1), )
"),495845.3109988802)</f>
        <v>495845.311</v>
      </c>
      <c r="D553" s="15">
        <f>MOD(ROW()-2, amortYears)+1</f>
        <v>20</v>
      </c>
      <c r="E553" s="15">
        <f t="shared" si="1"/>
        <v>75</v>
      </c>
      <c r="F553" s="16">
        <f t="shared" si="2"/>
        <v>295006.4342</v>
      </c>
      <c r="G553" s="16">
        <f>IF(D553&lt;=mortTerm, -PMT(mortRate/12, mortTerm*12, C553)*12, 0)
</f>
        <v>37608.95588</v>
      </c>
      <c r="H553" s="16">
        <f>IF(D553&lt;=mortTerm, G553 - I553, 0)
</f>
        <v>18616.21502</v>
      </c>
      <c r="I553" s="16">
        <f>IF(D553&lt;=mortTerm, F553 - J553, 0)
</f>
        <v>18992.74086</v>
      </c>
      <c r="J553" s="16">
        <f>IF(D553&lt;=mortTerm,
   F553*(1+mortRate/12)^12 - (-PMT(mortRate/12, mortTerm*12, C553))*(((1+mortRate/12)^12 - 1)/(mortRate/12)),
   0
)
</f>
        <v>276013.6934</v>
      </c>
      <c r="K553" s="13">
        <f>IFERROR(__xludf.DUMMYFUNCTION("IF(A553="""","""",
   IF(F553&gt;0,
      INDEX(FILTER('RE Portfolio'!L$2:L2000,'RE Portfolio'!D$2:D2000=""BUY""), INT((ROW()-2)/amortYears)+1) - G553,
      INDEX(FILTER('RE Portfolio'!L$2:L2000,'RE Portfolio'!D$2:D2000=""BUY""), INT((ROW()-2)/amortYears)+1"&amp;")
   )
)
"),11578.89896933089)</f>
        <v>11578.89897</v>
      </c>
      <c r="L553" s="15">
        <f>IFERROR(__xludf.DUMMYFUNCTION("IF(A553="""","""",
  INDEX(FILTER('RE Portfolio'!C$2:C2000,'RE Portfolio'!D$2:D2000=""BUY""), INT((ROW()-2)/amortYears)+1)
  * (1 + VALUE(Assumptions!$B$11))^(D553-1)
)
"),1392895.0465310903)</f>
        <v>1392895.047</v>
      </c>
    </row>
    <row r="554">
      <c r="A554" s="15">
        <f>IFERROR(__xludf.DUMMYFUNCTION("IFERROR(INDEX(FILTER('RE Portfolio'!A$2:A2000,'RE Portfolio'!D$2:D2000=""BUY""), INT((ROW()-2)/amortYears)+1), )
"),15.0)</f>
        <v>15</v>
      </c>
      <c r="B554" s="15">
        <f>IFERROR(__xludf.DUMMYFUNCTION("IFERROR(INDEX(FILTER('RE Portfolio'!B$2:B2000,'RE Portfolio'!D$2:D2000=""BUY""), INT((ROW()-2)/amortYears)+1), )
"),56.0)</f>
        <v>56</v>
      </c>
      <c r="C554" s="15">
        <f>IFERROR(__xludf.DUMMYFUNCTION("IFERROR(INDEX(FILTER('RE Portfolio'!G$2:G2000,'RE Portfolio'!D$2:D2000=""BUY""), INT((ROW()-2)/amortYears)+1), )
"),495845.3109988802)</f>
        <v>495845.311</v>
      </c>
      <c r="D554" s="15">
        <f>MOD(ROW()-2, amortYears)+1</f>
        <v>21</v>
      </c>
      <c r="E554" s="15">
        <f t="shared" si="1"/>
        <v>76</v>
      </c>
      <c r="F554" s="16">
        <f t="shared" si="2"/>
        <v>276013.6934</v>
      </c>
      <c r="G554" s="16">
        <f>IF(D554&lt;=mortTerm, -PMT(mortRate/12, mortTerm*12, C554)*12, 0)
</f>
        <v>37608.95588</v>
      </c>
      <c r="H554" s="16">
        <f>IF(D554&lt;=mortTerm, G554 - I554, 0)
</f>
        <v>17344.23599</v>
      </c>
      <c r="I554" s="16">
        <f>IF(D554&lt;=mortTerm, F554 - J554, 0)
</f>
        <v>20264.71989</v>
      </c>
      <c r="J554" s="16">
        <f>IF(D554&lt;=mortTerm,
   F554*(1+mortRate/12)^12 - (-PMT(mortRate/12, mortTerm*12, C554))*(((1+mortRate/12)^12 - 1)/(mortRate/12)),
   0
)
</f>
        <v>255748.9735</v>
      </c>
      <c r="K554" s="13">
        <f>IFERROR(__xludf.DUMMYFUNCTION("IF(A554="""","""",
   IF(F554&gt;0,
      INDEX(FILTER('RE Portfolio'!L$2:L2000,'RE Portfolio'!D$2:D2000=""BUY""), INT((ROW()-2)/amortYears)+1) - G554,
      INDEX(FILTER('RE Portfolio'!L$2:L2000,'RE Portfolio'!D$2:D2000=""BUY""), INT((ROW()-2)/amortYears)+1"&amp;")
   )
)
"),11578.89896933089)</f>
        <v>11578.89897</v>
      </c>
      <c r="L554" s="15">
        <f>IFERROR(__xludf.DUMMYFUNCTION("IF(A554="""","""",
  INDEX(FILTER('RE Portfolio'!C$2:C2000,'RE Portfolio'!D$2:D2000=""BUY""), INT((ROW()-2)/amortYears)+1)
  * (1 + VALUE(Assumptions!$B$11))^(D554-1)
)
"),1448610.8483923338)</f>
        <v>1448610.848</v>
      </c>
    </row>
    <row r="555">
      <c r="A555" s="15">
        <f>IFERROR(__xludf.DUMMYFUNCTION("IFERROR(INDEX(FILTER('RE Portfolio'!A$2:A2000,'RE Portfolio'!D$2:D2000=""BUY""), INT((ROW()-2)/amortYears)+1), )
"),15.0)</f>
        <v>15</v>
      </c>
      <c r="B555" s="15">
        <f>IFERROR(__xludf.DUMMYFUNCTION("IFERROR(INDEX(FILTER('RE Portfolio'!B$2:B2000,'RE Portfolio'!D$2:D2000=""BUY""), INT((ROW()-2)/amortYears)+1), )
"),56.0)</f>
        <v>56</v>
      </c>
      <c r="C555" s="15">
        <f>IFERROR(__xludf.DUMMYFUNCTION("IFERROR(INDEX(FILTER('RE Portfolio'!G$2:G2000,'RE Portfolio'!D$2:D2000=""BUY""), INT((ROW()-2)/amortYears)+1), )
"),495845.3109988802)</f>
        <v>495845.311</v>
      </c>
      <c r="D555" s="15">
        <f>MOD(ROW()-2, amortYears)+1</f>
        <v>22</v>
      </c>
      <c r="E555" s="15">
        <f t="shared" si="1"/>
        <v>77</v>
      </c>
      <c r="F555" s="16">
        <f t="shared" si="2"/>
        <v>255748.9735</v>
      </c>
      <c r="G555" s="16">
        <f>IF(D555&lt;=mortTerm, -PMT(mortRate/12, mortTerm*12, C555)*12, 0)
</f>
        <v>37608.95588</v>
      </c>
      <c r="H555" s="16">
        <f>IF(D555&lt;=mortTerm, G555 - I555, 0)
</f>
        <v>15987.07017</v>
      </c>
      <c r="I555" s="16">
        <f>IF(D555&lt;=mortTerm, F555 - J555, 0)
</f>
        <v>21621.88571</v>
      </c>
      <c r="J555" s="16">
        <f>IF(D555&lt;=mortTerm,
   F555*(1+mortRate/12)^12 - (-PMT(mortRate/12, mortTerm*12, C555))*(((1+mortRate/12)^12 - 1)/(mortRate/12)),
   0
)
</f>
        <v>234127.0878</v>
      </c>
      <c r="K555" s="13">
        <f>IFERROR(__xludf.DUMMYFUNCTION("IF(A555="""","""",
   IF(F555&gt;0,
      INDEX(FILTER('RE Portfolio'!L$2:L2000,'RE Portfolio'!D$2:D2000=""BUY""), INT((ROW()-2)/amortYears)+1) - G555,
      INDEX(FILTER('RE Portfolio'!L$2:L2000,'RE Portfolio'!D$2:D2000=""BUY""), INT((ROW()-2)/amortYears)+1"&amp;")
   )
)
"),11578.89896933089)</f>
        <v>11578.89897</v>
      </c>
      <c r="L555" s="15">
        <f>IFERROR(__xludf.DUMMYFUNCTION("IF(A555="""","""",
  INDEX(FILTER('RE Portfolio'!C$2:C2000,'RE Portfolio'!D$2:D2000=""BUY""), INT((ROW()-2)/amortYears)+1)
  * (1 + VALUE(Assumptions!$B$11))^(D555-1)
)
"),1506555.2823280273)</f>
        <v>1506555.282</v>
      </c>
    </row>
    <row r="556">
      <c r="A556" s="15">
        <f>IFERROR(__xludf.DUMMYFUNCTION("IFERROR(INDEX(FILTER('RE Portfolio'!A$2:A2000,'RE Portfolio'!D$2:D2000=""BUY""), INT((ROW()-2)/amortYears)+1), )
"),15.0)</f>
        <v>15</v>
      </c>
      <c r="B556" s="15">
        <f>IFERROR(__xludf.DUMMYFUNCTION("IFERROR(INDEX(FILTER('RE Portfolio'!B$2:B2000,'RE Portfolio'!D$2:D2000=""BUY""), INT((ROW()-2)/amortYears)+1), )
"),56.0)</f>
        <v>56</v>
      </c>
      <c r="C556" s="15">
        <f>IFERROR(__xludf.DUMMYFUNCTION("IFERROR(INDEX(FILTER('RE Portfolio'!G$2:G2000,'RE Portfolio'!D$2:D2000=""BUY""), INT((ROW()-2)/amortYears)+1), )
"),495845.3109988802)</f>
        <v>495845.311</v>
      </c>
      <c r="D556" s="15">
        <f>MOD(ROW()-2, amortYears)+1</f>
        <v>23</v>
      </c>
      <c r="E556" s="15">
        <f t="shared" si="1"/>
        <v>78</v>
      </c>
      <c r="F556" s="16">
        <f t="shared" si="2"/>
        <v>234127.0878</v>
      </c>
      <c r="G556" s="16">
        <f>IF(D556&lt;=mortTerm, -PMT(mortRate/12, mortTerm*12, C556)*12, 0)
</f>
        <v>37608.95588</v>
      </c>
      <c r="H556" s="16">
        <f>IF(D556&lt;=mortTerm, G556 - I556, 0)
</f>
        <v>14539.01244</v>
      </c>
      <c r="I556" s="16">
        <f>IF(D556&lt;=mortTerm, F556 - J556, 0)
</f>
        <v>23069.94344</v>
      </c>
      <c r="J556" s="16">
        <f>IF(D556&lt;=mortTerm,
   F556*(1+mortRate/12)^12 - (-PMT(mortRate/12, mortTerm*12, C556))*(((1+mortRate/12)^12 - 1)/(mortRate/12)),
   0
)
</f>
        <v>211057.1443</v>
      </c>
      <c r="K556" s="13">
        <f>IFERROR(__xludf.DUMMYFUNCTION("IF(A556="""","""",
   IF(F556&gt;0,
      INDEX(FILTER('RE Portfolio'!L$2:L2000,'RE Portfolio'!D$2:D2000=""BUY""), INT((ROW()-2)/amortYears)+1) - G556,
      INDEX(FILTER('RE Portfolio'!L$2:L2000,'RE Portfolio'!D$2:D2000=""BUY""), INT((ROW()-2)/amortYears)+1"&amp;")
   )
)
"),11578.89896933089)</f>
        <v>11578.89897</v>
      </c>
      <c r="L556" s="15">
        <f>IFERROR(__xludf.DUMMYFUNCTION("IF(A556="""","""",
  INDEX(FILTER('RE Portfolio'!C$2:C2000,'RE Portfolio'!D$2:D2000=""BUY""), INT((ROW()-2)/amortYears)+1)
  * (1 + VALUE(Assumptions!$B$11))^(D556-1)
)
"),1566817.4936211484)</f>
        <v>1566817.494</v>
      </c>
    </row>
    <row r="557">
      <c r="A557" s="15">
        <f>IFERROR(__xludf.DUMMYFUNCTION("IFERROR(INDEX(FILTER('RE Portfolio'!A$2:A2000,'RE Portfolio'!D$2:D2000=""BUY""), INT((ROW()-2)/amortYears)+1), )
"),15.0)</f>
        <v>15</v>
      </c>
      <c r="B557" s="15">
        <f>IFERROR(__xludf.DUMMYFUNCTION("IFERROR(INDEX(FILTER('RE Portfolio'!B$2:B2000,'RE Portfolio'!D$2:D2000=""BUY""), INT((ROW()-2)/amortYears)+1), )
"),56.0)</f>
        <v>56</v>
      </c>
      <c r="C557" s="15">
        <f>IFERROR(__xludf.DUMMYFUNCTION("IFERROR(INDEX(FILTER('RE Portfolio'!G$2:G2000,'RE Portfolio'!D$2:D2000=""BUY""), INT((ROW()-2)/amortYears)+1), )
"),495845.3109988802)</f>
        <v>495845.311</v>
      </c>
      <c r="D557" s="15">
        <f>MOD(ROW()-2, amortYears)+1</f>
        <v>24</v>
      </c>
      <c r="E557" s="15">
        <f t="shared" si="1"/>
        <v>79</v>
      </c>
      <c r="F557" s="16">
        <f t="shared" si="2"/>
        <v>211057.1443</v>
      </c>
      <c r="G557" s="16">
        <f>IF(D557&lt;=mortTerm, -PMT(mortRate/12, mortTerm*12, C557)*12, 0)
</f>
        <v>37608.95588</v>
      </c>
      <c r="H557" s="16">
        <f>IF(D557&lt;=mortTerm, G557 - I557, 0)
</f>
        <v>12993.9756</v>
      </c>
      <c r="I557" s="16">
        <f>IF(D557&lt;=mortTerm, F557 - J557, 0)
</f>
        <v>24614.98028</v>
      </c>
      <c r="J557" s="16">
        <f>IF(D557&lt;=mortTerm,
   F557*(1+mortRate/12)^12 - (-PMT(mortRate/12, mortTerm*12, C557))*(((1+mortRate/12)^12 - 1)/(mortRate/12)),
   0
)
</f>
        <v>186442.1641</v>
      </c>
      <c r="K557" s="13">
        <f>IFERROR(__xludf.DUMMYFUNCTION("IF(A557="""","""",
   IF(F557&gt;0,
      INDEX(FILTER('RE Portfolio'!L$2:L2000,'RE Portfolio'!D$2:D2000=""BUY""), INT((ROW()-2)/amortYears)+1) - G557,
      INDEX(FILTER('RE Portfolio'!L$2:L2000,'RE Portfolio'!D$2:D2000=""BUY""), INT((ROW()-2)/amortYears)+1"&amp;")
   )
)
"),11578.89896933089)</f>
        <v>11578.89897</v>
      </c>
      <c r="L557" s="15">
        <f>IFERROR(__xludf.DUMMYFUNCTION("IF(A557="""","""",
  INDEX(FILTER('RE Portfolio'!C$2:C2000,'RE Portfolio'!D$2:D2000=""BUY""), INT((ROW()-2)/amortYears)+1)
  * (1 + VALUE(Assumptions!$B$11))^(D557-1)
)
"),1629490.1933659944)</f>
        <v>1629490.193</v>
      </c>
    </row>
    <row r="558">
      <c r="A558" s="15">
        <f>IFERROR(__xludf.DUMMYFUNCTION("IFERROR(INDEX(FILTER('RE Portfolio'!A$2:A2000,'RE Portfolio'!D$2:D2000=""BUY""), INT((ROW()-2)/amortYears)+1), )
"),15.0)</f>
        <v>15</v>
      </c>
      <c r="B558" s="15">
        <f>IFERROR(__xludf.DUMMYFUNCTION("IFERROR(INDEX(FILTER('RE Portfolio'!B$2:B2000,'RE Portfolio'!D$2:D2000=""BUY""), INT((ROW()-2)/amortYears)+1), )
"),56.0)</f>
        <v>56</v>
      </c>
      <c r="C558" s="15">
        <f>IFERROR(__xludf.DUMMYFUNCTION("IFERROR(INDEX(FILTER('RE Portfolio'!G$2:G2000,'RE Portfolio'!D$2:D2000=""BUY""), INT((ROW()-2)/amortYears)+1), )
"),495845.3109988802)</f>
        <v>495845.311</v>
      </c>
      <c r="D558" s="15">
        <f>MOD(ROW()-2, amortYears)+1</f>
        <v>25</v>
      </c>
      <c r="E558" s="15">
        <f t="shared" si="1"/>
        <v>80</v>
      </c>
      <c r="F558" s="16">
        <f t="shared" si="2"/>
        <v>186442.1641</v>
      </c>
      <c r="G558" s="16">
        <f>IF(D558&lt;=mortTerm, -PMT(mortRate/12, mortTerm*12, C558)*12, 0)
</f>
        <v>37608.95588</v>
      </c>
      <c r="H558" s="16">
        <f>IF(D558&lt;=mortTerm, G558 - I558, 0)
</f>
        <v>11345.46479</v>
      </c>
      <c r="I558" s="16">
        <f>IF(D558&lt;=mortTerm, F558 - J558, 0)
</f>
        <v>26263.49109</v>
      </c>
      <c r="J558" s="16">
        <f>IF(D558&lt;=mortTerm,
   F558*(1+mortRate/12)^12 - (-PMT(mortRate/12, mortTerm*12, C558))*(((1+mortRate/12)^12 - 1)/(mortRate/12)),
   0
)
</f>
        <v>160178.673</v>
      </c>
      <c r="K558" s="13">
        <f>IFERROR(__xludf.DUMMYFUNCTION("IF(A558="""","""",
   IF(F558&gt;0,
      INDEX(FILTER('RE Portfolio'!L$2:L2000,'RE Portfolio'!D$2:D2000=""BUY""), INT((ROW()-2)/amortYears)+1) - G558,
      INDEX(FILTER('RE Portfolio'!L$2:L2000,'RE Portfolio'!D$2:D2000=""BUY""), INT((ROW()-2)/amortYears)+1"&amp;")
   )
)
"),11578.89896933089)</f>
        <v>11578.89897</v>
      </c>
      <c r="L558" s="15">
        <f>IFERROR(__xludf.DUMMYFUNCTION("IF(A558="""","""",
  INDEX(FILTER('RE Portfolio'!C$2:C2000,'RE Portfolio'!D$2:D2000=""BUY""), INT((ROW()-2)/amortYears)+1)
  * (1 + VALUE(Assumptions!$B$11))^(D558-1)
)
"),1694669.8011006343)</f>
        <v>1694669.801</v>
      </c>
    </row>
    <row r="559">
      <c r="A559" s="15">
        <f>IFERROR(__xludf.DUMMYFUNCTION("IFERROR(INDEX(FILTER('RE Portfolio'!A$2:A2000,'RE Portfolio'!D$2:D2000=""BUY""), INT((ROW()-2)/amortYears)+1), )
"),15.0)</f>
        <v>15</v>
      </c>
      <c r="B559" s="15">
        <f>IFERROR(__xludf.DUMMYFUNCTION("IFERROR(INDEX(FILTER('RE Portfolio'!B$2:B2000,'RE Portfolio'!D$2:D2000=""BUY""), INT((ROW()-2)/amortYears)+1), )
"),56.0)</f>
        <v>56</v>
      </c>
      <c r="C559" s="15">
        <f>IFERROR(__xludf.DUMMYFUNCTION("IFERROR(INDEX(FILTER('RE Portfolio'!G$2:G2000,'RE Portfolio'!D$2:D2000=""BUY""), INT((ROW()-2)/amortYears)+1), )
"),495845.3109988802)</f>
        <v>495845.311</v>
      </c>
      <c r="D559" s="15">
        <f>MOD(ROW()-2, amortYears)+1</f>
        <v>26</v>
      </c>
      <c r="E559" s="15">
        <f t="shared" si="1"/>
        <v>81</v>
      </c>
      <c r="F559" s="16">
        <f t="shared" si="2"/>
        <v>160178.673</v>
      </c>
      <c r="G559" s="16">
        <f>IF(D559&lt;=mortTerm, -PMT(mortRate/12, mortTerm*12, C559)*12, 0)
</f>
        <v>37608.95588</v>
      </c>
      <c r="H559" s="16">
        <f>IF(D559&lt;=mortTerm, G559 - I559, 0)
</f>
        <v>9586.55015</v>
      </c>
      <c r="I559" s="16">
        <f>IF(D559&lt;=mortTerm, F559 - J559, 0)
</f>
        <v>28022.40573</v>
      </c>
      <c r="J559" s="16">
        <f>IF(D559&lt;=mortTerm,
   F559*(1+mortRate/12)^12 - (-PMT(mortRate/12, mortTerm*12, C559))*(((1+mortRate/12)^12 - 1)/(mortRate/12)),
   0
)
</f>
        <v>132156.2672</v>
      </c>
      <c r="K559" s="13">
        <f>IFERROR(__xludf.DUMMYFUNCTION("IF(A559="""","""",
   IF(F559&gt;0,
      INDEX(FILTER('RE Portfolio'!L$2:L2000,'RE Portfolio'!D$2:D2000=""BUY""), INT((ROW()-2)/amortYears)+1) - G559,
      INDEX(FILTER('RE Portfolio'!L$2:L2000,'RE Portfolio'!D$2:D2000=""BUY""), INT((ROW()-2)/amortYears)+1"&amp;")
   )
)
"),11578.89896933089)</f>
        <v>11578.89897</v>
      </c>
      <c r="L559" s="15">
        <f>IFERROR(__xludf.DUMMYFUNCTION("IF(A559="""","""",
  INDEX(FILTER('RE Portfolio'!C$2:C2000,'RE Portfolio'!D$2:D2000=""BUY""), INT((ROW()-2)/amortYears)+1)
  * (1 + VALUE(Assumptions!$B$11))^(D559-1)
)
"),1762456.5931446594)</f>
        <v>1762456.593</v>
      </c>
    </row>
    <row r="560">
      <c r="A560" s="15">
        <f>IFERROR(__xludf.DUMMYFUNCTION("IFERROR(INDEX(FILTER('RE Portfolio'!A$2:A2000,'RE Portfolio'!D$2:D2000=""BUY""), INT((ROW()-2)/amortYears)+1), )
"),15.0)</f>
        <v>15</v>
      </c>
      <c r="B560" s="15">
        <f>IFERROR(__xludf.DUMMYFUNCTION("IFERROR(INDEX(FILTER('RE Portfolio'!B$2:B2000,'RE Portfolio'!D$2:D2000=""BUY""), INT((ROW()-2)/amortYears)+1), )
"),56.0)</f>
        <v>56</v>
      </c>
      <c r="C560" s="15">
        <f>IFERROR(__xludf.DUMMYFUNCTION("IFERROR(INDEX(FILTER('RE Portfolio'!G$2:G2000,'RE Portfolio'!D$2:D2000=""BUY""), INT((ROW()-2)/amortYears)+1), )
"),495845.3109988802)</f>
        <v>495845.311</v>
      </c>
      <c r="D560" s="15">
        <f>MOD(ROW()-2, amortYears)+1</f>
        <v>27</v>
      </c>
      <c r="E560" s="15">
        <f t="shared" si="1"/>
        <v>82</v>
      </c>
      <c r="F560" s="16">
        <f t="shared" si="2"/>
        <v>132156.2672</v>
      </c>
      <c r="G560" s="16">
        <f>IF(D560&lt;=mortTerm, -PMT(mortRate/12, mortTerm*12, C560)*12, 0)
</f>
        <v>37608.95588</v>
      </c>
      <c r="H560" s="16">
        <f>IF(D560&lt;=mortTerm, G560 - I560, 0)
</f>
        <v>7709.83774</v>
      </c>
      <c r="I560" s="16">
        <f>IF(D560&lt;=mortTerm, F560 - J560, 0)
</f>
        <v>29899.11814</v>
      </c>
      <c r="J560" s="16">
        <f>IF(D560&lt;=mortTerm,
   F560*(1+mortRate/12)^12 - (-PMT(mortRate/12, mortTerm*12, C560))*(((1+mortRate/12)^12 - 1)/(mortRate/12)),
   0
)
</f>
        <v>102257.1491</v>
      </c>
      <c r="K560" s="13">
        <f>IFERROR(__xludf.DUMMYFUNCTION("IF(A560="""","""",
   IF(F560&gt;0,
      INDEX(FILTER('RE Portfolio'!L$2:L2000,'RE Portfolio'!D$2:D2000=""BUY""), INT((ROW()-2)/amortYears)+1) - G560,
      INDEX(FILTER('RE Portfolio'!L$2:L2000,'RE Portfolio'!D$2:D2000=""BUY""), INT((ROW()-2)/amortYears)+1"&amp;")
   )
)
"),11578.89896933089)</f>
        <v>11578.89897</v>
      </c>
      <c r="L560" s="15">
        <f>IFERROR(__xludf.DUMMYFUNCTION("IF(A560="""","""",
  INDEX(FILTER('RE Portfolio'!C$2:C2000,'RE Portfolio'!D$2:D2000=""BUY""), INT((ROW()-2)/amortYears)+1)
  * (1 + VALUE(Assumptions!$B$11))^(D560-1)
)
"),1832954.856870446)</f>
        <v>1832954.857</v>
      </c>
    </row>
    <row r="561">
      <c r="A561" s="15">
        <f>IFERROR(__xludf.DUMMYFUNCTION("IFERROR(INDEX(FILTER('RE Portfolio'!A$2:A2000,'RE Portfolio'!D$2:D2000=""BUY""), INT((ROW()-2)/amortYears)+1), )
"),15.0)</f>
        <v>15</v>
      </c>
      <c r="B561" s="15">
        <f>IFERROR(__xludf.DUMMYFUNCTION("IFERROR(INDEX(FILTER('RE Portfolio'!B$2:B2000,'RE Portfolio'!D$2:D2000=""BUY""), INT((ROW()-2)/amortYears)+1), )
"),56.0)</f>
        <v>56</v>
      </c>
      <c r="C561" s="15">
        <f>IFERROR(__xludf.DUMMYFUNCTION("IFERROR(INDEX(FILTER('RE Portfolio'!G$2:G2000,'RE Portfolio'!D$2:D2000=""BUY""), INT((ROW()-2)/amortYears)+1), )
"),495845.3109988802)</f>
        <v>495845.311</v>
      </c>
      <c r="D561" s="15">
        <f>MOD(ROW()-2, amortYears)+1</f>
        <v>28</v>
      </c>
      <c r="E561" s="15">
        <f t="shared" si="1"/>
        <v>83</v>
      </c>
      <c r="F561" s="16">
        <f t="shared" si="2"/>
        <v>102257.1491</v>
      </c>
      <c r="G561" s="16">
        <f>IF(D561&lt;=mortTerm, -PMT(mortRate/12, mortTerm*12, C561)*12, 0)
</f>
        <v>37608.95588</v>
      </c>
      <c r="H561" s="16">
        <f>IF(D561&lt;=mortTerm, G561 - I561, 0)
</f>
        <v>5707.438425</v>
      </c>
      <c r="I561" s="16">
        <f>IF(D561&lt;=mortTerm, F561 - J561, 0)
</f>
        <v>31901.51746</v>
      </c>
      <c r="J561" s="16">
        <f>IF(D561&lt;=mortTerm,
   F561*(1+mortRate/12)^12 - (-PMT(mortRate/12, mortTerm*12, C561))*(((1+mortRate/12)^12 - 1)/(mortRate/12)),
   0
)
</f>
        <v>70355.63164</v>
      </c>
      <c r="K561" s="13">
        <f>IFERROR(__xludf.DUMMYFUNCTION("IF(A561="""","""",
   IF(F561&gt;0,
      INDEX(FILTER('RE Portfolio'!L$2:L2000,'RE Portfolio'!D$2:D2000=""BUY""), INT((ROW()-2)/amortYears)+1) - G561,
      INDEX(FILTER('RE Portfolio'!L$2:L2000,'RE Portfolio'!D$2:D2000=""BUY""), INT((ROW()-2)/amortYears)+1"&amp;")
   )
)
"),11578.89896933089)</f>
        <v>11578.89897</v>
      </c>
      <c r="L561" s="15">
        <f>IFERROR(__xludf.DUMMYFUNCTION("IF(A561="""","""",
  INDEX(FILTER('RE Portfolio'!C$2:C2000,'RE Portfolio'!D$2:D2000=""BUY""), INT((ROW()-2)/amortYears)+1)
  * (1 + VALUE(Assumptions!$B$11))^(D561-1)
)
"),1906273.051145264)</f>
        <v>1906273.051</v>
      </c>
    </row>
    <row r="562">
      <c r="A562" s="15">
        <f>IFERROR(__xludf.DUMMYFUNCTION("IFERROR(INDEX(FILTER('RE Portfolio'!A$2:A2000,'RE Portfolio'!D$2:D2000=""BUY""), INT((ROW()-2)/amortYears)+1), )
"),15.0)</f>
        <v>15</v>
      </c>
      <c r="B562" s="15">
        <f>IFERROR(__xludf.DUMMYFUNCTION("IFERROR(INDEX(FILTER('RE Portfolio'!B$2:B2000,'RE Portfolio'!D$2:D2000=""BUY""), INT((ROW()-2)/amortYears)+1), )
"),56.0)</f>
        <v>56</v>
      </c>
      <c r="C562" s="15">
        <f>IFERROR(__xludf.DUMMYFUNCTION("IFERROR(INDEX(FILTER('RE Portfolio'!G$2:G2000,'RE Portfolio'!D$2:D2000=""BUY""), INT((ROW()-2)/amortYears)+1), )
"),495845.3109988802)</f>
        <v>495845.311</v>
      </c>
      <c r="D562" s="15">
        <f>MOD(ROW()-2, amortYears)+1</f>
        <v>29</v>
      </c>
      <c r="E562" s="15">
        <f t="shared" si="1"/>
        <v>84</v>
      </c>
      <c r="F562" s="16">
        <f t="shared" si="2"/>
        <v>70355.63164</v>
      </c>
      <c r="G562" s="16">
        <f>IF(D562&lt;=mortTerm, -PMT(mortRate/12, mortTerm*12, C562)*12, 0)
</f>
        <v>37608.95588</v>
      </c>
      <c r="H562" s="16">
        <f>IF(D562&lt;=mortTerm, G562 - I562, 0)
</f>
        <v>3570.934719</v>
      </c>
      <c r="I562" s="16">
        <f>IF(D562&lt;=mortTerm, F562 - J562, 0)
</f>
        <v>34038.02116</v>
      </c>
      <c r="J562" s="16">
        <f>IF(D562&lt;=mortTerm,
   F562*(1+mortRate/12)^12 - (-PMT(mortRate/12, mortTerm*12, C562))*(((1+mortRate/12)^12 - 1)/(mortRate/12)),
   0
)
</f>
        <v>36317.61048</v>
      </c>
      <c r="K562" s="13">
        <f>IFERROR(__xludf.DUMMYFUNCTION("IF(A562="""","""",
   IF(F562&gt;0,
      INDEX(FILTER('RE Portfolio'!L$2:L2000,'RE Portfolio'!D$2:D2000=""BUY""), INT((ROW()-2)/amortYears)+1) - G562,
      INDEX(FILTER('RE Portfolio'!L$2:L2000,'RE Portfolio'!D$2:D2000=""BUY""), INT((ROW()-2)/amortYears)+1"&amp;")
   )
)
"),11578.89896933089)</f>
        <v>11578.89897</v>
      </c>
      <c r="L562" s="15">
        <f>IFERROR(__xludf.DUMMYFUNCTION("IF(A562="""","""",
  INDEX(FILTER('RE Portfolio'!C$2:C2000,'RE Portfolio'!D$2:D2000=""BUY""), INT((ROW()-2)/amortYears)+1)
  * (1 + VALUE(Assumptions!$B$11))^(D562-1)
)
"),1982523.9731910746)</f>
        <v>1982523.973</v>
      </c>
    </row>
    <row r="563">
      <c r="A563" s="15">
        <f>IFERROR(__xludf.DUMMYFUNCTION("IFERROR(INDEX(FILTER('RE Portfolio'!A$2:A2000,'RE Portfolio'!D$2:D2000=""BUY""), INT((ROW()-2)/amortYears)+1), )
"),15.0)</f>
        <v>15</v>
      </c>
      <c r="B563" s="15">
        <f>IFERROR(__xludf.DUMMYFUNCTION("IFERROR(INDEX(FILTER('RE Portfolio'!B$2:B2000,'RE Portfolio'!D$2:D2000=""BUY""), INT((ROW()-2)/amortYears)+1), )
"),56.0)</f>
        <v>56</v>
      </c>
      <c r="C563" s="15">
        <f>IFERROR(__xludf.DUMMYFUNCTION("IFERROR(INDEX(FILTER('RE Portfolio'!G$2:G2000,'RE Portfolio'!D$2:D2000=""BUY""), INT((ROW()-2)/amortYears)+1), )
"),495845.3109988802)</f>
        <v>495845.311</v>
      </c>
      <c r="D563" s="15">
        <f>MOD(ROW()-2, amortYears)+1</f>
        <v>30</v>
      </c>
      <c r="E563" s="15">
        <f t="shared" si="1"/>
        <v>85</v>
      </c>
      <c r="F563" s="16">
        <f t="shared" si="2"/>
        <v>36317.61048</v>
      </c>
      <c r="G563" s="16">
        <f>IF(D563&lt;=mortTerm, -PMT(mortRate/12, mortTerm*12, C563)*12, 0)
</f>
        <v>37608.95588</v>
      </c>
      <c r="H563" s="16">
        <f>IF(D563&lt;=mortTerm, G563 - I563, 0)
</f>
        <v>1291.345404</v>
      </c>
      <c r="I563" s="16">
        <f>IF(D563&lt;=mortTerm, F563 - J563, 0)
</f>
        <v>36317.61048</v>
      </c>
      <c r="J563" s="16">
        <f>IF(D563&lt;=mortTerm,
   F563*(1+mortRate/12)^12 - (-PMT(mortRate/12, mortTerm*12, C563))*(((1+mortRate/12)^12 - 1)/(mortRate/12)),
   0
)
</f>
        <v>-0.000000001644366421</v>
      </c>
      <c r="K563" s="13">
        <f>IFERROR(__xludf.DUMMYFUNCTION("IF(A563="""","""",
   IF(F563&gt;0,
      INDEX(FILTER('RE Portfolio'!L$2:L2000,'RE Portfolio'!D$2:D2000=""BUY""), INT((ROW()-2)/amortYears)+1) - G563,
      INDEX(FILTER('RE Portfolio'!L$2:L2000,'RE Portfolio'!D$2:D2000=""BUY""), INT((ROW()-2)/amortYears)+1"&amp;")
   )
)
"),11578.89896933089)</f>
        <v>11578.89897</v>
      </c>
      <c r="L563" s="15">
        <f>IFERROR(__xludf.DUMMYFUNCTION("IF(A563="""","""",
  INDEX(FILTER('RE Portfolio'!C$2:C2000,'RE Portfolio'!D$2:D2000=""BUY""), INT((ROW()-2)/amortYears)+1)
  * (1 + VALUE(Assumptions!$B$11))^(D563-1)
)
"),2061824.9321187178)</f>
        <v>2061824.932</v>
      </c>
    </row>
    <row r="564">
      <c r="A564" s="15">
        <f>IFERROR(__xludf.DUMMYFUNCTION("IFERROR(INDEX(FILTER('RE Portfolio'!A$2:A2000,'RE Portfolio'!D$2:D2000=""BUY""), INT((ROW()-2)/amortYears)+1), )
"),15.0)</f>
        <v>15</v>
      </c>
      <c r="B564" s="15">
        <f>IFERROR(__xludf.DUMMYFUNCTION("IFERROR(INDEX(FILTER('RE Portfolio'!B$2:B2000,'RE Portfolio'!D$2:D2000=""BUY""), INT((ROW()-2)/amortYears)+1), )
"),56.0)</f>
        <v>56</v>
      </c>
      <c r="C564" s="15">
        <f>IFERROR(__xludf.DUMMYFUNCTION("IFERROR(INDEX(FILTER('RE Portfolio'!G$2:G2000,'RE Portfolio'!D$2:D2000=""BUY""), INT((ROW()-2)/amortYears)+1), )
"),495845.3109988802)</f>
        <v>495845.311</v>
      </c>
      <c r="D564" s="15">
        <f>MOD(ROW()-2, amortYears)+1</f>
        <v>31</v>
      </c>
      <c r="E564" s="15">
        <f t="shared" si="1"/>
        <v>86</v>
      </c>
      <c r="F564" s="16">
        <f t="shared" si="2"/>
        <v>-0.000000001644366421</v>
      </c>
      <c r="G564" s="15">
        <f>IF(D564&lt;=mortTerm, -PMT(mortRate/12, mortTerm*12, C564)*12, 0)
</f>
        <v>0</v>
      </c>
      <c r="H564" s="15">
        <f>IF(D564&lt;=mortTerm, G564 - I564, 0)
</f>
        <v>0</v>
      </c>
      <c r="I564" s="15">
        <f>IF(D564&lt;=mortTerm, F564 - J564, 0)
</f>
        <v>0</v>
      </c>
      <c r="J564" s="15">
        <f>IF(D564&lt;=mortTerm,
   F564*(1+mortRate/12)^12 - (-PMT(mortRate/12, mortTerm*12, C564))*(((1+mortRate/12)^12 - 1)/(mortRate/12)),
   0
)
</f>
        <v>0</v>
      </c>
      <c r="K564" s="13">
        <f>IFERROR(__xludf.DUMMYFUNCTION("IF(A564="""","""",
   IF(F564&gt;0,
      INDEX(FILTER('RE Portfolio'!L$2:L2000,'RE Portfolio'!D$2:D2000=""BUY""), INT((ROW()-2)/amortYears)+1) - G564,
      INDEX(FILTER('RE Portfolio'!L$2:L2000,'RE Portfolio'!D$2:D2000=""BUY""), INT((ROW()-2)/amortYears)+1"&amp;")
   )
)
"),49187.854851088916)</f>
        <v>49187.85485</v>
      </c>
      <c r="L564" s="15">
        <f>IFERROR(__xludf.DUMMYFUNCTION("IF(A564="""","""",
  INDEX(FILTER('RE Portfolio'!C$2:C2000,'RE Portfolio'!D$2:D2000=""BUY""), INT((ROW()-2)/amortYears)+1)
  * (1 + VALUE(Assumptions!$B$11))^(D564-1)
)
"),2144297.9294034666)</f>
        <v>2144297.929</v>
      </c>
    </row>
    <row r="565">
      <c r="A565" s="15">
        <f>IFERROR(__xludf.DUMMYFUNCTION("IFERROR(INDEX(FILTER('RE Portfolio'!A$2:A2000,'RE Portfolio'!D$2:D2000=""BUY""), INT((ROW()-2)/amortYears)+1), )
"),15.0)</f>
        <v>15</v>
      </c>
      <c r="B565" s="15">
        <f>IFERROR(__xludf.DUMMYFUNCTION("IFERROR(INDEX(FILTER('RE Portfolio'!B$2:B2000,'RE Portfolio'!D$2:D2000=""BUY""), INT((ROW()-2)/amortYears)+1), )
"),56.0)</f>
        <v>56</v>
      </c>
      <c r="C565" s="15">
        <f>IFERROR(__xludf.DUMMYFUNCTION("IFERROR(INDEX(FILTER('RE Portfolio'!G$2:G2000,'RE Portfolio'!D$2:D2000=""BUY""), INT((ROW()-2)/amortYears)+1), )
"),495845.3109988802)</f>
        <v>495845.311</v>
      </c>
      <c r="D565" s="15">
        <f>MOD(ROW()-2, amortYears)+1</f>
        <v>32</v>
      </c>
      <c r="E565" s="15">
        <f t="shared" si="1"/>
        <v>87</v>
      </c>
      <c r="F565" s="15">
        <f t="shared" si="2"/>
        <v>0</v>
      </c>
      <c r="G565" s="15">
        <f>IF(D565&lt;=mortTerm, -PMT(mortRate/12, mortTerm*12, C565)*12, 0)
</f>
        <v>0</v>
      </c>
      <c r="H565" s="15">
        <f>IF(D565&lt;=mortTerm, G565 - I565, 0)
</f>
        <v>0</v>
      </c>
      <c r="I565" s="15">
        <f>IF(D565&lt;=mortTerm, F565 - J565, 0)
</f>
        <v>0</v>
      </c>
      <c r="J565" s="15">
        <f>IF(D565&lt;=mortTerm,
   F565*(1+mortRate/12)^12 - (-PMT(mortRate/12, mortTerm*12, C565))*(((1+mortRate/12)^12 - 1)/(mortRate/12)),
   0
)
</f>
        <v>0</v>
      </c>
      <c r="K565" s="13">
        <f>IFERROR(__xludf.DUMMYFUNCTION("IF(A565="""","""",
   IF(F565&gt;0,
      INDEX(FILTER('RE Portfolio'!L$2:L2000,'RE Portfolio'!D$2:D2000=""BUY""), INT((ROW()-2)/amortYears)+1) - G565,
      INDEX(FILTER('RE Portfolio'!L$2:L2000,'RE Portfolio'!D$2:D2000=""BUY""), INT((ROW()-2)/amortYears)+1"&amp;")
   )
)
"),49187.854851088916)</f>
        <v>49187.85485</v>
      </c>
      <c r="L565" s="15">
        <f>IFERROR(__xludf.DUMMYFUNCTION("IF(A565="""","""",
  INDEX(FILTER('RE Portfolio'!C$2:C2000,'RE Portfolio'!D$2:D2000=""BUY""), INT((ROW()-2)/amortYears)+1)
  * (1 + VALUE(Assumptions!$B$11))^(D565-1)
)
"),2230069.8465796052)</f>
        <v>2230069.847</v>
      </c>
    </row>
    <row r="566">
      <c r="A566" s="15">
        <f>IFERROR(__xludf.DUMMYFUNCTION("IFERROR(INDEX(FILTER('RE Portfolio'!A$2:A2000,'RE Portfolio'!D$2:D2000=""BUY""), INT((ROW()-2)/amortYears)+1), )
"),15.0)</f>
        <v>15</v>
      </c>
      <c r="B566" s="15">
        <f>IFERROR(__xludf.DUMMYFUNCTION("IFERROR(INDEX(FILTER('RE Portfolio'!B$2:B2000,'RE Portfolio'!D$2:D2000=""BUY""), INT((ROW()-2)/amortYears)+1), )
"),56.0)</f>
        <v>56</v>
      </c>
      <c r="C566" s="15">
        <f>IFERROR(__xludf.DUMMYFUNCTION("IFERROR(INDEX(FILTER('RE Portfolio'!G$2:G2000,'RE Portfolio'!D$2:D2000=""BUY""), INT((ROW()-2)/amortYears)+1), )
"),495845.3109988802)</f>
        <v>495845.311</v>
      </c>
      <c r="D566" s="15">
        <f>MOD(ROW()-2, amortYears)+1</f>
        <v>33</v>
      </c>
      <c r="E566" s="15">
        <f t="shared" si="1"/>
        <v>88</v>
      </c>
      <c r="F566" s="15">
        <f t="shared" si="2"/>
        <v>0</v>
      </c>
      <c r="G566" s="15">
        <f>IF(D566&lt;=mortTerm, -PMT(mortRate/12, mortTerm*12, C566)*12, 0)
</f>
        <v>0</v>
      </c>
      <c r="H566" s="15">
        <f>IF(D566&lt;=mortTerm, G566 - I566, 0)
</f>
        <v>0</v>
      </c>
      <c r="I566" s="15">
        <f>IF(D566&lt;=mortTerm, F566 - J566, 0)
</f>
        <v>0</v>
      </c>
      <c r="J566" s="15">
        <f>IF(D566&lt;=mortTerm,
   F566*(1+mortRate/12)^12 - (-PMT(mortRate/12, mortTerm*12, C566))*(((1+mortRate/12)^12 - 1)/(mortRate/12)),
   0
)
</f>
        <v>0</v>
      </c>
      <c r="K566" s="13">
        <f>IFERROR(__xludf.DUMMYFUNCTION("IF(A566="""","""",
   IF(F566&gt;0,
      INDEX(FILTER('RE Portfolio'!L$2:L2000,'RE Portfolio'!D$2:D2000=""BUY""), INT((ROW()-2)/amortYears)+1) - G566,
      INDEX(FILTER('RE Portfolio'!L$2:L2000,'RE Portfolio'!D$2:D2000=""BUY""), INT((ROW()-2)/amortYears)+1"&amp;")
   )
)
"),49187.854851088916)</f>
        <v>49187.85485</v>
      </c>
      <c r="L566" s="15">
        <f>IFERROR(__xludf.DUMMYFUNCTION("IF(A566="""","""",
  INDEX(FILTER('RE Portfolio'!C$2:C2000,'RE Portfolio'!D$2:D2000=""BUY""), INT((ROW()-2)/amortYears)+1)
  * (1 + VALUE(Assumptions!$B$11))^(D566-1)
)
"),2319272.6404427895)</f>
        <v>2319272.64</v>
      </c>
    </row>
    <row r="567">
      <c r="A567" s="15">
        <f>IFERROR(__xludf.DUMMYFUNCTION("IFERROR(INDEX(FILTER('RE Portfolio'!A$2:A2000,'RE Portfolio'!D$2:D2000=""BUY""), INT((ROW()-2)/amortYears)+1), )
"),15.0)</f>
        <v>15</v>
      </c>
      <c r="B567" s="15">
        <f>IFERROR(__xludf.DUMMYFUNCTION("IFERROR(INDEX(FILTER('RE Portfolio'!B$2:B2000,'RE Portfolio'!D$2:D2000=""BUY""), INT((ROW()-2)/amortYears)+1), )
"),56.0)</f>
        <v>56</v>
      </c>
      <c r="C567" s="15">
        <f>IFERROR(__xludf.DUMMYFUNCTION("IFERROR(INDEX(FILTER('RE Portfolio'!G$2:G2000,'RE Portfolio'!D$2:D2000=""BUY""), INT((ROW()-2)/amortYears)+1), )
"),495845.3109988802)</f>
        <v>495845.311</v>
      </c>
      <c r="D567" s="15">
        <f>MOD(ROW()-2, amortYears)+1</f>
        <v>34</v>
      </c>
      <c r="E567" s="15">
        <f t="shared" si="1"/>
        <v>89</v>
      </c>
      <c r="F567" s="15">
        <f t="shared" si="2"/>
        <v>0</v>
      </c>
      <c r="G567" s="15">
        <f>IF(D567&lt;=mortTerm, -PMT(mortRate/12, mortTerm*12, C567)*12, 0)
</f>
        <v>0</v>
      </c>
      <c r="H567" s="15">
        <f>IF(D567&lt;=mortTerm, G567 - I567, 0)
</f>
        <v>0</v>
      </c>
      <c r="I567" s="15">
        <f>IF(D567&lt;=mortTerm, F567 - J567, 0)
</f>
        <v>0</v>
      </c>
      <c r="J567" s="15">
        <f>IF(D567&lt;=mortTerm,
   F567*(1+mortRate/12)^12 - (-PMT(mortRate/12, mortTerm*12, C567))*(((1+mortRate/12)^12 - 1)/(mortRate/12)),
   0
)
</f>
        <v>0</v>
      </c>
      <c r="K567" s="13">
        <f>IFERROR(__xludf.DUMMYFUNCTION("IF(A567="""","""",
   IF(F567&gt;0,
      INDEX(FILTER('RE Portfolio'!L$2:L2000,'RE Portfolio'!D$2:D2000=""BUY""), INT((ROW()-2)/amortYears)+1) - G567,
      INDEX(FILTER('RE Portfolio'!L$2:L2000,'RE Portfolio'!D$2:D2000=""BUY""), INT((ROW()-2)/amortYears)+1"&amp;")
   )
)
"),49187.854851088916)</f>
        <v>49187.85485</v>
      </c>
      <c r="L567" s="15">
        <f>IFERROR(__xludf.DUMMYFUNCTION("IF(A567="""","""",
  INDEX(FILTER('RE Portfolio'!C$2:C2000,'RE Portfolio'!D$2:D2000=""BUY""), INT((ROW()-2)/amortYears)+1)
  * (1 + VALUE(Assumptions!$B$11))^(D567-1)
)
"),2412043.546060501)</f>
        <v>2412043.546</v>
      </c>
    </row>
    <row r="568">
      <c r="A568" s="15">
        <f>IFERROR(__xludf.DUMMYFUNCTION("IFERROR(INDEX(FILTER('RE Portfolio'!A$2:A2000,'RE Portfolio'!D$2:D2000=""BUY""), INT((ROW()-2)/amortYears)+1), )
"),15.0)</f>
        <v>15</v>
      </c>
      <c r="B568" s="15">
        <f>IFERROR(__xludf.DUMMYFUNCTION("IFERROR(INDEX(FILTER('RE Portfolio'!B$2:B2000,'RE Portfolio'!D$2:D2000=""BUY""), INT((ROW()-2)/amortYears)+1), )
"),56.0)</f>
        <v>56</v>
      </c>
      <c r="C568" s="15">
        <f>IFERROR(__xludf.DUMMYFUNCTION("IFERROR(INDEX(FILTER('RE Portfolio'!G$2:G2000,'RE Portfolio'!D$2:D2000=""BUY""), INT((ROW()-2)/amortYears)+1), )
"),495845.3109988802)</f>
        <v>495845.311</v>
      </c>
      <c r="D568" s="15">
        <f>MOD(ROW()-2, amortYears)+1</f>
        <v>35</v>
      </c>
      <c r="E568" s="15">
        <f t="shared" si="1"/>
        <v>90</v>
      </c>
      <c r="F568" s="15">
        <f t="shared" si="2"/>
        <v>0</v>
      </c>
      <c r="G568" s="15">
        <f>IF(D568&lt;=mortTerm, -PMT(mortRate/12, mortTerm*12, C568)*12, 0)
</f>
        <v>0</v>
      </c>
      <c r="H568" s="15">
        <f>IF(D568&lt;=mortTerm, G568 - I568, 0)
</f>
        <v>0</v>
      </c>
      <c r="I568" s="15">
        <f>IF(D568&lt;=mortTerm, F568 - J568, 0)
</f>
        <v>0</v>
      </c>
      <c r="J568" s="15">
        <f>IF(D568&lt;=mortTerm,
   F568*(1+mortRate/12)^12 - (-PMT(mortRate/12, mortTerm*12, C568))*(((1+mortRate/12)^12 - 1)/(mortRate/12)),
   0
)
</f>
        <v>0</v>
      </c>
      <c r="K568" s="13">
        <f>IFERROR(__xludf.DUMMYFUNCTION("IF(A568="""","""",
   IF(F568&gt;0,
      INDEX(FILTER('RE Portfolio'!L$2:L2000,'RE Portfolio'!D$2:D2000=""BUY""), INT((ROW()-2)/amortYears)+1) - G568,
      INDEX(FILTER('RE Portfolio'!L$2:L2000,'RE Portfolio'!D$2:D2000=""BUY""), INT((ROW()-2)/amortYears)+1"&amp;")
   )
)
"),49187.854851088916)</f>
        <v>49187.85485</v>
      </c>
      <c r="L568" s="15">
        <f>IFERROR(__xludf.DUMMYFUNCTION("IF(A568="""","""",
  INDEX(FILTER('RE Portfolio'!C$2:C2000,'RE Portfolio'!D$2:D2000=""BUY""), INT((ROW()-2)/amortYears)+1)
  * (1 + VALUE(Assumptions!$B$11))^(D568-1)
)
"),2508525.2879029214)</f>
        <v>2508525.288</v>
      </c>
    </row>
    <row r="569">
      <c r="A569" s="15">
        <f>IFERROR(__xludf.DUMMYFUNCTION("IFERROR(INDEX(FILTER('RE Portfolio'!A$2:A2000,'RE Portfolio'!D$2:D2000=""BUY""), INT((ROW()-2)/amortYears)+1), )
"),15.0)</f>
        <v>15</v>
      </c>
      <c r="B569" s="15">
        <f>IFERROR(__xludf.DUMMYFUNCTION("IFERROR(INDEX(FILTER('RE Portfolio'!B$2:B2000,'RE Portfolio'!D$2:D2000=""BUY""), INT((ROW()-2)/amortYears)+1), )
"),56.0)</f>
        <v>56</v>
      </c>
      <c r="C569" s="15">
        <f>IFERROR(__xludf.DUMMYFUNCTION("IFERROR(INDEX(FILTER('RE Portfolio'!G$2:G2000,'RE Portfolio'!D$2:D2000=""BUY""), INT((ROW()-2)/amortYears)+1), )
"),495845.3109988802)</f>
        <v>495845.311</v>
      </c>
      <c r="D569" s="15">
        <f>MOD(ROW()-2, amortYears)+1</f>
        <v>36</v>
      </c>
      <c r="E569" s="15">
        <f t="shared" si="1"/>
        <v>91</v>
      </c>
      <c r="F569" s="15">
        <f t="shared" si="2"/>
        <v>0</v>
      </c>
      <c r="G569" s="15">
        <f>IF(D569&lt;=mortTerm, -PMT(mortRate/12, mortTerm*12, C569)*12, 0)
</f>
        <v>0</v>
      </c>
      <c r="H569" s="15">
        <f>IF(D569&lt;=mortTerm, G569 - I569, 0)
</f>
        <v>0</v>
      </c>
      <c r="I569" s="15">
        <f>IF(D569&lt;=mortTerm, F569 - J569, 0)
</f>
        <v>0</v>
      </c>
      <c r="J569" s="15">
        <f>IF(D569&lt;=mortTerm,
   F569*(1+mortRate/12)^12 - (-PMT(mortRate/12, mortTerm*12, C569))*(((1+mortRate/12)^12 - 1)/(mortRate/12)),
   0
)
</f>
        <v>0</v>
      </c>
      <c r="K569" s="13">
        <f>IFERROR(__xludf.DUMMYFUNCTION("IF(A569="""","""",
   IF(F569&gt;0,
      INDEX(FILTER('RE Portfolio'!L$2:L2000,'RE Portfolio'!D$2:D2000=""BUY""), INT((ROW()-2)/amortYears)+1) - G569,
      INDEX(FILTER('RE Portfolio'!L$2:L2000,'RE Portfolio'!D$2:D2000=""BUY""), INT((ROW()-2)/amortYears)+1"&amp;")
   )
)
"),49187.854851088916)</f>
        <v>49187.85485</v>
      </c>
      <c r="L569" s="15">
        <f>IFERROR(__xludf.DUMMYFUNCTION("IF(A569="""","""",
  INDEX(FILTER('RE Portfolio'!C$2:C2000,'RE Portfolio'!D$2:D2000=""BUY""), INT((ROW()-2)/amortYears)+1)
  * (1 + VALUE(Assumptions!$B$11))^(D569-1)
)
"),2608866.2994190385)</f>
        <v>2608866.299</v>
      </c>
    </row>
    <row r="570">
      <c r="A570" s="15">
        <f>IFERROR(__xludf.DUMMYFUNCTION("IFERROR(INDEX(FILTER('RE Portfolio'!A$2:A2000,'RE Portfolio'!D$2:D2000=""BUY""), INT((ROW()-2)/amortYears)+1), )
"),15.0)</f>
        <v>15</v>
      </c>
      <c r="B570" s="15">
        <f>IFERROR(__xludf.DUMMYFUNCTION("IFERROR(INDEX(FILTER('RE Portfolio'!B$2:B2000,'RE Portfolio'!D$2:D2000=""BUY""), INT((ROW()-2)/amortYears)+1), )
"),56.0)</f>
        <v>56</v>
      </c>
      <c r="C570" s="15">
        <f>IFERROR(__xludf.DUMMYFUNCTION("IFERROR(INDEX(FILTER('RE Portfolio'!G$2:G2000,'RE Portfolio'!D$2:D2000=""BUY""), INT((ROW()-2)/amortYears)+1), )
"),495845.3109988802)</f>
        <v>495845.311</v>
      </c>
      <c r="D570" s="15">
        <f>MOD(ROW()-2, amortYears)+1</f>
        <v>37</v>
      </c>
      <c r="E570" s="15">
        <f t="shared" si="1"/>
        <v>92</v>
      </c>
      <c r="F570" s="15">
        <f t="shared" si="2"/>
        <v>0</v>
      </c>
      <c r="G570" s="15">
        <f>IF(D570&lt;=mortTerm, -PMT(mortRate/12, mortTerm*12, C570)*12, 0)
</f>
        <v>0</v>
      </c>
      <c r="H570" s="15">
        <f>IF(D570&lt;=mortTerm, G570 - I570, 0)
</f>
        <v>0</v>
      </c>
      <c r="I570" s="15">
        <f>IF(D570&lt;=mortTerm, F570 - J570, 0)
</f>
        <v>0</v>
      </c>
      <c r="J570" s="15">
        <f>IF(D570&lt;=mortTerm,
   F570*(1+mortRate/12)^12 - (-PMT(mortRate/12, mortTerm*12, C570))*(((1+mortRate/12)^12 - 1)/(mortRate/12)),
   0
)
</f>
        <v>0</v>
      </c>
      <c r="K570" s="13">
        <f>IFERROR(__xludf.DUMMYFUNCTION("IF(A570="""","""",
   IF(F570&gt;0,
      INDEX(FILTER('RE Portfolio'!L$2:L2000,'RE Portfolio'!D$2:D2000=""BUY""), INT((ROW()-2)/amortYears)+1) - G570,
      INDEX(FILTER('RE Portfolio'!L$2:L2000,'RE Portfolio'!D$2:D2000=""BUY""), INT((ROW()-2)/amortYears)+1"&amp;")
   )
)
"),49187.854851088916)</f>
        <v>49187.85485</v>
      </c>
      <c r="L570" s="15">
        <f>IFERROR(__xludf.DUMMYFUNCTION("IF(A570="""","""",
  INDEX(FILTER('RE Portfolio'!C$2:C2000,'RE Portfolio'!D$2:D2000=""BUY""), INT((ROW()-2)/amortYears)+1)
  * (1 + VALUE(Assumptions!$B$11))^(D570-1)
)
"),2713220.9513958)</f>
        <v>2713220.951</v>
      </c>
    </row>
    <row r="571">
      <c r="A571" s="15">
        <f>IFERROR(__xludf.DUMMYFUNCTION("IFERROR(INDEX(FILTER('RE Portfolio'!A$2:A2000,'RE Portfolio'!D$2:D2000=""BUY""), INT((ROW()-2)/amortYears)+1), )
"),15.0)</f>
        <v>15</v>
      </c>
      <c r="B571" s="15">
        <f>IFERROR(__xludf.DUMMYFUNCTION("IFERROR(INDEX(FILTER('RE Portfolio'!B$2:B2000,'RE Portfolio'!D$2:D2000=""BUY""), INT((ROW()-2)/amortYears)+1), )
"),56.0)</f>
        <v>56</v>
      </c>
      <c r="C571" s="15">
        <f>IFERROR(__xludf.DUMMYFUNCTION("IFERROR(INDEX(FILTER('RE Portfolio'!G$2:G2000,'RE Portfolio'!D$2:D2000=""BUY""), INT((ROW()-2)/amortYears)+1), )
"),495845.3109988802)</f>
        <v>495845.311</v>
      </c>
      <c r="D571" s="15">
        <f>MOD(ROW()-2, amortYears)+1</f>
        <v>38</v>
      </c>
      <c r="E571" s="15">
        <f t="shared" si="1"/>
        <v>93</v>
      </c>
      <c r="F571" s="15">
        <f t="shared" si="2"/>
        <v>0</v>
      </c>
      <c r="G571" s="15">
        <f>IF(D571&lt;=mortTerm, -PMT(mortRate/12, mortTerm*12, C571)*12, 0)
</f>
        <v>0</v>
      </c>
      <c r="H571" s="15">
        <f>IF(D571&lt;=mortTerm, G571 - I571, 0)
</f>
        <v>0</v>
      </c>
      <c r="I571" s="15">
        <f>IF(D571&lt;=mortTerm, F571 - J571, 0)
</f>
        <v>0</v>
      </c>
      <c r="J571" s="15">
        <f>IF(D571&lt;=mortTerm,
   F571*(1+mortRate/12)^12 - (-PMT(mortRate/12, mortTerm*12, C571))*(((1+mortRate/12)^12 - 1)/(mortRate/12)),
   0
)
</f>
        <v>0</v>
      </c>
      <c r="K571" s="13">
        <f>IFERROR(__xludf.DUMMYFUNCTION("IF(A571="""","""",
   IF(F571&gt;0,
      INDEX(FILTER('RE Portfolio'!L$2:L2000,'RE Portfolio'!D$2:D2000=""BUY""), INT((ROW()-2)/amortYears)+1) - G571,
      INDEX(FILTER('RE Portfolio'!L$2:L2000,'RE Portfolio'!D$2:D2000=""BUY""), INT((ROW()-2)/amortYears)+1"&amp;")
   )
)
"),49187.854851088916)</f>
        <v>49187.85485</v>
      </c>
      <c r="L571" s="15">
        <f>IFERROR(__xludf.DUMMYFUNCTION("IF(A571="""","""",
  INDEX(FILTER('RE Portfolio'!C$2:C2000,'RE Portfolio'!D$2:D2000=""BUY""), INT((ROW()-2)/amortYears)+1)
  * (1 + VALUE(Assumptions!$B$11))^(D571-1)
)
"),2821749.7894516317)</f>
        <v>2821749.789</v>
      </c>
    </row>
    <row r="572">
      <c r="A572" s="15">
        <f>IFERROR(__xludf.DUMMYFUNCTION("IFERROR(INDEX(FILTER('RE Portfolio'!A$2:A2000,'RE Portfolio'!D$2:D2000=""BUY""), INT((ROW()-2)/amortYears)+1), )
"),16.0)</f>
        <v>16</v>
      </c>
      <c r="B572" s="15">
        <f>IFERROR(__xludf.DUMMYFUNCTION("IFERROR(INDEX(FILTER('RE Portfolio'!B$2:B2000,'RE Portfolio'!D$2:D2000=""BUY""), INT((ROW()-2)/amortYears)+1), )
"),57.0)</f>
        <v>57</v>
      </c>
      <c r="C572" s="15">
        <f>IFERROR(__xludf.DUMMYFUNCTION("IFERROR(INDEX(FILTER('RE Portfolio'!G$2:G2000,'RE Portfolio'!D$2:D2000=""BUY""), INT((ROW()-2)/amortYears)+1), )
"),508241.44377385225)</f>
        <v>508241.4438</v>
      </c>
      <c r="D572" s="15">
        <f>MOD(ROW()-2, amortYears)+1</f>
        <v>1</v>
      </c>
      <c r="E572" s="15">
        <f t="shared" si="1"/>
        <v>57</v>
      </c>
      <c r="F572" s="15">
        <f t="shared" si="2"/>
        <v>508241.4438</v>
      </c>
      <c r="G572" s="16">
        <f>IF(D572&lt;=mortTerm, -PMT(mortRate/12, mortTerm*12, C572)*12, 0)
</f>
        <v>38549.17978</v>
      </c>
      <c r="H572" s="16">
        <f>IF(D572&lt;=mortTerm, G572 - I572, 0)
</f>
        <v>32868.43572</v>
      </c>
      <c r="I572" s="16">
        <f>IF(D572&lt;=mortTerm, F572 - J572, 0)
</f>
        <v>5680.744061</v>
      </c>
      <c r="J572" s="16">
        <f>IF(D572&lt;=mortTerm,
   F572*(1+mortRate/12)^12 - (-PMT(mortRate/12, mortTerm*12, C572))*(((1+mortRate/12)^12 - 1)/(mortRate/12)),
   0
)
</f>
        <v>502560.6997</v>
      </c>
      <c r="K572" s="13">
        <f>IFERROR(__xludf.DUMMYFUNCTION("IF(A572="""","""",
   IF(F572&gt;0,
      INDEX(FILTER('RE Portfolio'!L$2:L2000,'RE Portfolio'!D$2:D2000=""BUY""), INT((ROW()-2)/amortYears)+1) - G572,
      INDEX(FILTER('RE Portfolio'!L$2:L2000,'RE Portfolio'!D$2:D2000=""BUY""), INT((ROW()-2)/amortYears)+1"&amp;")
   )
)
"),11868.37144356416)</f>
        <v>11868.37144</v>
      </c>
      <c r="L572" s="15">
        <f>IFERROR(__xludf.DUMMYFUNCTION("IF(A572="""","""",
  INDEX(FILTER('RE Portfolio'!C$2:C2000,'RE Portfolio'!D$2:D2000=""BUY""), INT((ROW()-2)/amortYears)+1)
  * (1 + VALUE(Assumptions!$B$11))^(D572-1)
)
"),677655.2583651363)</f>
        <v>677655.2584</v>
      </c>
    </row>
    <row r="573">
      <c r="A573" s="15">
        <f>IFERROR(__xludf.DUMMYFUNCTION("IFERROR(INDEX(FILTER('RE Portfolio'!A$2:A2000,'RE Portfolio'!D$2:D2000=""BUY""), INT((ROW()-2)/amortYears)+1), )
"),16.0)</f>
        <v>16</v>
      </c>
      <c r="B573" s="15">
        <f>IFERROR(__xludf.DUMMYFUNCTION("IFERROR(INDEX(FILTER('RE Portfolio'!B$2:B2000,'RE Portfolio'!D$2:D2000=""BUY""), INT((ROW()-2)/amortYears)+1), )
"),57.0)</f>
        <v>57</v>
      </c>
      <c r="C573" s="15">
        <f>IFERROR(__xludf.DUMMYFUNCTION("IFERROR(INDEX(FILTER('RE Portfolio'!G$2:G2000,'RE Portfolio'!D$2:D2000=""BUY""), INT((ROW()-2)/amortYears)+1), )
"),508241.44377385225)</f>
        <v>508241.4438</v>
      </c>
      <c r="D573" s="15">
        <f>MOD(ROW()-2, amortYears)+1</f>
        <v>2</v>
      </c>
      <c r="E573" s="15">
        <f t="shared" si="1"/>
        <v>58</v>
      </c>
      <c r="F573" s="16">
        <f t="shared" si="2"/>
        <v>502560.6997</v>
      </c>
      <c r="G573" s="16">
        <f>IF(D573&lt;=mortTerm, -PMT(mortRate/12, mortTerm*12, C573)*12, 0)
</f>
        <v>38549.17978</v>
      </c>
      <c r="H573" s="16">
        <f>IF(D573&lt;=mortTerm, G573 - I573, 0)
</f>
        <v>32487.98577</v>
      </c>
      <c r="I573" s="16">
        <f>IF(D573&lt;=mortTerm, F573 - J573, 0)
</f>
        <v>6061.194011</v>
      </c>
      <c r="J573" s="16">
        <f>IF(D573&lt;=mortTerm,
   F573*(1+mortRate/12)^12 - (-PMT(mortRate/12, mortTerm*12, C573))*(((1+mortRate/12)^12 - 1)/(mortRate/12)),
   0
)
</f>
        <v>496499.5057</v>
      </c>
      <c r="K573" s="13">
        <f>IFERROR(__xludf.DUMMYFUNCTION("IF(A573="""","""",
   IF(F573&gt;0,
      INDEX(FILTER('RE Portfolio'!L$2:L2000,'RE Portfolio'!D$2:D2000=""BUY""), INT((ROW()-2)/amortYears)+1) - G573,
      INDEX(FILTER('RE Portfolio'!L$2:L2000,'RE Portfolio'!D$2:D2000=""BUY""), INT((ROW()-2)/amortYears)+1"&amp;")
   )
)
"),11868.37144356416)</f>
        <v>11868.37144</v>
      </c>
      <c r="L573" s="15">
        <f>IFERROR(__xludf.DUMMYFUNCTION("IF(A573="""","""",
  INDEX(FILTER('RE Portfolio'!C$2:C2000,'RE Portfolio'!D$2:D2000=""BUY""), INT((ROW()-2)/amortYears)+1)
  * (1 + VALUE(Assumptions!$B$11))^(D573-1)
)
"),704761.4686997418)</f>
        <v>704761.4687</v>
      </c>
    </row>
    <row r="574">
      <c r="A574" s="15">
        <f>IFERROR(__xludf.DUMMYFUNCTION("IFERROR(INDEX(FILTER('RE Portfolio'!A$2:A2000,'RE Portfolio'!D$2:D2000=""BUY""), INT((ROW()-2)/amortYears)+1), )
"),16.0)</f>
        <v>16</v>
      </c>
      <c r="B574" s="15">
        <f>IFERROR(__xludf.DUMMYFUNCTION("IFERROR(INDEX(FILTER('RE Portfolio'!B$2:B2000,'RE Portfolio'!D$2:D2000=""BUY""), INT((ROW()-2)/amortYears)+1), )
"),57.0)</f>
        <v>57</v>
      </c>
      <c r="C574" s="15">
        <f>IFERROR(__xludf.DUMMYFUNCTION("IFERROR(INDEX(FILTER('RE Portfolio'!G$2:G2000,'RE Portfolio'!D$2:D2000=""BUY""), INT((ROW()-2)/amortYears)+1), )
"),508241.44377385225)</f>
        <v>508241.4438</v>
      </c>
      <c r="D574" s="15">
        <f>MOD(ROW()-2, amortYears)+1</f>
        <v>3</v>
      </c>
      <c r="E574" s="15">
        <f t="shared" si="1"/>
        <v>59</v>
      </c>
      <c r="F574" s="16">
        <f t="shared" si="2"/>
        <v>496499.5057</v>
      </c>
      <c r="G574" s="16">
        <f>IF(D574&lt;=mortTerm, -PMT(mortRate/12, mortTerm*12, C574)*12, 0)
</f>
        <v>38549.17978</v>
      </c>
      <c r="H574" s="16">
        <f>IF(D574&lt;=mortTerm, G574 - I574, 0)
</f>
        <v>32082.05638</v>
      </c>
      <c r="I574" s="16">
        <f>IF(D574&lt;=mortTerm, F574 - J574, 0)
</f>
        <v>6467.1234</v>
      </c>
      <c r="J574" s="16">
        <f>IF(D574&lt;=mortTerm,
   F574*(1+mortRate/12)^12 - (-PMT(mortRate/12, mortTerm*12, C574))*(((1+mortRate/12)^12 - 1)/(mortRate/12)),
   0
)
</f>
        <v>490032.3823</v>
      </c>
      <c r="K574" s="13">
        <f>IFERROR(__xludf.DUMMYFUNCTION("IF(A574="""","""",
   IF(F574&gt;0,
      INDEX(FILTER('RE Portfolio'!L$2:L2000,'RE Portfolio'!D$2:D2000=""BUY""), INT((ROW()-2)/amortYears)+1) - G574,
      INDEX(FILTER('RE Portfolio'!L$2:L2000,'RE Portfolio'!D$2:D2000=""BUY""), INT((ROW()-2)/amortYears)+1"&amp;")
   )
)
"),11868.37144356416)</f>
        <v>11868.37144</v>
      </c>
      <c r="L574" s="15">
        <f>IFERROR(__xludf.DUMMYFUNCTION("IF(A574="""","""",
  INDEX(FILTER('RE Portfolio'!C$2:C2000,'RE Portfolio'!D$2:D2000=""BUY""), INT((ROW()-2)/amortYears)+1)
  * (1 + VALUE(Assumptions!$B$11))^(D574-1)
)
"),732951.9274477315)</f>
        <v>732951.9274</v>
      </c>
    </row>
    <row r="575">
      <c r="A575" s="15">
        <f>IFERROR(__xludf.DUMMYFUNCTION("IFERROR(INDEX(FILTER('RE Portfolio'!A$2:A2000,'RE Portfolio'!D$2:D2000=""BUY""), INT((ROW()-2)/amortYears)+1), )
"),16.0)</f>
        <v>16</v>
      </c>
      <c r="B575" s="15">
        <f>IFERROR(__xludf.DUMMYFUNCTION("IFERROR(INDEX(FILTER('RE Portfolio'!B$2:B2000,'RE Portfolio'!D$2:D2000=""BUY""), INT((ROW()-2)/amortYears)+1), )
"),57.0)</f>
        <v>57</v>
      </c>
      <c r="C575" s="15">
        <f>IFERROR(__xludf.DUMMYFUNCTION("IFERROR(INDEX(FILTER('RE Portfolio'!G$2:G2000,'RE Portfolio'!D$2:D2000=""BUY""), INT((ROW()-2)/amortYears)+1), )
"),508241.44377385225)</f>
        <v>508241.4438</v>
      </c>
      <c r="D575" s="15">
        <f>MOD(ROW()-2, amortYears)+1</f>
        <v>4</v>
      </c>
      <c r="E575" s="15">
        <f t="shared" si="1"/>
        <v>60</v>
      </c>
      <c r="F575" s="16">
        <f t="shared" si="2"/>
        <v>490032.3823</v>
      </c>
      <c r="G575" s="16">
        <f>IF(D575&lt;=mortTerm, -PMT(mortRate/12, mortTerm*12, C575)*12, 0)
</f>
        <v>38549.17978</v>
      </c>
      <c r="H575" s="16">
        <f>IF(D575&lt;=mortTerm, G575 - I575, 0)
</f>
        <v>31648.94115</v>
      </c>
      <c r="I575" s="16">
        <f>IF(D575&lt;=mortTerm, F575 - J575, 0)
</f>
        <v>6900.238631</v>
      </c>
      <c r="J575" s="16">
        <f>IF(D575&lt;=mortTerm,
   F575*(1+mortRate/12)^12 - (-PMT(mortRate/12, mortTerm*12, C575))*(((1+mortRate/12)^12 - 1)/(mortRate/12)),
   0
)
</f>
        <v>483132.1437</v>
      </c>
      <c r="K575" s="13">
        <f>IFERROR(__xludf.DUMMYFUNCTION("IF(A575="""","""",
   IF(F575&gt;0,
      INDEX(FILTER('RE Portfolio'!L$2:L2000,'RE Portfolio'!D$2:D2000=""BUY""), INT((ROW()-2)/amortYears)+1) - G575,
      INDEX(FILTER('RE Portfolio'!L$2:L2000,'RE Portfolio'!D$2:D2000=""BUY""), INT((ROW()-2)/amortYears)+1"&amp;")
   )
)
"),11868.37144356416)</f>
        <v>11868.37144</v>
      </c>
      <c r="L575" s="15">
        <f>IFERROR(__xludf.DUMMYFUNCTION("IF(A575="""","""",
  INDEX(FILTER('RE Portfolio'!C$2:C2000,'RE Portfolio'!D$2:D2000=""BUY""), INT((ROW()-2)/amortYears)+1)
  * (1 + VALUE(Assumptions!$B$11))^(D575-1)
)
"),762270.0045456408)</f>
        <v>762270.0045</v>
      </c>
    </row>
    <row r="576">
      <c r="A576" s="15">
        <f>IFERROR(__xludf.DUMMYFUNCTION("IFERROR(INDEX(FILTER('RE Portfolio'!A$2:A2000,'RE Portfolio'!D$2:D2000=""BUY""), INT((ROW()-2)/amortYears)+1), )
"),16.0)</f>
        <v>16</v>
      </c>
      <c r="B576" s="15">
        <f>IFERROR(__xludf.DUMMYFUNCTION("IFERROR(INDEX(FILTER('RE Portfolio'!B$2:B2000,'RE Portfolio'!D$2:D2000=""BUY""), INT((ROW()-2)/amortYears)+1), )
"),57.0)</f>
        <v>57</v>
      </c>
      <c r="C576" s="15">
        <f>IFERROR(__xludf.DUMMYFUNCTION("IFERROR(INDEX(FILTER('RE Portfolio'!G$2:G2000,'RE Portfolio'!D$2:D2000=""BUY""), INT((ROW()-2)/amortYears)+1), )
"),508241.44377385225)</f>
        <v>508241.4438</v>
      </c>
      <c r="D576" s="15">
        <f>MOD(ROW()-2, amortYears)+1</f>
        <v>5</v>
      </c>
      <c r="E576" s="15">
        <f t="shared" si="1"/>
        <v>61</v>
      </c>
      <c r="F576" s="16">
        <f t="shared" si="2"/>
        <v>483132.1437</v>
      </c>
      <c r="G576" s="16">
        <f>IF(D576&lt;=mortTerm, -PMT(mortRate/12, mortTerm*12, C576)*12, 0)
</f>
        <v>38549.17978</v>
      </c>
      <c r="H576" s="16">
        <f>IF(D576&lt;=mortTerm, G576 - I576, 0)
</f>
        <v>31186.81939</v>
      </c>
      <c r="I576" s="16">
        <f>IF(D576&lt;=mortTerm, F576 - J576, 0)
</f>
        <v>7362.360391</v>
      </c>
      <c r="J576" s="16">
        <f>IF(D576&lt;=mortTerm,
   F576*(1+mortRate/12)^12 - (-PMT(mortRate/12, mortTerm*12, C576))*(((1+mortRate/12)^12 - 1)/(mortRate/12)),
   0
)
</f>
        <v>475769.7833</v>
      </c>
      <c r="K576" s="13">
        <f>IFERROR(__xludf.DUMMYFUNCTION("IF(A576="""","""",
   IF(F576&gt;0,
      INDEX(FILTER('RE Portfolio'!L$2:L2000,'RE Portfolio'!D$2:D2000=""BUY""), INT((ROW()-2)/amortYears)+1) - G576,
      INDEX(FILTER('RE Portfolio'!L$2:L2000,'RE Portfolio'!D$2:D2000=""BUY""), INT((ROW()-2)/amortYears)+1"&amp;")
   )
)
"),11868.37144356416)</f>
        <v>11868.37144</v>
      </c>
      <c r="L576" s="15">
        <f>IFERROR(__xludf.DUMMYFUNCTION("IF(A576="""","""",
  INDEX(FILTER('RE Portfolio'!C$2:C2000,'RE Portfolio'!D$2:D2000=""BUY""), INT((ROW()-2)/amortYears)+1)
  * (1 + VALUE(Assumptions!$B$11))^(D576-1)
)
"),792760.8047274665)</f>
        <v>792760.8047</v>
      </c>
    </row>
    <row r="577">
      <c r="A577" s="15">
        <f>IFERROR(__xludf.DUMMYFUNCTION("IFERROR(INDEX(FILTER('RE Portfolio'!A$2:A2000,'RE Portfolio'!D$2:D2000=""BUY""), INT((ROW()-2)/amortYears)+1), )
"),16.0)</f>
        <v>16</v>
      </c>
      <c r="B577" s="15">
        <f>IFERROR(__xludf.DUMMYFUNCTION("IFERROR(INDEX(FILTER('RE Portfolio'!B$2:B2000,'RE Portfolio'!D$2:D2000=""BUY""), INT((ROW()-2)/amortYears)+1), )
"),57.0)</f>
        <v>57</v>
      </c>
      <c r="C577" s="15">
        <f>IFERROR(__xludf.DUMMYFUNCTION("IFERROR(INDEX(FILTER('RE Portfolio'!G$2:G2000,'RE Portfolio'!D$2:D2000=""BUY""), INT((ROW()-2)/amortYears)+1), )
"),508241.44377385225)</f>
        <v>508241.4438</v>
      </c>
      <c r="D577" s="15">
        <f>MOD(ROW()-2, amortYears)+1</f>
        <v>6</v>
      </c>
      <c r="E577" s="15">
        <f t="shared" si="1"/>
        <v>62</v>
      </c>
      <c r="F577" s="16">
        <f t="shared" si="2"/>
        <v>475769.7833</v>
      </c>
      <c r="G577" s="16">
        <f>IF(D577&lt;=mortTerm, -PMT(mortRate/12, mortTerm*12, C577)*12, 0)
</f>
        <v>38549.17978</v>
      </c>
      <c r="H577" s="16">
        <f>IF(D577&lt;=mortTerm, G577 - I577, 0)
</f>
        <v>30693.74848</v>
      </c>
      <c r="I577" s="16">
        <f>IF(D577&lt;=mortTerm, F577 - J577, 0)
</f>
        <v>7855.431302</v>
      </c>
      <c r="J577" s="16">
        <f>IF(D577&lt;=mortTerm,
   F577*(1+mortRate/12)^12 - (-PMT(mortRate/12, mortTerm*12, C577))*(((1+mortRate/12)^12 - 1)/(mortRate/12)),
   0
)
</f>
        <v>467914.352</v>
      </c>
      <c r="K577" s="13">
        <f>IFERROR(__xludf.DUMMYFUNCTION("IF(A577="""","""",
   IF(F577&gt;0,
      INDEX(FILTER('RE Portfolio'!L$2:L2000,'RE Portfolio'!D$2:D2000=""BUY""), INT((ROW()-2)/amortYears)+1) - G577,
      INDEX(FILTER('RE Portfolio'!L$2:L2000,'RE Portfolio'!D$2:D2000=""BUY""), INT((ROW()-2)/amortYears)+1"&amp;")
   )
)
"),11868.37144356416)</f>
        <v>11868.37144</v>
      </c>
      <c r="L577" s="15">
        <f>IFERROR(__xludf.DUMMYFUNCTION("IF(A577="""","""",
  INDEX(FILTER('RE Portfolio'!C$2:C2000,'RE Portfolio'!D$2:D2000=""BUY""), INT((ROW()-2)/amortYears)+1)
  * (1 + VALUE(Assumptions!$B$11))^(D577-1)
)
"),824471.2369165651)</f>
        <v>824471.2369</v>
      </c>
    </row>
    <row r="578">
      <c r="A578" s="15">
        <f>IFERROR(__xludf.DUMMYFUNCTION("IFERROR(INDEX(FILTER('RE Portfolio'!A$2:A2000,'RE Portfolio'!D$2:D2000=""BUY""), INT((ROW()-2)/amortYears)+1), )
"),16.0)</f>
        <v>16</v>
      </c>
      <c r="B578" s="15">
        <f>IFERROR(__xludf.DUMMYFUNCTION("IFERROR(INDEX(FILTER('RE Portfolio'!B$2:B2000,'RE Portfolio'!D$2:D2000=""BUY""), INT((ROW()-2)/amortYears)+1), )
"),57.0)</f>
        <v>57</v>
      </c>
      <c r="C578" s="15">
        <f>IFERROR(__xludf.DUMMYFUNCTION("IFERROR(INDEX(FILTER('RE Portfolio'!G$2:G2000,'RE Portfolio'!D$2:D2000=""BUY""), INT((ROW()-2)/amortYears)+1), )
"),508241.44377385225)</f>
        <v>508241.4438</v>
      </c>
      <c r="D578" s="15">
        <f>MOD(ROW()-2, amortYears)+1</f>
        <v>7</v>
      </c>
      <c r="E578" s="15">
        <f t="shared" si="1"/>
        <v>63</v>
      </c>
      <c r="F578" s="16">
        <f t="shared" si="2"/>
        <v>467914.352</v>
      </c>
      <c r="G578" s="16">
        <f>IF(D578&lt;=mortTerm, -PMT(mortRate/12, mortTerm*12, C578)*12, 0)
</f>
        <v>38549.17978</v>
      </c>
      <c r="H578" s="16">
        <f>IF(D578&lt;=mortTerm, G578 - I578, 0)
</f>
        <v>30167.65569</v>
      </c>
      <c r="I578" s="16">
        <f>IF(D578&lt;=mortTerm, F578 - J578, 0)
</f>
        <v>8381.524084</v>
      </c>
      <c r="J578" s="16">
        <f>IF(D578&lt;=mortTerm,
   F578*(1+mortRate/12)^12 - (-PMT(mortRate/12, mortTerm*12, C578))*(((1+mortRate/12)^12 - 1)/(mortRate/12)),
   0
)
</f>
        <v>459532.8279</v>
      </c>
      <c r="K578" s="13">
        <f>IFERROR(__xludf.DUMMYFUNCTION("IF(A578="""","""",
   IF(F578&gt;0,
      INDEX(FILTER('RE Portfolio'!L$2:L2000,'RE Portfolio'!D$2:D2000=""BUY""), INT((ROW()-2)/amortYears)+1) - G578,
      INDEX(FILTER('RE Portfolio'!L$2:L2000,'RE Portfolio'!D$2:D2000=""BUY""), INT((ROW()-2)/amortYears)+1"&amp;")
   )
)
"),11868.37144356416)</f>
        <v>11868.37144</v>
      </c>
      <c r="L578" s="15">
        <f>IFERROR(__xludf.DUMMYFUNCTION("IF(A578="""","""",
  INDEX(FILTER('RE Portfolio'!C$2:C2000,'RE Portfolio'!D$2:D2000=""BUY""), INT((ROW()-2)/amortYears)+1)
  * (1 + VALUE(Assumptions!$B$11))^(D578-1)
)
"),857450.0863932278)</f>
        <v>857450.0864</v>
      </c>
    </row>
    <row r="579">
      <c r="A579" s="15">
        <f>IFERROR(__xludf.DUMMYFUNCTION("IFERROR(INDEX(FILTER('RE Portfolio'!A$2:A2000,'RE Portfolio'!D$2:D2000=""BUY""), INT((ROW()-2)/amortYears)+1), )
"),16.0)</f>
        <v>16</v>
      </c>
      <c r="B579" s="15">
        <f>IFERROR(__xludf.DUMMYFUNCTION("IFERROR(INDEX(FILTER('RE Portfolio'!B$2:B2000,'RE Portfolio'!D$2:D2000=""BUY""), INT((ROW()-2)/amortYears)+1), )
"),57.0)</f>
        <v>57</v>
      </c>
      <c r="C579" s="15">
        <f>IFERROR(__xludf.DUMMYFUNCTION("IFERROR(INDEX(FILTER('RE Portfolio'!G$2:G2000,'RE Portfolio'!D$2:D2000=""BUY""), INT((ROW()-2)/amortYears)+1), )
"),508241.44377385225)</f>
        <v>508241.4438</v>
      </c>
      <c r="D579" s="15">
        <f>MOD(ROW()-2, amortYears)+1</f>
        <v>8</v>
      </c>
      <c r="E579" s="15">
        <f t="shared" si="1"/>
        <v>64</v>
      </c>
      <c r="F579" s="16">
        <f t="shared" si="2"/>
        <v>459532.8279</v>
      </c>
      <c r="G579" s="16">
        <f>IF(D579&lt;=mortTerm, -PMT(mortRate/12, mortTerm*12, C579)*12, 0)
</f>
        <v>38549.17978</v>
      </c>
      <c r="H579" s="16">
        <f>IF(D579&lt;=mortTerm, G579 - I579, 0)
</f>
        <v>29606.3295</v>
      </c>
      <c r="I579" s="16">
        <f>IF(D579&lt;=mortTerm, F579 - J579, 0)
</f>
        <v>8942.850275</v>
      </c>
      <c r="J579" s="16">
        <f>IF(D579&lt;=mortTerm,
   F579*(1+mortRate/12)^12 - (-PMT(mortRate/12, mortTerm*12, C579))*(((1+mortRate/12)^12 - 1)/(mortRate/12)),
   0
)
</f>
        <v>450589.9776</v>
      </c>
      <c r="K579" s="13">
        <f>IFERROR(__xludf.DUMMYFUNCTION("IF(A579="""","""",
   IF(F579&gt;0,
      INDEX(FILTER('RE Portfolio'!L$2:L2000,'RE Portfolio'!D$2:D2000=""BUY""), INT((ROW()-2)/amortYears)+1) - G579,
      INDEX(FILTER('RE Portfolio'!L$2:L2000,'RE Portfolio'!D$2:D2000=""BUY""), INT((ROW()-2)/amortYears)+1"&amp;")
   )
)
"),11868.37144356416)</f>
        <v>11868.37144</v>
      </c>
      <c r="L579" s="15">
        <f>IFERROR(__xludf.DUMMYFUNCTION("IF(A579="""","""",
  INDEX(FILTER('RE Portfolio'!C$2:C2000,'RE Portfolio'!D$2:D2000=""BUY""), INT((ROW()-2)/amortYears)+1)
  * (1 + VALUE(Assumptions!$B$11))^(D579-1)
)
"),891748.0898489569)</f>
        <v>891748.0898</v>
      </c>
    </row>
    <row r="580">
      <c r="A580" s="15">
        <f>IFERROR(__xludf.DUMMYFUNCTION("IFERROR(INDEX(FILTER('RE Portfolio'!A$2:A2000,'RE Portfolio'!D$2:D2000=""BUY""), INT((ROW()-2)/amortYears)+1), )
"),16.0)</f>
        <v>16</v>
      </c>
      <c r="B580" s="15">
        <f>IFERROR(__xludf.DUMMYFUNCTION("IFERROR(INDEX(FILTER('RE Portfolio'!B$2:B2000,'RE Portfolio'!D$2:D2000=""BUY""), INT((ROW()-2)/amortYears)+1), )
"),57.0)</f>
        <v>57</v>
      </c>
      <c r="C580" s="15">
        <f>IFERROR(__xludf.DUMMYFUNCTION("IFERROR(INDEX(FILTER('RE Portfolio'!G$2:G2000,'RE Portfolio'!D$2:D2000=""BUY""), INT((ROW()-2)/amortYears)+1), )
"),508241.44377385225)</f>
        <v>508241.4438</v>
      </c>
      <c r="D580" s="15">
        <f>MOD(ROW()-2, amortYears)+1</f>
        <v>9</v>
      </c>
      <c r="E580" s="15">
        <f t="shared" si="1"/>
        <v>65</v>
      </c>
      <c r="F580" s="16">
        <f t="shared" si="2"/>
        <v>450589.9776</v>
      </c>
      <c r="G580" s="16">
        <f>IF(D580&lt;=mortTerm, -PMT(mortRate/12, mortTerm*12, C580)*12, 0)
</f>
        <v>38549.17978</v>
      </c>
      <c r="H580" s="16">
        <f>IF(D580&lt;=mortTerm, G580 - I580, 0)
</f>
        <v>29007.41026</v>
      </c>
      <c r="I580" s="16">
        <f>IF(D580&lt;=mortTerm, F580 - J580, 0)
</f>
        <v>9541.76952</v>
      </c>
      <c r="J580" s="16">
        <f>IF(D580&lt;=mortTerm,
   F580*(1+mortRate/12)^12 - (-PMT(mortRate/12, mortTerm*12, C580))*(((1+mortRate/12)^12 - 1)/(mortRate/12)),
   0
)
</f>
        <v>441048.2081</v>
      </c>
      <c r="K580" s="13">
        <f>IFERROR(__xludf.DUMMYFUNCTION("IF(A580="""","""",
   IF(F580&gt;0,
      INDEX(FILTER('RE Portfolio'!L$2:L2000,'RE Portfolio'!D$2:D2000=""BUY""), INT((ROW()-2)/amortYears)+1) - G580,
      INDEX(FILTER('RE Portfolio'!L$2:L2000,'RE Portfolio'!D$2:D2000=""BUY""), INT((ROW()-2)/amortYears)+1"&amp;")
   )
)
"),11868.37144356416)</f>
        <v>11868.37144</v>
      </c>
      <c r="L580" s="15">
        <f>IFERROR(__xludf.DUMMYFUNCTION("IF(A580="""","""",
  INDEX(FILTER('RE Portfolio'!C$2:C2000,'RE Portfolio'!D$2:D2000=""BUY""), INT((ROW()-2)/amortYears)+1)
  * (1 + VALUE(Assumptions!$B$11))^(D580-1)
)
"),927418.0134429152)</f>
        <v>927418.0134</v>
      </c>
    </row>
    <row r="581">
      <c r="A581" s="15">
        <f>IFERROR(__xludf.DUMMYFUNCTION("IFERROR(INDEX(FILTER('RE Portfolio'!A$2:A2000,'RE Portfolio'!D$2:D2000=""BUY""), INT((ROW()-2)/amortYears)+1), )
"),16.0)</f>
        <v>16</v>
      </c>
      <c r="B581" s="15">
        <f>IFERROR(__xludf.DUMMYFUNCTION("IFERROR(INDEX(FILTER('RE Portfolio'!B$2:B2000,'RE Portfolio'!D$2:D2000=""BUY""), INT((ROW()-2)/amortYears)+1), )
"),57.0)</f>
        <v>57</v>
      </c>
      <c r="C581" s="15">
        <f>IFERROR(__xludf.DUMMYFUNCTION("IFERROR(INDEX(FILTER('RE Portfolio'!G$2:G2000,'RE Portfolio'!D$2:D2000=""BUY""), INT((ROW()-2)/amortYears)+1), )
"),508241.44377385225)</f>
        <v>508241.4438</v>
      </c>
      <c r="D581" s="15">
        <f>MOD(ROW()-2, amortYears)+1</f>
        <v>10</v>
      </c>
      <c r="E581" s="15">
        <f t="shared" si="1"/>
        <v>66</v>
      </c>
      <c r="F581" s="16">
        <f t="shared" si="2"/>
        <v>441048.2081</v>
      </c>
      <c r="G581" s="16">
        <f>IF(D581&lt;=mortTerm, -PMT(mortRate/12, mortTerm*12, C581)*12, 0)
</f>
        <v>38549.17978</v>
      </c>
      <c r="H581" s="16">
        <f>IF(D581&lt;=mortTerm, G581 - I581, 0)
</f>
        <v>28368.38028</v>
      </c>
      <c r="I581" s="16">
        <f>IF(D581&lt;=mortTerm, F581 - J581, 0)
</f>
        <v>10180.7995</v>
      </c>
      <c r="J581" s="16">
        <f>IF(D581&lt;=mortTerm,
   F581*(1+mortRate/12)^12 - (-PMT(mortRate/12, mortTerm*12, C581))*(((1+mortRate/12)^12 - 1)/(mortRate/12)),
   0
)
</f>
        <v>430867.4086</v>
      </c>
      <c r="K581" s="13">
        <f>IFERROR(__xludf.DUMMYFUNCTION("IF(A581="""","""",
   IF(F581&gt;0,
      INDEX(FILTER('RE Portfolio'!L$2:L2000,'RE Portfolio'!D$2:D2000=""BUY""), INT((ROW()-2)/amortYears)+1) - G581,
      INDEX(FILTER('RE Portfolio'!L$2:L2000,'RE Portfolio'!D$2:D2000=""BUY""), INT((ROW()-2)/amortYears)+1"&amp;")
   )
)
"),11868.37144356416)</f>
        <v>11868.37144</v>
      </c>
      <c r="L581" s="15">
        <f>IFERROR(__xludf.DUMMYFUNCTION("IF(A581="""","""",
  INDEX(FILTER('RE Portfolio'!C$2:C2000,'RE Portfolio'!D$2:D2000=""BUY""), INT((ROW()-2)/amortYears)+1)
  * (1 + VALUE(Assumptions!$B$11))^(D581-1)
)
"),964514.7339806319)</f>
        <v>964514.734</v>
      </c>
    </row>
    <row r="582">
      <c r="A582" s="15">
        <f>IFERROR(__xludf.DUMMYFUNCTION("IFERROR(INDEX(FILTER('RE Portfolio'!A$2:A2000,'RE Portfolio'!D$2:D2000=""BUY""), INT((ROW()-2)/amortYears)+1), )
"),16.0)</f>
        <v>16</v>
      </c>
      <c r="B582" s="15">
        <f>IFERROR(__xludf.DUMMYFUNCTION("IFERROR(INDEX(FILTER('RE Portfolio'!B$2:B2000,'RE Portfolio'!D$2:D2000=""BUY""), INT((ROW()-2)/amortYears)+1), )
"),57.0)</f>
        <v>57</v>
      </c>
      <c r="C582" s="15">
        <f>IFERROR(__xludf.DUMMYFUNCTION("IFERROR(INDEX(FILTER('RE Portfolio'!G$2:G2000,'RE Portfolio'!D$2:D2000=""BUY""), INT((ROW()-2)/amortYears)+1), )
"),508241.44377385225)</f>
        <v>508241.4438</v>
      </c>
      <c r="D582" s="15">
        <f>MOD(ROW()-2, amortYears)+1</f>
        <v>11</v>
      </c>
      <c r="E582" s="15">
        <f t="shared" si="1"/>
        <v>67</v>
      </c>
      <c r="F582" s="16">
        <f t="shared" si="2"/>
        <v>430867.4086</v>
      </c>
      <c r="G582" s="16">
        <f>IF(D582&lt;=mortTerm, -PMT(mortRate/12, mortTerm*12, C582)*12, 0)
</f>
        <v>38549.17978</v>
      </c>
      <c r="H582" s="16">
        <f>IF(D582&lt;=mortTerm, G582 - I582, 0)
</f>
        <v>27686.55329</v>
      </c>
      <c r="I582" s="16">
        <f>IF(D582&lt;=mortTerm, F582 - J582, 0)
</f>
        <v>10862.62649</v>
      </c>
      <c r="J582" s="16">
        <f>IF(D582&lt;=mortTerm,
   F582*(1+mortRate/12)^12 - (-PMT(mortRate/12, mortTerm*12, C582))*(((1+mortRate/12)^12 - 1)/(mortRate/12)),
   0
)
</f>
        <v>420004.7821</v>
      </c>
      <c r="K582" s="13">
        <f>IFERROR(__xludf.DUMMYFUNCTION("IF(A582="""","""",
   IF(F582&gt;0,
      INDEX(FILTER('RE Portfolio'!L$2:L2000,'RE Portfolio'!D$2:D2000=""BUY""), INT((ROW()-2)/amortYears)+1) - G582,
      INDEX(FILTER('RE Portfolio'!L$2:L2000,'RE Portfolio'!D$2:D2000=""BUY""), INT((ROW()-2)/amortYears)+1"&amp;")
   )
)
"),11868.37144356416)</f>
        <v>11868.37144</v>
      </c>
      <c r="L582" s="15">
        <f>IFERROR(__xludf.DUMMYFUNCTION("IF(A582="""","""",
  INDEX(FILTER('RE Portfolio'!C$2:C2000,'RE Portfolio'!D$2:D2000=""BUY""), INT((ROW()-2)/amortYears)+1)
  * (1 + VALUE(Assumptions!$B$11))^(D582-1)
)
"),1003095.3233398572)</f>
        <v>1003095.323</v>
      </c>
    </row>
    <row r="583">
      <c r="A583" s="15">
        <f>IFERROR(__xludf.DUMMYFUNCTION("IFERROR(INDEX(FILTER('RE Portfolio'!A$2:A2000,'RE Portfolio'!D$2:D2000=""BUY""), INT((ROW()-2)/amortYears)+1), )
"),16.0)</f>
        <v>16</v>
      </c>
      <c r="B583" s="15">
        <f>IFERROR(__xludf.DUMMYFUNCTION("IFERROR(INDEX(FILTER('RE Portfolio'!B$2:B2000,'RE Portfolio'!D$2:D2000=""BUY""), INT((ROW()-2)/amortYears)+1), )
"),57.0)</f>
        <v>57</v>
      </c>
      <c r="C583" s="15">
        <f>IFERROR(__xludf.DUMMYFUNCTION("IFERROR(INDEX(FILTER('RE Portfolio'!G$2:G2000,'RE Portfolio'!D$2:D2000=""BUY""), INT((ROW()-2)/amortYears)+1), )
"),508241.44377385225)</f>
        <v>508241.4438</v>
      </c>
      <c r="D583" s="15">
        <f>MOD(ROW()-2, amortYears)+1</f>
        <v>12</v>
      </c>
      <c r="E583" s="15">
        <f t="shared" si="1"/>
        <v>68</v>
      </c>
      <c r="F583" s="16">
        <f t="shared" si="2"/>
        <v>420004.7821</v>
      </c>
      <c r="G583" s="16">
        <f>IF(D583&lt;=mortTerm, -PMT(mortRate/12, mortTerm*12, C583)*12, 0)
</f>
        <v>38549.17978</v>
      </c>
      <c r="H583" s="16">
        <f>IF(D583&lt;=mortTerm, G583 - I583, 0)
</f>
        <v>26959.06307</v>
      </c>
      <c r="I583" s="16">
        <f>IF(D583&lt;=mortTerm, F583 - J583, 0)
</f>
        <v>11590.11671</v>
      </c>
      <c r="J583" s="16">
        <f>IF(D583&lt;=mortTerm,
   F583*(1+mortRate/12)^12 - (-PMT(mortRate/12, mortTerm*12, C583))*(((1+mortRate/12)^12 - 1)/(mortRate/12)),
   0
)
</f>
        <v>408414.6654</v>
      </c>
      <c r="K583" s="13">
        <f>IFERROR(__xludf.DUMMYFUNCTION("IF(A583="""","""",
   IF(F583&gt;0,
      INDEX(FILTER('RE Portfolio'!L$2:L2000,'RE Portfolio'!D$2:D2000=""BUY""), INT((ROW()-2)/amortYears)+1) - G583,
      INDEX(FILTER('RE Portfolio'!L$2:L2000,'RE Portfolio'!D$2:D2000=""BUY""), INT((ROW()-2)/amortYears)+1"&amp;")
   )
)
"),11868.37144356416)</f>
        <v>11868.37144</v>
      </c>
      <c r="L583" s="15">
        <f>IFERROR(__xludf.DUMMYFUNCTION("IF(A583="""","""",
  INDEX(FILTER('RE Portfolio'!C$2:C2000,'RE Portfolio'!D$2:D2000=""BUY""), INT((ROW()-2)/amortYears)+1)
  * (1 + VALUE(Assumptions!$B$11))^(D583-1)
)
"),1043219.1362734515)</f>
        <v>1043219.136</v>
      </c>
    </row>
    <row r="584">
      <c r="A584" s="15">
        <f>IFERROR(__xludf.DUMMYFUNCTION("IFERROR(INDEX(FILTER('RE Portfolio'!A$2:A2000,'RE Portfolio'!D$2:D2000=""BUY""), INT((ROW()-2)/amortYears)+1), )
"),16.0)</f>
        <v>16</v>
      </c>
      <c r="B584" s="15">
        <f>IFERROR(__xludf.DUMMYFUNCTION("IFERROR(INDEX(FILTER('RE Portfolio'!B$2:B2000,'RE Portfolio'!D$2:D2000=""BUY""), INT((ROW()-2)/amortYears)+1), )
"),57.0)</f>
        <v>57</v>
      </c>
      <c r="C584" s="15">
        <f>IFERROR(__xludf.DUMMYFUNCTION("IFERROR(INDEX(FILTER('RE Portfolio'!G$2:G2000,'RE Portfolio'!D$2:D2000=""BUY""), INT((ROW()-2)/amortYears)+1), )
"),508241.44377385225)</f>
        <v>508241.4438</v>
      </c>
      <c r="D584" s="15">
        <f>MOD(ROW()-2, amortYears)+1</f>
        <v>13</v>
      </c>
      <c r="E584" s="15">
        <f t="shared" si="1"/>
        <v>69</v>
      </c>
      <c r="F584" s="16">
        <f t="shared" si="2"/>
        <v>408414.6654</v>
      </c>
      <c r="G584" s="16">
        <f>IF(D584&lt;=mortTerm, -PMT(mortRate/12, mortTerm*12, C584)*12, 0)
</f>
        <v>38549.17978</v>
      </c>
      <c r="H584" s="16">
        <f>IF(D584&lt;=mortTerm, G584 - I584, 0)
</f>
        <v>26182.85149</v>
      </c>
      <c r="I584" s="16">
        <f>IF(D584&lt;=mortTerm, F584 - J584, 0)
</f>
        <v>12366.32829</v>
      </c>
      <c r="J584" s="16">
        <f>IF(D584&lt;=mortTerm,
   F584*(1+mortRate/12)^12 - (-PMT(mortRate/12, mortTerm*12, C584))*(((1+mortRate/12)^12 - 1)/(mortRate/12)),
   0
)
</f>
        <v>396048.3371</v>
      </c>
      <c r="K584" s="13">
        <f>IFERROR(__xludf.DUMMYFUNCTION("IF(A584="""","""",
   IF(F584&gt;0,
      INDEX(FILTER('RE Portfolio'!L$2:L2000,'RE Portfolio'!D$2:D2000=""BUY""), INT((ROW()-2)/amortYears)+1) - G584,
      INDEX(FILTER('RE Portfolio'!L$2:L2000,'RE Portfolio'!D$2:D2000=""BUY""), INT((ROW()-2)/amortYears)+1"&amp;")
   )
)
"),11868.37144356416)</f>
        <v>11868.37144</v>
      </c>
      <c r="L584" s="15">
        <f>IFERROR(__xludf.DUMMYFUNCTION("IF(A584="""","""",
  INDEX(FILTER('RE Portfolio'!C$2:C2000,'RE Portfolio'!D$2:D2000=""BUY""), INT((ROW()-2)/amortYears)+1)
  * (1 + VALUE(Assumptions!$B$11))^(D584-1)
)
"),1084947.9017243898)</f>
        <v>1084947.902</v>
      </c>
    </row>
    <row r="585">
      <c r="A585" s="15">
        <f>IFERROR(__xludf.DUMMYFUNCTION("IFERROR(INDEX(FILTER('RE Portfolio'!A$2:A2000,'RE Portfolio'!D$2:D2000=""BUY""), INT((ROW()-2)/amortYears)+1), )
"),16.0)</f>
        <v>16</v>
      </c>
      <c r="B585" s="15">
        <f>IFERROR(__xludf.DUMMYFUNCTION("IFERROR(INDEX(FILTER('RE Portfolio'!B$2:B2000,'RE Portfolio'!D$2:D2000=""BUY""), INT((ROW()-2)/amortYears)+1), )
"),57.0)</f>
        <v>57</v>
      </c>
      <c r="C585" s="15">
        <f>IFERROR(__xludf.DUMMYFUNCTION("IFERROR(INDEX(FILTER('RE Portfolio'!G$2:G2000,'RE Portfolio'!D$2:D2000=""BUY""), INT((ROW()-2)/amortYears)+1), )
"),508241.44377385225)</f>
        <v>508241.4438</v>
      </c>
      <c r="D585" s="15">
        <f>MOD(ROW()-2, amortYears)+1</f>
        <v>14</v>
      </c>
      <c r="E585" s="15">
        <f t="shared" si="1"/>
        <v>70</v>
      </c>
      <c r="F585" s="16">
        <f t="shared" si="2"/>
        <v>396048.3371</v>
      </c>
      <c r="G585" s="16">
        <f>IF(D585&lt;=mortTerm, -PMT(mortRate/12, mortTerm*12, C585)*12, 0)
</f>
        <v>38549.17978</v>
      </c>
      <c r="H585" s="16">
        <f>IF(D585&lt;=mortTerm, G585 - I585, 0)
</f>
        <v>25354.65558</v>
      </c>
      <c r="I585" s="16">
        <f>IF(D585&lt;=mortTerm, F585 - J585, 0)
</f>
        <v>13194.5242</v>
      </c>
      <c r="J585" s="16">
        <f>IF(D585&lt;=mortTerm,
   F585*(1+mortRate/12)^12 - (-PMT(mortRate/12, mortTerm*12, C585))*(((1+mortRate/12)^12 - 1)/(mortRate/12)),
   0
)
</f>
        <v>382853.8129</v>
      </c>
      <c r="K585" s="13">
        <f>IFERROR(__xludf.DUMMYFUNCTION("IF(A585="""","""",
   IF(F585&gt;0,
      INDEX(FILTER('RE Portfolio'!L$2:L2000,'RE Portfolio'!D$2:D2000=""BUY""), INT((ROW()-2)/amortYears)+1) - G585,
      INDEX(FILTER('RE Portfolio'!L$2:L2000,'RE Portfolio'!D$2:D2000=""BUY""), INT((ROW()-2)/amortYears)+1"&amp;")
   )
)
"),11868.37144356416)</f>
        <v>11868.37144</v>
      </c>
      <c r="L585" s="15">
        <f>IFERROR(__xludf.DUMMYFUNCTION("IF(A585="""","""",
  INDEX(FILTER('RE Portfolio'!C$2:C2000,'RE Portfolio'!D$2:D2000=""BUY""), INT((ROW()-2)/amortYears)+1)
  * (1 + VALUE(Assumptions!$B$11))^(D585-1)
)
"),1128345.8177933653)</f>
        <v>1128345.818</v>
      </c>
    </row>
    <row r="586">
      <c r="A586" s="15">
        <f>IFERROR(__xludf.DUMMYFUNCTION("IFERROR(INDEX(FILTER('RE Portfolio'!A$2:A2000,'RE Portfolio'!D$2:D2000=""BUY""), INT((ROW()-2)/amortYears)+1), )
"),16.0)</f>
        <v>16</v>
      </c>
      <c r="B586" s="15">
        <f>IFERROR(__xludf.DUMMYFUNCTION("IFERROR(INDEX(FILTER('RE Portfolio'!B$2:B2000,'RE Portfolio'!D$2:D2000=""BUY""), INT((ROW()-2)/amortYears)+1), )
"),57.0)</f>
        <v>57</v>
      </c>
      <c r="C586" s="15">
        <f>IFERROR(__xludf.DUMMYFUNCTION("IFERROR(INDEX(FILTER('RE Portfolio'!G$2:G2000,'RE Portfolio'!D$2:D2000=""BUY""), INT((ROW()-2)/amortYears)+1), )
"),508241.44377385225)</f>
        <v>508241.4438</v>
      </c>
      <c r="D586" s="15">
        <f>MOD(ROW()-2, amortYears)+1</f>
        <v>15</v>
      </c>
      <c r="E586" s="15">
        <f t="shared" si="1"/>
        <v>71</v>
      </c>
      <c r="F586" s="16">
        <f t="shared" si="2"/>
        <v>382853.8129</v>
      </c>
      <c r="G586" s="16">
        <f>IF(D586&lt;=mortTerm, -PMT(mortRate/12, mortTerm*12, C586)*12, 0)
</f>
        <v>38549.17978</v>
      </c>
      <c r="H586" s="16">
        <f>IF(D586&lt;=mortTerm, G586 - I586, 0)
</f>
        <v>24470.99386</v>
      </c>
      <c r="I586" s="16">
        <f>IF(D586&lt;=mortTerm, F586 - J586, 0)
</f>
        <v>14078.18592</v>
      </c>
      <c r="J586" s="16">
        <f>IF(D586&lt;=mortTerm,
   F586*(1+mortRate/12)^12 - (-PMT(mortRate/12, mortTerm*12, C586))*(((1+mortRate/12)^12 - 1)/(mortRate/12)),
   0
)
</f>
        <v>368775.627</v>
      </c>
      <c r="K586" s="13">
        <f>IFERROR(__xludf.DUMMYFUNCTION("IF(A586="""","""",
   IF(F586&gt;0,
      INDEX(FILTER('RE Portfolio'!L$2:L2000,'RE Portfolio'!D$2:D2000=""BUY""), INT((ROW()-2)/amortYears)+1) - G586,
      INDEX(FILTER('RE Portfolio'!L$2:L2000,'RE Portfolio'!D$2:D2000=""BUY""), INT((ROW()-2)/amortYears)+1"&amp;")
   )
)
"),11868.37144356416)</f>
        <v>11868.37144</v>
      </c>
      <c r="L586" s="15">
        <f>IFERROR(__xludf.DUMMYFUNCTION("IF(A586="""","""",
  INDEX(FILTER('RE Portfolio'!C$2:C2000,'RE Portfolio'!D$2:D2000=""BUY""), INT((ROW()-2)/amortYears)+1)
  * (1 + VALUE(Assumptions!$B$11))^(D586-1)
)
"),1173479.6505051)</f>
        <v>1173479.651</v>
      </c>
    </row>
    <row r="587">
      <c r="A587" s="15">
        <f>IFERROR(__xludf.DUMMYFUNCTION("IFERROR(INDEX(FILTER('RE Portfolio'!A$2:A2000,'RE Portfolio'!D$2:D2000=""BUY""), INT((ROW()-2)/amortYears)+1), )
"),16.0)</f>
        <v>16</v>
      </c>
      <c r="B587" s="15">
        <f>IFERROR(__xludf.DUMMYFUNCTION("IFERROR(INDEX(FILTER('RE Portfolio'!B$2:B2000,'RE Portfolio'!D$2:D2000=""BUY""), INT((ROW()-2)/amortYears)+1), )
"),57.0)</f>
        <v>57</v>
      </c>
      <c r="C587" s="15">
        <f>IFERROR(__xludf.DUMMYFUNCTION("IFERROR(INDEX(FILTER('RE Portfolio'!G$2:G2000,'RE Portfolio'!D$2:D2000=""BUY""), INT((ROW()-2)/amortYears)+1), )
"),508241.44377385225)</f>
        <v>508241.4438</v>
      </c>
      <c r="D587" s="15">
        <f>MOD(ROW()-2, amortYears)+1</f>
        <v>16</v>
      </c>
      <c r="E587" s="15">
        <f t="shared" si="1"/>
        <v>72</v>
      </c>
      <c r="F587" s="16">
        <f t="shared" si="2"/>
        <v>368775.627</v>
      </c>
      <c r="G587" s="16">
        <f>IF(D587&lt;=mortTerm, -PMT(mortRate/12, mortTerm*12, C587)*12, 0)
</f>
        <v>38549.17978</v>
      </c>
      <c r="H587" s="16">
        <f>IF(D587&lt;=mortTerm, G587 - I587, 0)
</f>
        <v>23528.15168</v>
      </c>
      <c r="I587" s="16">
        <f>IF(D587&lt;=mortTerm, F587 - J587, 0)
</f>
        <v>15021.0281</v>
      </c>
      <c r="J587" s="16">
        <f>IF(D587&lt;=mortTerm,
   F587*(1+mortRate/12)^12 - (-PMT(mortRate/12, mortTerm*12, C587))*(((1+mortRate/12)^12 - 1)/(mortRate/12)),
   0
)
</f>
        <v>353754.5989</v>
      </c>
      <c r="K587" s="13">
        <f>IFERROR(__xludf.DUMMYFUNCTION("IF(A587="""","""",
   IF(F587&gt;0,
      INDEX(FILTER('RE Portfolio'!L$2:L2000,'RE Portfolio'!D$2:D2000=""BUY""), INT((ROW()-2)/amortYears)+1) - G587,
      INDEX(FILTER('RE Portfolio'!L$2:L2000,'RE Portfolio'!D$2:D2000=""BUY""), INT((ROW()-2)/amortYears)+1"&amp;")
   )
)
"),11868.37144356416)</f>
        <v>11868.37144</v>
      </c>
      <c r="L587" s="15">
        <f>IFERROR(__xludf.DUMMYFUNCTION("IF(A587="""","""",
  INDEX(FILTER('RE Portfolio'!C$2:C2000,'RE Portfolio'!D$2:D2000=""BUY""), INT((ROW()-2)/amortYears)+1)
  * (1 + VALUE(Assumptions!$B$11))^(D587-1)
)
"),1220418.8365253038)</f>
        <v>1220418.837</v>
      </c>
    </row>
    <row r="588">
      <c r="A588" s="15">
        <f>IFERROR(__xludf.DUMMYFUNCTION("IFERROR(INDEX(FILTER('RE Portfolio'!A$2:A2000,'RE Portfolio'!D$2:D2000=""BUY""), INT((ROW()-2)/amortYears)+1), )
"),16.0)</f>
        <v>16</v>
      </c>
      <c r="B588" s="15">
        <f>IFERROR(__xludf.DUMMYFUNCTION("IFERROR(INDEX(FILTER('RE Portfolio'!B$2:B2000,'RE Portfolio'!D$2:D2000=""BUY""), INT((ROW()-2)/amortYears)+1), )
"),57.0)</f>
        <v>57</v>
      </c>
      <c r="C588" s="15">
        <f>IFERROR(__xludf.DUMMYFUNCTION("IFERROR(INDEX(FILTER('RE Portfolio'!G$2:G2000,'RE Portfolio'!D$2:D2000=""BUY""), INT((ROW()-2)/amortYears)+1), )
"),508241.44377385225)</f>
        <v>508241.4438</v>
      </c>
      <c r="D588" s="15">
        <f>MOD(ROW()-2, amortYears)+1</f>
        <v>17</v>
      </c>
      <c r="E588" s="15">
        <f t="shared" si="1"/>
        <v>73</v>
      </c>
      <c r="F588" s="16">
        <f t="shared" si="2"/>
        <v>353754.5989</v>
      </c>
      <c r="G588" s="16">
        <f>IF(D588&lt;=mortTerm, -PMT(mortRate/12, mortTerm*12, C588)*12, 0)
</f>
        <v>38549.17978</v>
      </c>
      <c r="H588" s="16">
        <f>IF(D588&lt;=mortTerm, G588 - I588, 0)
</f>
        <v>22522.16561</v>
      </c>
      <c r="I588" s="16">
        <f>IF(D588&lt;=mortTerm, F588 - J588, 0)
</f>
        <v>16027.01417</v>
      </c>
      <c r="J588" s="16">
        <f>IF(D588&lt;=mortTerm,
   F588*(1+mortRate/12)^12 - (-PMT(mortRate/12, mortTerm*12, C588))*(((1+mortRate/12)^12 - 1)/(mortRate/12)),
   0
)
</f>
        <v>337727.5847</v>
      </c>
      <c r="K588" s="13">
        <f>IFERROR(__xludf.DUMMYFUNCTION("IF(A588="""","""",
   IF(F588&gt;0,
      INDEX(FILTER('RE Portfolio'!L$2:L2000,'RE Portfolio'!D$2:D2000=""BUY""), INT((ROW()-2)/amortYears)+1) - G588,
      INDEX(FILTER('RE Portfolio'!L$2:L2000,'RE Portfolio'!D$2:D2000=""BUY""), INT((ROW()-2)/amortYears)+1"&amp;")
   )
)
"),11868.37144356416)</f>
        <v>11868.37144</v>
      </c>
      <c r="L588" s="15">
        <f>IFERROR(__xludf.DUMMYFUNCTION("IF(A588="""","""",
  INDEX(FILTER('RE Portfolio'!C$2:C2000,'RE Portfolio'!D$2:D2000=""BUY""), INT((ROW()-2)/amortYears)+1)
  * (1 + VALUE(Assumptions!$B$11))^(D588-1)
)
"),1269235.5899863162)</f>
        <v>1269235.59</v>
      </c>
    </row>
    <row r="589">
      <c r="A589" s="15">
        <f>IFERROR(__xludf.DUMMYFUNCTION("IFERROR(INDEX(FILTER('RE Portfolio'!A$2:A2000,'RE Portfolio'!D$2:D2000=""BUY""), INT((ROW()-2)/amortYears)+1), )
"),16.0)</f>
        <v>16</v>
      </c>
      <c r="B589" s="15">
        <f>IFERROR(__xludf.DUMMYFUNCTION("IFERROR(INDEX(FILTER('RE Portfolio'!B$2:B2000,'RE Portfolio'!D$2:D2000=""BUY""), INT((ROW()-2)/amortYears)+1), )
"),57.0)</f>
        <v>57</v>
      </c>
      <c r="C589" s="15">
        <f>IFERROR(__xludf.DUMMYFUNCTION("IFERROR(INDEX(FILTER('RE Portfolio'!G$2:G2000,'RE Portfolio'!D$2:D2000=""BUY""), INT((ROW()-2)/amortYears)+1), )
"),508241.44377385225)</f>
        <v>508241.4438</v>
      </c>
      <c r="D589" s="15">
        <f>MOD(ROW()-2, amortYears)+1</f>
        <v>18</v>
      </c>
      <c r="E589" s="15">
        <f t="shared" si="1"/>
        <v>74</v>
      </c>
      <c r="F589" s="16">
        <f t="shared" si="2"/>
        <v>337727.5847</v>
      </c>
      <c r="G589" s="16">
        <f>IF(D589&lt;=mortTerm, -PMT(mortRate/12, mortTerm*12, C589)*12, 0)
</f>
        <v>38549.17978</v>
      </c>
      <c r="H589" s="16">
        <f>IF(D589&lt;=mortTerm, G589 - I589, 0)
</f>
        <v>21448.80679</v>
      </c>
      <c r="I589" s="16">
        <f>IF(D589&lt;=mortTerm, F589 - J589, 0)
</f>
        <v>17100.37299</v>
      </c>
      <c r="J589" s="16">
        <f>IF(D589&lt;=mortTerm,
   F589*(1+mortRate/12)^12 - (-PMT(mortRate/12, mortTerm*12, C589))*(((1+mortRate/12)^12 - 1)/(mortRate/12)),
   0
)
</f>
        <v>320627.2117</v>
      </c>
      <c r="K589" s="13">
        <f>IFERROR(__xludf.DUMMYFUNCTION("IF(A589="""","""",
   IF(F589&gt;0,
      INDEX(FILTER('RE Portfolio'!L$2:L2000,'RE Portfolio'!D$2:D2000=""BUY""), INT((ROW()-2)/amortYears)+1) - G589,
      INDEX(FILTER('RE Portfolio'!L$2:L2000,'RE Portfolio'!D$2:D2000=""BUY""), INT((ROW()-2)/amortYears)+1"&amp;")
   )
)
"),11868.37144356416)</f>
        <v>11868.37144</v>
      </c>
      <c r="L589" s="15">
        <f>IFERROR(__xludf.DUMMYFUNCTION("IF(A589="""","""",
  INDEX(FILTER('RE Portfolio'!C$2:C2000,'RE Portfolio'!D$2:D2000=""BUY""), INT((ROW()-2)/amortYears)+1)
  * (1 + VALUE(Assumptions!$B$11))^(D589-1)
)
"),1320005.0135857689)</f>
        <v>1320005.014</v>
      </c>
    </row>
    <row r="590">
      <c r="A590" s="15">
        <f>IFERROR(__xludf.DUMMYFUNCTION("IFERROR(INDEX(FILTER('RE Portfolio'!A$2:A2000,'RE Portfolio'!D$2:D2000=""BUY""), INT((ROW()-2)/amortYears)+1), )
"),16.0)</f>
        <v>16</v>
      </c>
      <c r="B590" s="15">
        <f>IFERROR(__xludf.DUMMYFUNCTION("IFERROR(INDEX(FILTER('RE Portfolio'!B$2:B2000,'RE Portfolio'!D$2:D2000=""BUY""), INT((ROW()-2)/amortYears)+1), )
"),57.0)</f>
        <v>57</v>
      </c>
      <c r="C590" s="15">
        <f>IFERROR(__xludf.DUMMYFUNCTION("IFERROR(INDEX(FILTER('RE Portfolio'!G$2:G2000,'RE Portfolio'!D$2:D2000=""BUY""), INT((ROW()-2)/amortYears)+1), )
"),508241.44377385225)</f>
        <v>508241.4438</v>
      </c>
      <c r="D590" s="15">
        <f>MOD(ROW()-2, amortYears)+1</f>
        <v>19</v>
      </c>
      <c r="E590" s="15">
        <f t="shared" si="1"/>
        <v>75</v>
      </c>
      <c r="F590" s="16">
        <f t="shared" si="2"/>
        <v>320627.2117</v>
      </c>
      <c r="G590" s="16">
        <f>IF(D590&lt;=mortTerm, -PMT(mortRate/12, mortTerm*12, C590)*12, 0)
</f>
        <v>38549.17978</v>
      </c>
      <c r="H590" s="16">
        <f>IF(D590&lt;=mortTerm, G590 - I590, 0)
</f>
        <v>20303.56314</v>
      </c>
      <c r="I590" s="16">
        <f>IF(D590&lt;=mortTerm, F590 - J590, 0)
</f>
        <v>18245.61664</v>
      </c>
      <c r="J590" s="16">
        <f>IF(D590&lt;=mortTerm,
   F590*(1+mortRate/12)^12 - (-PMT(mortRate/12, mortTerm*12, C590))*(((1+mortRate/12)^12 - 1)/(mortRate/12)),
   0
)
</f>
        <v>302381.5951</v>
      </c>
      <c r="K590" s="13">
        <f>IFERROR(__xludf.DUMMYFUNCTION("IF(A590="""","""",
   IF(F590&gt;0,
      INDEX(FILTER('RE Portfolio'!L$2:L2000,'RE Portfolio'!D$2:D2000=""BUY""), INT((ROW()-2)/amortYears)+1) - G590,
      INDEX(FILTER('RE Portfolio'!L$2:L2000,'RE Portfolio'!D$2:D2000=""BUY""), INT((ROW()-2)/amortYears)+1"&amp;")
   )
)
"),11868.37144356416)</f>
        <v>11868.37144</v>
      </c>
      <c r="L590" s="15">
        <f>IFERROR(__xludf.DUMMYFUNCTION("IF(A590="""","""",
  INDEX(FILTER('RE Portfolio'!C$2:C2000,'RE Portfolio'!D$2:D2000=""BUY""), INT((ROW()-2)/amortYears)+1)
  * (1 + VALUE(Assumptions!$B$11))^(D590-1)
)
"),1372805.2141291997)</f>
        <v>1372805.214</v>
      </c>
    </row>
    <row r="591">
      <c r="A591" s="15">
        <f>IFERROR(__xludf.DUMMYFUNCTION("IFERROR(INDEX(FILTER('RE Portfolio'!A$2:A2000,'RE Portfolio'!D$2:D2000=""BUY""), INT((ROW()-2)/amortYears)+1), )
"),16.0)</f>
        <v>16</v>
      </c>
      <c r="B591" s="15">
        <f>IFERROR(__xludf.DUMMYFUNCTION("IFERROR(INDEX(FILTER('RE Portfolio'!B$2:B2000,'RE Portfolio'!D$2:D2000=""BUY""), INT((ROW()-2)/amortYears)+1), )
"),57.0)</f>
        <v>57</v>
      </c>
      <c r="C591" s="15">
        <f>IFERROR(__xludf.DUMMYFUNCTION("IFERROR(INDEX(FILTER('RE Portfolio'!G$2:G2000,'RE Portfolio'!D$2:D2000=""BUY""), INT((ROW()-2)/amortYears)+1), )
"),508241.44377385225)</f>
        <v>508241.4438</v>
      </c>
      <c r="D591" s="15">
        <f>MOD(ROW()-2, amortYears)+1</f>
        <v>20</v>
      </c>
      <c r="E591" s="15">
        <f t="shared" si="1"/>
        <v>76</v>
      </c>
      <c r="F591" s="16">
        <f t="shared" si="2"/>
        <v>302381.5951</v>
      </c>
      <c r="G591" s="16">
        <f>IF(D591&lt;=mortTerm, -PMT(mortRate/12, mortTerm*12, C591)*12, 0)
</f>
        <v>38549.17978</v>
      </c>
      <c r="H591" s="16">
        <f>IF(D591&lt;=mortTerm, G591 - I591, 0)
</f>
        <v>19081.6204</v>
      </c>
      <c r="I591" s="16">
        <f>IF(D591&lt;=mortTerm, F591 - J591, 0)
</f>
        <v>19467.55938</v>
      </c>
      <c r="J591" s="16">
        <f>IF(D591&lt;=mortTerm,
   F591*(1+mortRate/12)^12 - (-PMT(mortRate/12, mortTerm*12, C591))*(((1+mortRate/12)^12 - 1)/(mortRate/12)),
   0
)
</f>
        <v>282914.0357</v>
      </c>
      <c r="K591" s="13">
        <f>IFERROR(__xludf.DUMMYFUNCTION("IF(A591="""","""",
   IF(F591&gt;0,
      INDEX(FILTER('RE Portfolio'!L$2:L2000,'RE Portfolio'!D$2:D2000=""BUY""), INT((ROW()-2)/amortYears)+1) - G591,
      INDEX(FILTER('RE Portfolio'!L$2:L2000,'RE Portfolio'!D$2:D2000=""BUY""), INT((ROW()-2)/amortYears)+1"&amp;")
   )
)
"),11868.37144356416)</f>
        <v>11868.37144</v>
      </c>
      <c r="L591" s="15">
        <f>IFERROR(__xludf.DUMMYFUNCTION("IF(A591="""","""",
  INDEX(FILTER('RE Portfolio'!C$2:C2000,'RE Portfolio'!D$2:D2000=""BUY""), INT((ROW()-2)/amortYears)+1)
  * (1 + VALUE(Assumptions!$B$11))^(D591-1)
)
"),1427717.4226943676)</f>
        <v>1427717.423</v>
      </c>
    </row>
    <row r="592">
      <c r="A592" s="15">
        <f>IFERROR(__xludf.DUMMYFUNCTION("IFERROR(INDEX(FILTER('RE Portfolio'!A$2:A2000,'RE Portfolio'!D$2:D2000=""BUY""), INT((ROW()-2)/amortYears)+1), )
"),16.0)</f>
        <v>16</v>
      </c>
      <c r="B592" s="15">
        <f>IFERROR(__xludf.DUMMYFUNCTION("IFERROR(INDEX(FILTER('RE Portfolio'!B$2:B2000,'RE Portfolio'!D$2:D2000=""BUY""), INT((ROW()-2)/amortYears)+1), )
"),57.0)</f>
        <v>57</v>
      </c>
      <c r="C592" s="15">
        <f>IFERROR(__xludf.DUMMYFUNCTION("IFERROR(INDEX(FILTER('RE Portfolio'!G$2:G2000,'RE Portfolio'!D$2:D2000=""BUY""), INT((ROW()-2)/amortYears)+1), )
"),508241.44377385225)</f>
        <v>508241.4438</v>
      </c>
      <c r="D592" s="15">
        <f>MOD(ROW()-2, amortYears)+1</f>
        <v>21</v>
      </c>
      <c r="E592" s="15">
        <f t="shared" si="1"/>
        <v>77</v>
      </c>
      <c r="F592" s="16">
        <f t="shared" si="2"/>
        <v>282914.0357</v>
      </c>
      <c r="G592" s="16">
        <f>IF(D592&lt;=mortTerm, -PMT(mortRate/12, mortTerm*12, C592)*12, 0)
</f>
        <v>38549.17978</v>
      </c>
      <c r="H592" s="16">
        <f>IF(D592&lt;=mortTerm, G592 - I592, 0)
</f>
        <v>17777.84189</v>
      </c>
      <c r="I592" s="16">
        <f>IF(D592&lt;=mortTerm, F592 - J592, 0)
</f>
        <v>20771.33789</v>
      </c>
      <c r="J592" s="16">
        <f>IF(D592&lt;=mortTerm,
   F592*(1+mortRate/12)^12 - (-PMT(mortRate/12, mortTerm*12, C592))*(((1+mortRate/12)^12 - 1)/(mortRate/12)),
   0
)
</f>
        <v>262142.6978</v>
      </c>
      <c r="K592" s="13">
        <f>IFERROR(__xludf.DUMMYFUNCTION("IF(A592="""","""",
   IF(F592&gt;0,
      INDEX(FILTER('RE Portfolio'!L$2:L2000,'RE Portfolio'!D$2:D2000=""BUY""), INT((ROW()-2)/amortYears)+1) - G592,
      INDEX(FILTER('RE Portfolio'!L$2:L2000,'RE Portfolio'!D$2:D2000=""BUY""), INT((ROW()-2)/amortYears)+1"&amp;")
   )
)
"),11868.37144356416)</f>
        <v>11868.37144</v>
      </c>
      <c r="L592" s="15">
        <f>IFERROR(__xludf.DUMMYFUNCTION("IF(A592="""","""",
  INDEX(FILTER('RE Portfolio'!C$2:C2000,'RE Portfolio'!D$2:D2000=""BUY""), INT((ROW()-2)/amortYears)+1)
  * (1 + VALUE(Assumptions!$B$11))^(D592-1)
)
"),1484826.1196021424)</f>
        <v>1484826.12</v>
      </c>
    </row>
    <row r="593">
      <c r="A593" s="15">
        <f>IFERROR(__xludf.DUMMYFUNCTION("IFERROR(INDEX(FILTER('RE Portfolio'!A$2:A2000,'RE Portfolio'!D$2:D2000=""BUY""), INT((ROW()-2)/amortYears)+1), )
"),16.0)</f>
        <v>16</v>
      </c>
      <c r="B593" s="15">
        <f>IFERROR(__xludf.DUMMYFUNCTION("IFERROR(INDEX(FILTER('RE Portfolio'!B$2:B2000,'RE Portfolio'!D$2:D2000=""BUY""), INT((ROW()-2)/amortYears)+1), )
"),57.0)</f>
        <v>57</v>
      </c>
      <c r="C593" s="15">
        <f>IFERROR(__xludf.DUMMYFUNCTION("IFERROR(INDEX(FILTER('RE Portfolio'!G$2:G2000,'RE Portfolio'!D$2:D2000=""BUY""), INT((ROW()-2)/amortYears)+1), )
"),508241.44377385225)</f>
        <v>508241.4438</v>
      </c>
      <c r="D593" s="15">
        <f>MOD(ROW()-2, amortYears)+1</f>
        <v>22</v>
      </c>
      <c r="E593" s="15">
        <f t="shared" si="1"/>
        <v>78</v>
      </c>
      <c r="F593" s="16">
        <f t="shared" si="2"/>
        <v>262142.6978</v>
      </c>
      <c r="G593" s="16">
        <f>IF(D593&lt;=mortTerm, -PMT(mortRate/12, mortTerm*12, C593)*12, 0)
</f>
        <v>38549.17978</v>
      </c>
      <c r="H593" s="16">
        <f>IF(D593&lt;=mortTerm, G593 - I593, 0)
</f>
        <v>16386.74693</v>
      </c>
      <c r="I593" s="16">
        <f>IF(D593&lt;=mortTerm, F593 - J593, 0)
</f>
        <v>22162.43285</v>
      </c>
      <c r="J593" s="16">
        <f>IF(D593&lt;=mortTerm,
   F593*(1+mortRate/12)^12 - (-PMT(mortRate/12, mortTerm*12, C593))*(((1+mortRate/12)^12 - 1)/(mortRate/12)),
   0
)
</f>
        <v>239980.265</v>
      </c>
      <c r="K593" s="13">
        <f>IFERROR(__xludf.DUMMYFUNCTION("IF(A593="""","""",
   IF(F593&gt;0,
      INDEX(FILTER('RE Portfolio'!L$2:L2000,'RE Portfolio'!D$2:D2000=""BUY""), INT((ROW()-2)/amortYears)+1) - G593,
      INDEX(FILTER('RE Portfolio'!L$2:L2000,'RE Portfolio'!D$2:D2000=""BUY""), INT((ROW()-2)/amortYears)+1"&amp;")
   )
)
"),11868.37144356416)</f>
        <v>11868.37144</v>
      </c>
      <c r="L593" s="15">
        <f>IFERROR(__xludf.DUMMYFUNCTION("IF(A593="""","""",
  INDEX(FILTER('RE Portfolio'!C$2:C2000,'RE Portfolio'!D$2:D2000=""BUY""), INT((ROW()-2)/amortYears)+1)
  * (1 + VALUE(Assumptions!$B$11))^(D593-1)
)
"),1544219.1643862282)</f>
        <v>1544219.164</v>
      </c>
    </row>
    <row r="594">
      <c r="A594" s="15">
        <f>IFERROR(__xludf.DUMMYFUNCTION("IFERROR(INDEX(FILTER('RE Portfolio'!A$2:A2000,'RE Portfolio'!D$2:D2000=""BUY""), INT((ROW()-2)/amortYears)+1), )
"),16.0)</f>
        <v>16</v>
      </c>
      <c r="B594" s="15">
        <f>IFERROR(__xludf.DUMMYFUNCTION("IFERROR(INDEX(FILTER('RE Portfolio'!B$2:B2000,'RE Portfolio'!D$2:D2000=""BUY""), INT((ROW()-2)/amortYears)+1), )
"),57.0)</f>
        <v>57</v>
      </c>
      <c r="C594" s="15">
        <f>IFERROR(__xludf.DUMMYFUNCTION("IFERROR(INDEX(FILTER('RE Portfolio'!G$2:G2000,'RE Portfolio'!D$2:D2000=""BUY""), INT((ROW()-2)/amortYears)+1), )
"),508241.44377385225)</f>
        <v>508241.4438</v>
      </c>
      <c r="D594" s="15">
        <f>MOD(ROW()-2, amortYears)+1</f>
        <v>23</v>
      </c>
      <c r="E594" s="15">
        <f t="shared" si="1"/>
        <v>79</v>
      </c>
      <c r="F594" s="16">
        <f t="shared" si="2"/>
        <v>239980.265</v>
      </c>
      <c r="G594" s="16">
        <f>IF(D594&lt;=mortTerm, -PMT(mortRate/12, mortTerm*12, C594)*12, 0)
</f>
        <v>38549.17978</v>
      </c>
      <c r="H594" s="16">
        <f>IF(D594&lt;=mortTerm, G594 - I594, 0)
</f>
        <v>14902.48775</v>
      </c>
      <c r="I594" s="16">
        <f>IF(D594&lt;=mortTerm, F594 - J594, 0)
</f>
        <v>23646.69203</v>
      </c>
      <c r="J594" s="16">
        <f>IF(D594&lt;=mortTerm,
   F594*(1+mortRate/12)^12 - (-PMT(mortRate/12, mortTerm*12, C594))*(((1+mortRate/12)^12 - 1)/(mortRate/12)),
   0
)
</f>
        <v>216333.5729</v>
      </c>
      <c r="K594" s="13">
        <f>IFERROR(__xludf.DUMMYFUNCTION("IF(A594="""","""",
   IF(F594&gt;0,
      INDEX(FILTER('RE Portfolio'!L$2:L2000,'RE Portfolio'!D$2:D2000=""BUY""), INT((ROW()-2)/amortYears)+1) - G594,
      INDEX(FILTER('RE Portfolio'!L$2:L2000,'RE Portfolio'!D$2:D2000=""BUY""), INT((ROW()-2)/amortYears)+1"&amp;")
   )
)
"),11868.37144356416)</f>
        <v>11868.37144</v>
      </c>
      <c r="L594" s="15">
        <f>IFERROR(__xludf.DUMMYFUNCTION("IF(A594="""","""",
  INDEX(FILTER('RE Portfolio'!C$2:C2000,'RE Portfolio'!D$2:D2000=""BUY""), INT((ROW()-2)/amortYears)+1)
  * (1 + VALUE(Assumptions!$B$11))^(D594-1)
)
"),1605987.930961677)</f>
        <v>1605987.931</v>
      </c>
    </row>
    <row r="595">
      <c r="A595" s="15">
        <f>IFERROR(__xludf.DUMMYFUNCTION("IFERROR(INDEX(FILTER('RE Portfolio'!A$2:A2000,'RE Portfolio'!D$2:D2000=""BUY""), INT((ROW()-2)/amortYears)+1), )
"),16.0)</f>
        <v>16</v>
      </c>
      <c r="B595" s="15">
        <f>IFERROR(__xludf.DUMMYFUNCTION("IFERROR(INDEX(FILTER('RE Portfolio'!B$2:B2000,'RE Portfolio'!D$2:D2000=""BUY""), INT((ROW()-2)/amortYears)+1), )
"),57.0)</f>
        <v>57</v>
      </c>
      <c r="C595" s="15">
        <f>IFERROR(__xludf.DUMMYFUNCTION("IFERROR(INDEX(FILTER('RE Portfolio'!G$2:G2000,'RE Portfolio'!D$2:D2000=""BUY""), INT((ROW()-2)/amortYears)+1), )
"),508241.44377385225)</f>
        <v>508241.4438</v>
      </c>
      <c r="D595" s="15">
        <f>MOD(ROW()-2, amortYears)+1</f>
        <v>24</v>
      </c>
      <c r="E595" s="15">
        <f t="shared" si="1"/>
        <v>80</v>
      </c>
      <c r="F595" s="16">
        <f t="shared" si="2"/>
        <v>216333.5729</v>
      </c>
      <c r="G595" s="16">
        <f>IF(D595&lt;=mortTerm, -PMT(mortRate/12, mortTerm*12, C595)*12, 0)
</f>
        <v>38549.17978</v>
      </c>
      <c r="H595" s="16">
        <f>IF(D595&lt;=mortTerm, G595 - I595, 0)
</f>
        <v>13318.82499</v>
      </c>
      <c r="I595" s="16">
        <f>IF(D595&lt;=mortTerm, F595 - J595, 0)
</f>
        <v>25230.35478</v>
      </c>
      <c r="J595" s="16">
        <f>IF(D595&lt;=mortTerm,
   F595*(1+mortRate/12)^12 - (-PMT(mortRate/12, mortTerm*12, C595))*(((1+mortRate/12)^12 - 1)/(mortRate/12)),
   0
)
</f>
        <v>191103.2182</v>
      </c>
      <c r="K595" s="13">
        <f>IFERROR(__xludf.DUMMYFUNCTION("IF(A595="""","""",
   IF(F595&gt;0,
      INDEX(FILTER('RE Portfolio'!L$2:L2000,'RE Portfolio'!D$2:D2000=""BUY""), INT((ROW()-2)/amortYears)+1) - G595,
      INDEX(FILTER('RE Portfolio'!L$2:L2000,'RE Portfolio'!D$2:D2000=""BUY""), INT((ROW()-2)/amortYears)+1"&amp;")
   )
)
"),11868.37144356416)</f>
        <v>11868.37144</v>
      </c>
      <c r="L595" s="15">
        <f>IFERROR(__xludf.DUMMYFUNCTION("IF(A595="""","""",
  INDEX(FILTER('RE Portfolio'!C$2:C2000,'RE Portfolio'!D$2:D2000=""BUY""), INT((ROW()-2)/amortYears)+1)
  * (1 + VALUE(Assumptions!$B$11))^(D595-1)
)
"),1670227.4482001446)</f>
        <v>1670227.448</v>
      </c>
    </row>
    <row r="596">
      <c r="A596" s="15">
        <f>IFERROR(__xludf.DUMMYFUNCTION("IFERROR(INDEX(FILTER('RE Portfolio'!A$2:A2000,'RE Portfolio'!D$2:D2000=""BUY""), INT((ROW()-2)/amortYears)+1), )
"),16.0)</f>
        <v>16</v>
      </c>
      <c r="B596" s="15">
        <f>IFERROR(__xludf.DUMMYFUNCTION("IFERROR(INDEX(FILTER('RE Portfolio'!B$2:B2000,'RE Portfolio'!D$2:D2000=""BUY""), INT((ROW()-2)/amortYears)+1), )
"),57.0)</f>
        <v>57</v>
      </c>
      <c r="C596" s="15">
        <f>IFERROR(__xludf.DUMMYFUNCTION("IFERROR(INDEX(FILTER('RE Portfolio'!G$2:G2000,'RE Portfolio'!D$2:D2000=""BUY""), INT((ROW()-2)/amortYears)+1), )
"),508241.44377385225)</f>
        <v>508241.4438</v>
      </c>
      <c r="D596" s="15">
        <f>MOD(ROW()-2, amortYears)+1</f>
        <v>25</v>
      </c>
      <c r="E596" s="15">
        <f t="shared" si="1"/>
        <v>81</v>
      </c>
      <c r="F596" s="16">
        <f t="shared" si="2"/>
        <v>191103.2182</v>
      </c>
      <c r="G596" s="16">
        <f>IF(D596&lt;=mortTerm, -PMT(mortRate/12, mortTerm*12, C596)*12, 0)
</f>
        <v>38549.17978</v>
      </c>
      <c r="H596" s="16">
        <f>IF(D596&lt;=mortTerm, G596 - I596, 0)
</f>
        <v>11629.10141</v>
      </c>
      <c r="I596" s="16">
        <f>IF(D596&lt;=mortTerm, F596 - J596, 0)
</f>
        <v>26920.07837</v>
      </c>
      <c r="J596" s="16">
        <f>IF(D596&lt;=mortTerm,
   F596*(1+mortRate/12)^12 - (-PMT(mortRate/12, mortTerm*12, C596))*(((1+mortRate/12)^12 - 1)/(mortRate/12)),
   0
)
</f>
        <v>164183.1398</v>
      </c>
      <c r="K596" s="13">
        <f>IFERROR(__xludf.DUMMYFUNCTION("IF(A596="""","""",
   IF(F596&gt;0,
      INDEX(FILTER('RE Portfolio'!L$2:L2000,'RE Portfolio'!D$2:D2000=""BUY""), INT((ROW()-2)/amortYears)+1) - G596,
      INDEX(FILTER('RE Portfolio'!L$2:L2000,'RE Portfolio'!D$2:D2000=""BUY""), INT((ROW()-2)/amortYears)+1"&amp;")
   )
)
"),11868.37144356416)</f>
        <v>11868.37144</v>
      </c>
      <c r="L596" s="15">
        <f>IFERROR(__xludf.DUMMYFUNCTION("IF(A596="""","""",
  INDEX(FILTER('RE Portfolio'!C$2:C2000,'RE Portfolio'!D$2:D2000=""BUY""), INT((ROW()-2)/amortYears)+1)
  * (1 + VALUE(Assumptions!$B$11))^(D596-1)
)
"),1737036.5461281505)</f>
        <v>1737036.546</v>
      </c>
    </row>
    <row r="597">
      <c r="A597" s="15">
        <f>IFERROR(__xludf.DUMMYFUNCTION("IFERROR(INDEX(FILTER('RE Portfolio'!A$2:A2000,'RE Portfolio'!D$2:D2000=""BUY""), INT((ROW()-2)/amortYears)+1), )
"),16.0)</f>
        <v>16</v>
      </c>
      <c r="B597" s="15">
        <f>IFERROR(__xludf.DUMMYFUNCTION("IFERROR(INDEX(FILTER('RE Portfolio'!B$2:B2000,'RE Portfolio'!D$2:D2000=""BUY""), INT((ROW()-2)/amortYears)+1), )
"),57.0)</f>
        <v>57</v>
      </c>
      <c r="C597" s="15">
        <f>IFERROR(__xludf.DUMMYFUNCTION("IFERROR(INDEX(FILTER('RE Portfolio'!G$2:G2000,'RE Portfolio'!D$2:D2000=""BUY""), INT((ROW()-2)/amortYears)+1), )
"),508241.44377385225)</f>
        <v>508241.4438</v>
      </c>
      <c r="D597" s="15">
        <f>MOD(ROW()-2, amortYears)+1</f>
        <v>26</v>
      </c>
      <c r="E597" s="15">
        <f t="shared" si="1"/>
        <v>82</v>
      </c>
      <c r="F597" s="16">
        <f t="shared" si="2"/>
        <v>164183.1398</v>
      </c>
      <c r="G597" s="16">
        <f>IF(D597&lt;=mortTerm, -PMT(mortRate/12, mortTerm*12, C597)*12, 0)
</f>
        <v>38549.17978</v>
      </c>
      <c r="H597" s="16">
        <f>IF(D597&lt;=mortTerm, G597 - I597, 0)
</f>
        <v>9826.213904</v>
      </c>
      <c r="I597" s="16">
        <f>IF(D597&lt;=mortTerm, F597 - J597, 0)
</f>
        <v>28722.96588</v>
      </c>
      <c r="J597" s="16">
        <f>IF(D597&lt;=mortTerm,
   F597*(1+mortRate/12)^12 - (-PMT(mortRate/12, mortTerm*12, C597))*(((1+mortRate/12)^12 - 1)/(mortRate/12)),
   0
)
</f>
        <v>135460.1739</v>
      </c>
      <c r="K597" s="13">
        <f>IFERROR(__xludf.DUMMYFUNCTION("IF(A597="""","""",
   IF(F597&gt;0,
      INDEX(FILTER('RE Portfolio'!L$2:L2000,'RE Portfolio'!D$2:D2000=""BUY""), INT((ROW()-2)/amortYears)+1) - G597,
      INDEX(FILTER('RE Portfolio'!L$2:L2000,'RE Portfolio'!D$2:D2000=""BUY""), INT((ROW()-2)/amortYears)+1"&amp;")
   )
)
"),11868.37144356416)</f>
        <v>11868.37144</v>
      </c>
      <c r="L597" s="15">
        <f>IFERROR(__xludf.DUMMYFUNCTION("IF(A597="""","""",
  INDEX(FILTER('RE Portfolio'!C$2:C2000,'RE Portfolio'!D$2:D2000=""BUY""), INT((ROW()-2)/amortYears)+1)
  * (1 + VALUE(Assumptions!$B$11))^(D597-1)
)
"),1806518.0079732763)</f>
        <v>1806518.008</v>
      </c>
    </row>
    <row r="598">
      <c r="A598" s="15">
        <f>IFERROR(__xludf.DUMMYFUNCTION("IFERROR(INDEX(FILTER('RE Portfolio'!A$2:A2000,'RE Portfolio'!D$2:D2000=""BUY""), INT((ROW()-2)/amortYears)+1), )
"),16.0)</f>
        <v>16</v>
      </c>
      <c r="B598" s="15">
        <f>IFERROR(__xludf.DUMMYFUNCTION("IFERROR(INDEX(FILTER('RE Portfolio'!B$2:B2000,'RE Portfolio'!D$2:D2000=""BUY""), INT((ROW()-2)/amortYears)+1), )
"),57.0)</f>
        <v>57</v>
      </c>
      <c r="C598" s="15">
        <f>IFERROR(__xludf.DUMMYFUNCTION("IFERROR(INDEX(FILTER('RE Portfolio'!G$2:G2000,'RE Portfolio'!D$2:D2000=""BUY""), INT((ROW()-2)/amortYears)+1), )
"),508241.44377385225)</f>
        <v>508241.4438</v>
      </c>
      <c r="D598" s="15">
        <f>MOD(ROW()-2, amortYears)+1</f>
        <v>27</v>
      </c>
      <c r="E598" s="15">
        <f t="shared" si="1"/>
        <v>83</v>
      </c>
      <c r="F598" s="16">
        <f t="shared" si="2"/>
        <v>135460.1739</v>
      </c>
      <c r="G598" s="16">
        <f>IF(D598&lt;=mortTerm, -PMT(mortRate/12, mortTerm*12, C598)*12, 0)
</f>
        <v>38549.17978</v>
      </c>
      <c r="H598" s="16">
        <f>IF(D598&lt;=mortTerm, G598 - I598, 0)
</f>
        <v>7902.583684</v>
      </c>
      <c r="I598" s="16">
        <f>IF(D598&lt;=mortTerm, F598 - J598, 0)
</f>
        <v>30646.59609</v>
      </c>
      <c r="J598" s="16">
        <f>IF(D598&lt;=mortTerm,
   F598*(1+mortRate/12)^12 - (-PMT(mortRate/12, mortTerm*12, C598))*(((1+mortRate/12)^12 - 1)/(mortRate/12)),
   0
)
</f>
        <v>104813.5778</v>
      </c>
      <c r="K598" s="13">
        <f>IFERROR(__xludf.DUMMYFUNCTION("IF(A598="""","""",
   IF(F598&gt;0,
      INDEX(FILTER('RE Portfolio'!L$2:L2000,'RE Portfolio'!D$2:D2000=""BUY""), INT((ROW()-2)/amortYears)+1) - G598,
      INDEX(FILTER('RE Portfolio'!L$2:L2000,'RE Portfolio'!D$2:D2000=""BUY""), INT((ROW()-2)/amortYears)+1"&amp;")
   )
)
"),11868.37144356416)</f>
        <v>11868.37144</v>
      </c>
      <c r="L598" s="15">
        <f>IFERROR(__xludf.DUMMYFUNCTION("IF(A598="""","""",
  INDEX(FILTER('RE Portfolio'!C$2:C2000,'RE Portfolio'!D$2:D2000=""BUY""), INT((ROW()-2)/amortYears)+1)
  * (1 + VALUE(Assumptions!$B$11))^(D598-1)
)
"),1878778.7282922075)</f>
        <v>1878778.728</v>
      </c>
    </row>
    <row r="599">
      <c r="A599" s="15">
        <f>IFERROR(__xludf.DUMMYFUNCTION("IFERROR(INDEX(FILTER('RE Portfolio'!A$2:A2000,'RE Portfolio'!D$2:D2000=""BUY""), INT((ROW()-2)/amortYears)+1), )
"),16.0)</f>
        <v>16</v>
      </c>
      <c r="B599" s="15">
        <f>IFERROR(__xludf.DUMMYFUNCTION("IFERROR(INDEX(FILTER('RE Portfolio'!B$2:B2000,'RE Portfolio'!D$2:D2000=""BUY""), INT((ROW()-2)/amortYears)+1), )
"),57.0)</f>
        <v>57</v>
      </c>
      <c r="C599" s="15">
        <f>IFERROR(__xludf.DUMMYFUNCTION("IFERROR(INDEX(FILTER('RE Portfolio'!G$2:G2000,'RE Portfolio'!D$2:D2000=""BUY""), INT((ROW()-2)/amortYears)+1), )
"),508241.44377385225)</f>
        <v>508241.4438</v>
      </c>
      <c r="D599" s="15">
        <f>MOD(ROW()-2, amortYears)+1</f>
        <v>28</v>
      </c>
      <c r="E599" s="15">
        <f t="shared" si="1"/>
        <v>84</v>
      </c>
      <c r="F599" s="16">
        <f t="shared" si="2"/>
        <v>104813.5778</v>
      </c>
      <c r="G599" s="16">
        <f>IF(D599&lt;=mortTerm, -PMT(mortRate/12, mortTerm*12, C599)*12, 0)
</f>
        <v>38549.17978</v>
      </c>
      <c r="H599" s="16">
        <f>IF(D599&lt;=mortTerm, G599 - I599, 0)
</f>
        <v>5850.124386</v>
      </c>
      <c r="I599" s="16">
        <f>IF(D599&lt;=mortTerm, F599 - J599, 0)
</f>
        <v>32699.05539</v>
      </c>
      <c r="J599" s="16">
        <f>IF(D599&lt;=mortTerm,
   F599*(1+mortRate/12)^12 - (-PMT(mortRate/12, mortTerm*12, C599))*(((1+mortRate/12)^12 - 1)/(mortRate/12)),
   0
)
</f>
        <v>72114.52243</v>
      </c>
      <c r="K599" s="13">
        <f>IFERROR(__xludf.DUMMYFUNCTION("IF(A599="""","""",
   IF(F599&gt;0,
      INDEX(FILTER('RE Portfolio'!L$2:L2000,'RE Portfolio'!D$2:D2000=""BUY""), INT((ROW()-2)/amortYears)+1) - G599,
      INDEX(FILTER('RE Portfolio'!L$2:L2000,'RE Portfolio'!D$2:D2000=""BUY""), INT((ROW()-2)/amortYears)+1"&amp;")
   )
)
"),11868.37144356416)</f>
        <v>11868.37144</v>
      </c>
      <c r="L599" s="15">
        <f>IFERROR(__xludf.DUMMYFUNCTION("IF(A599="""","""",
  INDEX(FILTER('RE Portfolio'!C$2:C2000,'RE Portfolio'!D$2:D2000=""BUY""), INT((ROW()-2)/amortYears)+1)
  * (1 + VALUE(Assumptions!$B$11))^(D599-1)
)
"),1953929.8774238958)</f>
        <v>1953929.877</v>
      </c>
    </row>
    <row r="600">
      <c r="A600" s="15">
        <f>IFERROR(__xludf.DUMMYFUNCTION("IFERROR(INDEX(FILTER('RE Portfolio'!A$2:A2000,'RE Portfolio'!D$2:D2000=""BUY""), INT((ROW()-2)/amortYears)+1), )
"),16.0)</f>
        <v>16</v>
      </c>
      <c r="B600" s="15">
        <f>IFERROR(__xludf.DUMMYFUNCTION("IFERROR(INDEX(FILTER('RE Portfolio'!B$2:B2000,'RE Portfolio'!D$2:D2000=""BUY""), INT((ROW()-2)/amortYears)+1), )
"),57.0)</f>
        <v>57</v>
      </c>
      <c r="C600" s="15">
        <f>IFERROR(__xludf.DUMMYFUNCTION("IFERROR(INDEX(FILTER('RE Portfolio'!G$2:G2000,'RE Portfolio'!D$2:D2000=""BUY""), INT((ROW()-2)/amortYears)+1), )
"),508241.44377385225)</f>
        <v>508241.4438</v>
      </c>
      <c r="D600" s="15">
        <f>MOD(ROW()-2, amortYears)+1</f>
        <v>29</v>
      </c>
      <c r="E600" s="15">
        <f t="shared" si="1"/>
        <v>85</v>
      </c>
      <c r="F600" s="16">
        <f t="shared" si="2"/>
        <v>72114.52243</v>
      </c>
      <c r="G600" s="16">
        <f>IF(D600&lt;=mortTerm, -PMT(mortRate/12, mortTerm*12, C600)*12, 0)
</f>
        <v>38549.17978</v>
      </c>
      <c r="H600" s="16">
        <f>IF(D600&lt;=mortTerm, G600 - I600, 0)
</f>
        <v>3660.208087</v>
      </c>
      <c r="I600" s="16">
        <f>IF(D600&lt;=mortTerm, F600 - J600, 0)
</f>
        <v>34888.97169</v>
      </c>
      <c r="J600" s="16">
        <f>IF(D600&lt;=mortTerm,
   F600*(1+mortRate/12)^12 - (-PMT(mortRate/12, mortTerm*12, C600))*(((1+mortRate/12)^12 - 1)/(mortRate/12)),
   0
)
</f>
        <v>37225.55074</v>
      </c>
      <c r="K600" s="13">
        <f>IFERROR(__xludf.DUMMYFUNCTION("IF(A600="""","""",
   IF(F600&gt;0,
      INDEX(FILTER('RE Portfolio'!L$2:L2000,'RE Portfolio'!D$2:D2000=""BUY""), INT((ROW()-2)/amortYears)+1) - G600,
      INDEX(FILTER('RE Portfolio'!L$2:L2000,'RE Portfolio'!D$2:D2000=""BUY""), INT((ROW()-2)/amortYears)+1"&amp;")
   )
)
"),11868.37144356416)</f>
        <v>11868.37144</v>
      </c>
      <c r="L600" s="15">
        <f>IFERROR(__xludf.DUMMYFUNCTION("IF(A600="""","""",
  INDEX(FILTER('RE Portfolio'!C$2:C2000,'RE Portfolio'!D$2:D2000=""BUY""), INT((ROW()-2)/amortYears)+1)
  * (1 + VALUE(Assumptions!$B$11))^(D600-1)
)
"),2032087.0725208519)</f>
        <v>2032087.073</v>
      </c>
    </row>
    <row r="601">
      <c r="A601" s="15">
        <f>IFERROR(__xludf.DUMMYFUNCTION("IFERROR(INDEX(FILTER('RE Portfolio'!A$2:A2000,'RE Portfolio'!D$2:D2000=""BUY""), INT((ROW()-2)/amortYears)+1), )
"),16.0)</f>
        <v>16</v>
      </c>
      <c r="B601" s="15">
        <f>IFERROR(__xludf.DUMMYFUNCTION("IFERROR(INDEX(FILTER('RE Portfolio'!B$2:B2000,'RE Portfolio'!D$2:D2000=""BUY""), INT((ROW()-2)/amortYears)+1), )
"),57.0)</f>
        <v>57</v>
      </c>
      <c r="C601" s="15">
        <f>IFERROR(__xludf.DUMMYFUNCTION("IFERROR(INDEX(FILTER('RE Portfolio'!G$2:G2000,'RE Portfolio'!D$2:D2000=""BUY""), INT((ROW()-2)/amortYears)+1), )
"),508241.44377385225)</f>
        <v>508241.4438</v>
      </c>
      <c r="D601" s="15">
        <f>MOD(ROW()-2, amortYears)+1</f>
        <v>30</v>
      </c>
      <c r="E601" s="15">
        <f t="shared" si="1"/>
        <v>86</v>
      </c>
      <c r="F601" s="16">
        <f t="shared" si="2"/>
        <v>37225.55074</v>
      </c>
      <c r="G601" s="16">
        <f>IF(D601&lt;=mortTerm, -PMT(mortRate/12, mortTerm*12, C601)*12, 0)
</f>
        <v>38549.17978</v>
      </c>
      <c r="H601" s="16">
        <f>IF(D601&lt;=mortTerm, G601 - I601, 0)
</f>
        <v>1323.629039</v>
      </c>
      <c r="I601" s="16">
        <f>IF(D601&lt;=mortTerm, F601 - J601, 0)
</f>
        <v>37225.55074</v>
      </c>
      <c r="J601" s="16">
        <f>IF(D601&lt;=mortTerm,
   F601*(1+mortRate/12)^12 - (-PMT(mortRate/12, mortTerm*12, C601))*(((1+mortRate/12)^12 - 1)/(mortRate/12)),
   0
)
</f>
        <v>-0.000000002080923878</v>
      </c>
      <c r="K601" s="13">
        <f>IFERROR(__xludf.DUMMYFUNCTION("IF(A601="""","""",
   IF(F601&gt;0,
      INDEX(FILTER('RE Portfolio'!L$2:L2000,'RE Portfolio'!D$2:D2000=""BUY""), INT((ROW()-2)/amortYears)+1) - G601,
      INDEX(FILTER('RE Portfolio'!L$2:L2000,'RE Portfolio'!D$2:D2000=""BUY""), INT((ROW()-2)/amortYears)+1"&amp;")
   )
)
"),11868.37144356416)</f>
        <v>11868.37144</v>
      </c>
      <c r="L601" s="15">
        <f>IFERROR(__xludf.DUMMYFUNCTION("IF(A601="""","""",
  INDEX(FILTER('RE Portfolio'!C$2:C2000,'RE Portfolio'!D$2:D2000=""BUY""), INT((ROW()-2)/amortYears)+1)
  * (1 + VALUE(Assumptions!$B$11))^(D601-1)
)
"),2113370.555421686)</f>
        <v>2113370.555</v>
      </c>
    </row>
    <row r="602">
      <c r="A602" s="15">
        <f>IFERROR(__xludf.DUMMYFUNCTION("IFERROR(INDEX(FILTER('RE Portfolio'!A$2:A2000,'RE Portfolio'!D$2:D2000=""BUY""), INT((ROW()-2)/amortYears)+1), )
"),16.0)</f>
        <v>16</v>
      </c>
      <c r="B602" s="15">
        <f>IFERROR(__xludf.DUMMYFUNCTION("IFERROR(INDEX(FILTER('RE Portfolio'!B$2:B2000,'RE Portfolio'!D$2:D2000=""BUY""), INT((ROW()-2)/amortYears)+1), )
"),57.0)</f>
        <v>57</v>
      </c>
      <c r="C602" s="15">
        <f>IFERROR(__xludf.DUMMYFUNCTION("IFERROR(INDEX(FILTER('RE Portfolio'!G$2:G2000,'RE Portfolio'!D$2:D2000=""BUY""), INT((ROW()-2)/amortYears)+1), )
"),508241.44377385225)</f>
        <v>508241.4438</v>
      </c>
      <c r="D602" s="15">
        <f>MOD(ROW()-2, amortYears)+1</f>
        <v>31</v>
      </c>
      <c r="E602" s="15">
        <f t="shared" si="1"/>
        <v>87</v>
      </c>
      <c r="F602" s="16">
        <f t="shared" si="2"/>
        <v>-0.000000002080923878</v>
      </c>
      <c r="G602" s="15">
        <f>IF(D602&lt;=mortTerm, -PMT(mortRate/12, mortTerm*12, C602)*12, 0)
</f>
        <v>0</v>
      </c>
      <c r="H602" s="15">
        <f>IF(D602&lt;=mortTerm, G602 - I602, 0)
</f>
        <v>0</v>
      </c>
      <c r="I602" s="15">
        <f>IF(D602&lt;=mortTerm, F602 - J602, 0)
</f>
        <v>0</v>
      </c>
      <c r="J602" s="15">
        <f>IF(D602&lt;=mortTerm,
   F602*(1+mortRate/12)^12 - (-PMT(mortRate/12, mortTerm*12, C602))*(((1+mortRate/12)^12 - 1)/(mortRate/12)),
   0
)
</f>
        <v>0</v>
      </c>
      <c r="K602" s="13">
        <f>IFERROR(__xludf.DUMMYFUNCTION("IF(A602="""","""",
   IF(F602&gt;0,
      INDEX(FILTER('RE Portfolio'!L$2:L2000,'RE Portfolio'!D$2:D2000=""BUY""), INT((ROW()-2)/amortYears)+1) - G602,
      INDEX(FILTER('RE Portfolio'!L$2:L2000,'RE Portfolio'!D$2:D2000=""BUY""), INT((ROW()-2)/amortYears)+1"&amp;")
   )
)
"),50417.55122236615)</f>
        <v>50417.55122</v>
      </c>
      <c r="L602" s="15">
        <f>IFERROR(__xludf.DUMMYFUNCTION("IF(A602="""","""",
  INDEX(FILTER('RE Portfolio'!C$2:C2000,'RE Portfolio'!D$2:D2000=""BUY""), INT((ROW()-2)/amortYears)+1)
  * (1 + VALUE(Assumptions!$B$11))^(D602-1)
)
"),2197905.3776385533)</f>
        <v>2197905.378</v>
      </c>
    </row>
    <row r="603">
      <c r="A603" s="15">
        <f>IFERROR(__xludf.DUMMYFUNCTION("IFERROR(INDEX(FILTER('RE Portfolio'!A$2:A2000,'RE Portfolio'!D$2:D2000=""BUY""), INT((ROW()-2)/amortYears)+1), )
"),16.0)</f>
        <v>16</v>
      </c>
      <c r="B603" s="15">
        <f>IFERROR(__xludf.DUMMYFUNCTION("IFERROR(INDEX(FILTER('RE Portfolio'!B$2:B2000,'RE Portfolio'!D$2:D2000=""BUY""), INT((ROW()-2)/amortYears)+1), )
"),57.0)</f>
        <v>57</v>
      </c>
      <c r="C603" s="15">
        <f>IFERROR(__xludf.DUMMYFUNCTION("IFERROR(INDEX(FILTER('RE Portfolio'!G$2:G2000,'RE Portfolio'!D$2:D2000=""BUY""), INT((ROW()-2)/amortYears)+1), )
"),508241.44377385225)</f>
        <v>508241.4438</v>
      </c>
      <c r="D603" s="15">
        <f>MOD(ROW()-2, amortYears)+1</f>
        <v>32</v>
      </c>
      <c r="E603" s="15">
        <f t="shared" si="1"/>
        <v>88</v>
      </c>
      <c r="F603" s="15">
        <f t="shared" si="2"/>
        <v>0</v>
      </c>
      <c r="G603" s="15">
        <f>IF(D603&lt;=mortTerm, -PMT(mortRate/12, mortTerm*12, C603)*12, 0)
</f>
        <v>0</v>
      </c>
      <c r="H603" s="15">
        <f>IF(D603&lt;=mortTerm, G603 - I603, 0)
</f>
        <v>0</v>
      </c>
      <c r="I603" s="15">
        <f>IF(D603&lt;=mortTerm, F603 - J603, 0)
</f>
        <v>0</v>
      </c>
      <c r="J603" s="15">
        <f>IF(D603&lt;=mortTerm,
   F603*(1+mortRate/12)^12 - (-PMT(mortRate/12, mortTerm*12, C603))*(((1+mortRate/12)^12 - 1)/(mortRate/12)),
   0
)
</f>
        <v>0</v>
      </c>
      <c r="K603" s="13">
        <f>IFERROR(__xludf.DUMMYFUNCTION("IF(A603="""","""",
   IF(F603&gt;0,
      INDEX(FILTER('RE Portfolio'!L$2:L2000,'RE Portfolio'!D$2:D2000=""BUY""), INT((ROW()-2)/amortYears)+1) - G603,
      INDEX(FILTER('RE Portfolio'!L$2:L2000,'RE Portfolio'!D$2:D2000=""BUY""), INT((ROW()-2)/amortYears)+1"&amp;")
   )
)
"),50417.55122236615)</f>
        <v>50417.55122</v>
      </c>
      <c r="L603" s="15">
        <f>IFERROR(__xludf.DUMMYFUNCTION("IF(A603="""","""",
  INDEX(FILTER('RE Portfolio'!C$2:C2000,'RE Portfolio'!D$2:D2000=""BUY""), INT((ROW()-2)/amortYears)+1)
  * (1 + VALUE(Assumptions!$B$11))^(D603-1)
)
"),2285821.5927440957)</f>
        <v>2285821.593</v>
      </c>
    </row>
    <row r="604">
      <c r="A604" s="15">
        <f>IFERROR(__xludf.DUMMYFUNCTION("IFERROR(INDEX(FILTER('RE Portfolio'!A$2:A2000,'RE Portfolio'!D$2:D2000=""BUY""), INT((ROW()-2)/amortYears)+1), )
"),16.0)</f>
        <v>16</v>
      </c>
      <c r="B604" s="15">
        <f>IFERROR(__xludf.DUMMYFUNCTION("IFERROR(INDEX(FILTER('RE Portfolio'!B$2:B2000,'RE Portfolio'!D$2:D2000=""BUY""), INT((ROW()-2)/amortYears)+1), )
"),57.0)</f>
        <v>57</v>
      </c>
      <c r="C604" s="15">
        <f>IFERROR(__xludf.DUMMYFUNCTION("IFERROR(INDEX(FILTER('RE Portfolio'!G$2:G2000,'RE Portfolio'!D$2:D2000=""BUY""), INT((ROW()-2)/amortYears)+1), )
"),508241.44377385225)</f>
        <v>508241.4438</v>
      </c>
      <c r="D604" s="15">
        <f>MOD(ROW()-2, amortYears)+1</f>
        <v>33</v>
      </c>
      <c r="E604" s="15">
        <f t="shared" si="1"/>
        <v>89</v>
      </c>
      <c r="F604" s="15">
        <f t="shared" si="2"/>
        <v>0</v>
      </c>
      <c r="G604" s="15">
        <f>IF(D604&lt;=mortTerm, -PMT(mortRate/12, mortTerm*12, C604)*12, 0)
</f>
        <v>0</v>
      </c>
      <c r="H604" s="15">
        <f>IF(D604&lt;=mortTerm, G604 - I604, 0)
</f>
        <v>0</v>
      </c>
      <c r="I604" s="15">
        <f>IF(D604&lt;=mortTerm, F604 - J604, 0)
</f>
        <v>0</v>
      </c>
      <c r="J604" s="15">
        <f>IF(D604&lt;=mortTerm,
   F604*(1+mortRate/12)^12 - (-PMT(mortRate/12, mortTerm*12, C604))*(((1+mortRate/12)^12 - 1)/(mortRate/12)),
   0
)
</f>
        <v>0</v>
      </c>
      <c r="K604" s="13">
        <f>IFERROR(__xludf.DUMMYFUNCTION("IF(A604="""","""",
   IF(F604&gt;0,
      INDEX(FILTER('RE Portfolio'!L$2:L2000,'RE Portfolio'!D$2:D2000=""BUY""), INT((ROW()-2)/amortYears)+1) - G604,
      INDEX(FILTER('RE Portfolio'!L$2:L2000,'RE Portfolio'!D$2:D2000=""BUY""), INT((ROW()-2)/amortYears)+1"&amp;")
   )
)
"),50417.55122236615)</f>
        <v>50417.55122</v>
      </c>
      <c r="L604" s="15">
        <f>IFERROR(__xludf.DUMMYFUNCTION("IF(A604="""","""",
  INDEX(FILTER('RE Portfolio'!C$2:C2000,'RE Portfolio'!D$2:D2000=""BUY""), INT((ROW()-2)/amortYears)+1)
  * (1 + VALUE(Assumptions!$B$11))^(D604-1)
)
"),2377254.4564538593)</f>
        <v>2377254.456</v>
      </c>
    </row>
    <row r="605">
      <c r="A605" s="15">
        <f>IFERROR(__xludf.DUMMYFUNCTION("IFERROR(INDEX(FILTER('RE Portfolio'!A$2:A2000,'RE Portfolio'!D$2:D2000=""BUY""), INT((ROW()-2)/amortYears)+1), )
"),16.0)</f>
        <v>16</v>
      </c>
      <c r="B605" s="15">
        <f>IFERROR(__xludf.DUMMYFUNCTION("IFERROR(INDEX(FILTER('RE Portfolio'!B$2:B2000,'RE Portfolio'!D$2:D2000=""BUY""), INT((ROW()-2)/amortYears)+1), )
"),57.0)</f>
        <v>57</v>
      </c>
      <c r="C605" s="15">
        <f>IFERROR(__xludf.DUMMYFUNCTION("IFERROR(INDEX(FILTER('RE Portfolio'!G$2:G2000,'RE Portfolio'!D$2:D2000=""BUY""), INT((ROW()-2)/amortYears)+1), )
"),508241.44377385225)</f>
        <v>508241.4438</v>
      </c>
      <c r="D605" s="15">
        <f>MOD(ROW()-2, amortYears)+1</f>
        <v>34</v>
      </c>
      <c r="E605" s="15">
        <f t="shared" si="1"/>
        <v>90</v>
      </c>
      <c r="F605" s="15">
        <f t="shared" si="2"/>
        <v>0</v>
      </c>
      <c r="G605" s="15">
        <f>IF(D605&lt;=mortTerm, -PMT(mortRate/12, mortTerm*12, C605)*12, 0)
</f>
        <v>0</v>
      </c>
      <c r="H605" s="15">
        <f>IF(D605&lt;=mortTerm, G605 - I605, 0)
</f>
        <v>0</v>
      </c>
      <c r="I605" s="15">
        <f>IF(D605&lt;=mortTerm, F605 - J605, 0)
</f>
        <v>0</v>
      </c>
      <c r="J605" s="15">
        <f>IF(D605&lt;=mortTerm,
   F605*(1+mortRate/12)^12 - (-PMT(mortRate/12, mortTerm*12, C605))*(((1+mortRate/12)^12 - 1)/(mortRate/12)),
   0
)
</f>
        <v>0</v>
      </c>
      <c r="K605" s="13">
        <f>IFERROR(__xludf.DUMMYFUNCTION("IF(A605="""","""",
   IF(F605&gt;0,
      INDEX(FILTER('RE Portfolio'!L$2:L2000,'RE Portfolio'!D$2:D2000=""BUY""), INT((ROW()-2)/amortYears)+1) - G605,
      INDEX(FILTER('RE Portfolio'!L$2:L2000,'RE Portfolio'!D$2:D2000=""BUY""), INT((ROW()-2)/amortYears)+1"&amp;")
   )
)
"),50417.55122236615)</f>
        <v>50417.55122</v>
      </c>
      <c r="L605" s="15">
        <f>IFERROR(__xludf.DUMMYFUNCTION("IF(A605="""","""",
  INDEX(FILTER('RE Portfolio'!C$2:C2000,'RE Portfolio'!D$2:D2000=""BUY""), INT((ROW()-2)/amortYears)+1)
  * (1 + VALUE(Assumptions!$B$11))^(D605-1)
)
"),2472344.6347120143)</f>
        <v>2472344.635</v>
      </c>
    </row>
    <row r="606">
      <c r="A606" s="15">
        <f>IFERROR(__xludf.DUMMYFUNCTION("IFERROR(INDEX(FILTER('RE Portfolio'!A$2:A2000,'RE Portfolio'!D$2:D2000=""BUY""), INT((ROW()-2)/amortYears)+1), )
"),16.0)</f>
        <v>16</v>
      </c>
      <c r="B606" s="15">
        <f>IFERROR(__xludf.DUMMYFUNCTION("IFERROR(INDEX(FILTER('RE Portfolio'!B$2:B2000,'RE Portfolio'!D$2:D2000=""BUY""), INT((ROW()-2)/amortYears)+1), )
"),57.0)</f>
        <v>57</v>
      </c>
      <c r="C606" s="15">
        <f>IFERROR(__xludf.DUMMYFUNCTION("IFERROR(INDEX(FILTER('RE Portfolio'!G$2:G2000,'RE Portfolio'!D$2:D2000=""BUY""), INT((ROW()-2)/amortYears)+1), )
"),508241.44377385225)</f>
        <v>508241.4438</v>
      </c>
      <c r="D606" s="15">
        <f>MOD(ROW()-2, amortYears)+1</f>
        <v>35</v>
      </c>
      <c r="E606" s="15">
        <f t="shared" si="1"/>
        <v>91</v>
      </c>
      <c r="F606" s="15">
        <f t="shared" si="2"/>
        <v>0</v>
      </c>
      <c r="G606" s="15">
        <f>IF(D606&lt;=mortTerm, -PMT(mortRate/12, mortTerm*12, C606)*12, 0)
</f>
        <v>0</v>
      </c>
      <c r="H606" s="15">
        <f>IF(D606&lt;=mortTerm, G606 - I606, 0)
</f>
        <v>0</v>
      </c>
      <c r="I606" s="15">
        <f>IF(D606&lt;=mortTerm, F606 - J606, 0)
</f>
        <v>0</v>
      </c>
      <c r="J606" s="15">
        <f>IF(D606&lt;=mortTerm,
   F606*(1+mortRate/12)^12 - (-PMT(mortRate/12, mortTerm*12, C606))*(((1+mortRate/12)^12 - 1)/(mortRate/12)),
   0
)
</f>
        <v>0</v>
      </c>
      <c r="K606" s="13">
        <f>IFERROR(__xludf.DUMMYFUNCTION("IF(A606="""","""",
   IF(F606&gt;0,
      INDEX(FILTER('RE Portfolio'!L$2:L2000,'RE Portfolio'!D$2:D2000=""BUY""), INT((ROW()-2)/amortYears)+1) - G606,
      INDEX(FILTER('RE Portfolio'!L$2:L2000,'RE Portfolio'!D$2:D2000=""BUY""), INT((ROW()-2)/amortYears)+1"&amp;")
   )
)
"),50417.55122236615)</f>
        <v>50417.55122</v>
      </c>
      <c r="L606" s="15">
        <f>IFERROR(__xludf.DUMMYFUNCTION("IF(A606="""","""",
  INDEX(FILTER('RE Portfolio'!C$2:C2000,'RE Portfolio'!D$2:D2000=""BUY""), INT((ROW()-2)/amortYears)+1)
  * (1 + VALUE(Assumptions!$B$11))^(D606-1)
)
"),2571238.4201004948)</f>
        <v>2571238.42</v>
      </c>
    </row>
    <row r="607">
      <c r="A607" s="15">
        <f>IFERROR(__xludf.DUMMYFUNCTION("IFERROR(INDEX(FILTER('RE Portfolio'!A$2:A2000,'RE Portfolio'!D$2:D2000=""BUY""), INT((ROW()-2)/amortYears)+1), )
"),16.0)</f>
        <v>16</v>
      </c>
      <c r="B607" s="15">
        <f>IFERROR(__xludf.DUMMYFUNCTION("IFERROR(INDEX(FILTER('RE Portfolio'!B$2:B2000,'RE Portfolio'!D$2:D2000=""BUY""), INT((ROW()-2)/amortYears)+1), )
"),57.0)</f>
        <v>57</v>
      </c>
      <c r="C607" s="15">
        <f>IFERROR(__xludf.DUMMYFUNCTION("IFERROR(INDEX(FILTER('RE Portfolio'!G$2:G2000,'RE Portfolio'!D$2:D2000=""BUY""), INT((ROW()-2)/amortYears)+1), )
"),508241.44377385225)</f>
        <v>508241.4438</v>
      </c>
      <c r="D607" s="15">
        <f>MOD(ROW()-2, amortYears)+1</f>
        <v>36</v>
      </c>
      <c r="E607" s="15">
        <f t="shared" si="1"/>
        <v>92</v>
      </c>
      <c r="F607" s="15">
        <f t="shared" si="2"/>
        <v>0</v>
      </c>
      <c r="G607" s="15">
        <f>IF(D607&lt;=mortTerm, -PMT(mortRate/12, mortTerm*12, C607)*12, 0)
</f>
        <v>0</v>
      </c>
      <c r="H607" s="15">
        <f>IF(D607&lt;=mortTerm, G607 - I607, 0)
</f>
        <v>0</v>
      </c>
      <c r="I607" s="15">
        <f>IF(D607&lt;=mortTerm, F607 - J607, 0)
</f>
        <v>0</v>
      </c>
      <c r="J607" s="15">
        <f>IF(D607&lt;=mortTerm,
   F607*(1+mortRate/12)^12 - (-PMT(mortRate/12, mortTerm*12, C607))*(((1+mortRate/12)^12 - 1)/(mortRate/12)),
   0
)
</f>
        <v>0</v>
      </c>
      <c r="K607" s="13">
        <f>IFERROR(__xludf.DUMMYFUNCTION("IF(A607="""","""",
   IF(F607&gt;0,
      INDEX(FILTER('RE Portfolio'!L$2:L2000,'RE Portfolio'!D$2:D2000=""BUY""), INT((ROW()-2)/amortYears)+1) - G607,
      INDEX(FILTER('RE Portfolio'!L$2:L2000,'RE Portfolio'!D$2:D2000=""BUY""), INT((ROW()-2)/amortYears)+1"&amp;")
   )
)
"),50417.55122236615)</f>
        <v>50417.55122</v>
      </c>
      <c r="L607" s="15">
        <f>IFERROR(__xludf.DUMMYFUNCTION("IF(A607="""","""",
  INDEX(FILTER('RE Portfolio'!C$2:C2000,'RE Portfolio'!D$2:D2000=""BUY""), INT((ROW()-2)/amortYears)+1)
  * (1 + VALUE(Assumptions!$B$11))^(D607-1)
)
"),2674087.9569045147)</f>
        <v>2674087.957</v>
      </c>
    </row>
    <row r="608">
      <c r="A608" s="15">
        <f>IFERROR(__xludf.DUMMYFUNCTION("IFERROR(INDEX(FILTER('RE Portfolio'!A$2:A2000,'RE Portfolio'!D$2:D2000=""BUY""), INT((ROW()-2)/amortYears)+1), )
"),16.0)</f>
        <v>16</v>
      </c>
      <c r="B608" s="15">
        <f>IFERROR(__xludf.DUMMYFUNCTION("IFERROR(INDEX(FILTER('RE Portfolio'!B$2:B2000,'RE Portfolio'!D$2:D2000=""BUY""), INT((ROW()-2)/amortYears)+1), )
"),57.0)</f>
        <v>57</v>
      </c>
      <c r="C608" s="15">
        <f>IFERROR(__xludf.DUMMYFUNCTION("IFERROR(INDEX(FILTER('RE Portfolio'!G$2:G2000,'RE Portfolio'!D$2:D2000=""BUY""), INT((ROW()-2)/amortYears)+1), )
"),508241.44377385225)</f>
        <v>508241.4438</v>
      </c>
      <c r="D608" s="15">
        <f>MOD(ROW()-2, amortYears)+1</f>
        <v>37</v>
      </c>
      <c r="E608" s="15">
        <f t="shared" si="1"/>
        <v>93</v>
      </c>
      <c r="F608" s="15">
        <f t="shared" si="2"/>
        <v>0</v>
      </c>
      <c r="G608" s="15">
        <f>IF(D608&lt;=mortTerm, -PMT(mortRate/12, mortTerm*12, C608)*12, 0)
</f>
        <v>0</v>
      </c>
      <c r="H608" s="15">
        <f>IF(D608&lt;=mortTerm, G608 - I608, 0)
</f>
        <v>0</v>
      </c>
      <c r="I608" s="15">
        <f>IF(D608&lt;=mortTerm, F608 - J608, 0)
</f>
        <v>0</v>
      </c>
      <c r="J608" s="15">
        <f>IF(D608&lt;=mortTerm,
   F608*(1+mortRate/12)^12 - (-PMT(mortRate/12, mortTerm*12, C608))*(((1+mortRate/12)^12 - 1)/(mortRate/12)),
   0
)
</f>
        <v>0</v>
      </c>
      <c r="K608" s="13">
        <f>IFERROR(__xludf.DUMMYFUNCTION("IF(A608="""","""",
   IF(F608&gt;0,
      INDEX(FILTER('RE Portfolio'!L$2:L2000,'RE Portfolio'!D$2:D2000=""BUY""), INT((ROW()-2)/amortYears)+1) - G608,
      INDEX(FILTER('RE Portfolio'!L$2:L2000,'RE Portfolio'!D$2:D2000=""BUY""), INT((ROW()-2)/amortYears)+1"&amp;")
   )
)
"),50417.55122236615)</f>
        <v>50417.55122</v>
      </c>
      <c r="L608" s="15">
        <f>IFERROR(__xludf.DUMMYFUNCTION("IF(A608="""","""",
  INDEX(FILTER('RE Portfolio'!C$2:C2000,'RE Portfolio'!D$2:D2000=""BUY""), INT((ROW()-2)/amortYears)+1)
  * (1 + VALUE(Assumptions!$B$11))^(D608-1)
)
"),2781051.4751806953)</f>
        <v>2781051.475</v>
      </c>
    </row>
    <row r="609">
      <c r="A609" s="15">
        <f>IFERROR(__xludf.DUMMYFUNCTION("IFERROR(INDEX(FILTER('RE Portfolio'!A$2:A2000,'RE Portfolio'!D$2:D2000=""BUY""), INT((ROW()-2)/amortYears)+1), )
"),16.0)</f>
        <v>16</v>
      </c>
      <c r="B609" s="15">
        <f>IFERROR(__xludf.DUMMYFUNCTION("IFERROR(INDEX(FILTER('RE Portfolio'!B$2:B2000,'RE Portfolio'!D$2:D2000=""BUY""), INT((ROW()-2)/amortYears)+1), )
"),57.0)</f>
        <v>57</v>
      </c>
      <c r="C609" s="15">
        <f>IFERROR(__xludf.DUMMYFUNCTION("IFERROR(INDEX(FILTER('RE Portfolio'!G$2:G2000,'RE Portfolio'!D$2:D2000=""BUY""), INT((ROW()-2)/amortYears)+1), )
"),508241.44377385225)</f>
        <v>508241.4438</v>
      </c>
      <c r="D609" s="15">
        <f>MOD(ROW()-2, amortYears)+1</f>
        <v>38</v>
      </c>
      <c r="E609" s="15">
        <f t="shared" si="1"/>
        <v>94</v>
      </c>
      <c r="F609" s="15">
        <f t="shared" si="2"/>
        <v>0</v>
      </c>
      <c r="G609" s="15">
        <f>IF(D609&lt;=mortTerm, -PMT(mortRate/12, mortTerm*12, C609)*12, 0)
</f>
        <v>0</v>
      </c>
      <c r="H609" s="15">
        <f>IF(D609&lt;=mortTerm, G609 - I609, 0)
</f>
        <v>0</v>
      </c>
      <c r="I609" s="15">
        <f>IF(D609&lt;=mortTerm, F609 - J609, 0)
</f>
        <v>0</v>
      </c>
      <c r="J609" s="15">
        <f>IF(D609&lt;=mortTerm,
   F609*(1+mortRate/12)^12 - (-PMT(mortRate/12, mortTerm*12, C609))*(((1+mortRate/12)^12 - 1)/(mortRate/12)),
   0
)
</f>
        <v>0</v>
      </c>
      <c r="K609" s="13">
        <f>IFERROR(__xludf.DUMMYFUNCTION("IF(A609="""","""",
   IF(F609&gt;0,
      INDEX(FILTER('RE Portfolio'!L$2:L2000,'RE Portfolio'!D$2:D2000=""BUY""), INT((ROW()-2)/amortYears)+1) - G609,
      INDEX(FILTER('RE Portfolio'!L$2:L2000,'RE Portfolio'!D$2:D2000=""BUY""), INT((ROW()-2)/amortYears)+1"&amp;")
   )
)
"),50417.55122236615)</f>
        <v>50417.55122</v>
      </c>
      <c r="L609" s="15">
        <f>IFERROR(__xludf.DUMMYFUNCTION("IF(A609="""","""",
  INDEX(FILTER('RE Portfolio'!C$2:C2000,'RE Portfolio'!D$2:D2000=""BUY""), INT((ROW()-2)/amortYears)+1)
  * (1 + VALUE(Assumptions!$B$11))^(D609-1)
)
"),2892293.5341879227)</f>
        <v>2892293.534</v>
      </c>
    </row>
    <row r="610">
      <c r="A610" s="15">
        <f>IFERROR(__xludf.DUMMYFUNCTION("IFERROR(INDEX(FILTER('RE Portfolio'!A$2:A2000,'RE Portfolio'!D$2:D2000=""BUY""), INT((ROW()-2)/amortYears)+1), )
"),17.0)</f>
        <v>17</v>
      </c>
      <c r="B610" s="15">
        <f>IFERROR(__xludf.DUMMYFUNCTION("IFERROR(INDEX(FILTER('RE Portfolio'!B$2:B2000,'RE Portfolio'!D$2:D2000=""BUY""), INT((ROW()-2)/amortYears)+1), )
"),59.0)</f>
        <v>59</v>
      </c>
      <c r="C610" s="15">
        <f>IFERROR(__xludf.DUMMYFUNCTION("IFERROR(INDEX(FILTER('RE Portfolio'!G$2:G2000,'RE Portfolio'!D$2:D2000=""BUY""), INT((ROW()-2)/amortYears)+1), )
"),533971.1668649034)</f>
        <v>533971.1669</v>
      </c>
      <c r="D610" s="15">
        <f>MOD(ROW()-2, amortYears)+1</f>
        <v>1</v>
      </c>
      <c r="E610" s="15">
        <f t="shared" si="1"/>
        <v>59</v>
      </c>
      <c r="F610" s="15">
        <f t="shared" si="2"/>
        <v>533971.1669</v>
      </c>
      <c r="G610" s="16">
        <f>IF(D610&lt;=mortTerm, -PMT(mortRate/12, mortTerm*12, C610)*12, 0)
</f>
        <v>40500.73201</v>
      </c>
      <c r="H610" s="16">
        <f>IF(D610&lt;=mortTerm, G610 - I610, 0)
</f>
        <v>34532.40028</v>
      </c>
      <c r="I610" s="16">
        <f>IF(D610&lt;=mortTerm, F610 - J610, 0)
</f>
        <v>5968.331729</v>
      </c>
      <c r="J610" s="16">
        <f>IF(D610&lt;=mortTerm,
   F610*(1+mortRate/12)^12 - (-PMT(mortRate/12, mortTerm*12, C610))*(((1+mortRate/12)^12 - 1)/(mortRate/12)),
   0
)
</f>
        <v>528002.8351</v>
      </c>
      <c r="K610" s="13">
        <f>IFERROR(__xludf.DUMMYFUNCTION("IF(A610="""","""",
   IF(F610&gt;0,
      INDEX(FILTER('RE Portfolio'!L$2:L2000,'RE Portfolio'!D$2:D2000=""BUY""), INT((ROW()-2)/amortYears)+1) - G610,
      INDEX(FILTER('RE Portfolio'!L$2:L2000,'RE Portfolio'!D$2:D2000=""BUY""), INT((ROW()-2)/amortYears)+1"&amp;")
   )
)
"),12469.207747894587)</f>
        <v>12469.20775</v>
      </c>
      <c r="L610" s="15">
        <f>IFERROR(__xludf.DUMMYFUNCTION("IF(A610="""","""",
  INDEX(FILTER('RE Portfolio'!C$2:C2000,'RE Portfolio'!D$2:D2000=""BUY""), INT((ROW()-2)/amortYears)+1)
  * (1 + VALUE(Assumptions!$B$11))^(D610-1)
)
"),711961.5558198711)</f>
        <v>711961.5558</v>
      </c>
    </row>
    <row r="611">
      <c r="A611" s="15">
        <f>IFERROR(__xludf.DUMMYFUNCTION("IFERROR(INDEX(FILTER('RE Portfolio'!A$2:A2000,'RE Portfolio'!D$2:D2000=""BUY""), INT((ROW()-2)/amortYears)+1), )
"),17.0)</f>
        <v>17</v>
      </c>
      <c r="B611" s="15">
        <f>IFERROR(__xludf.DUMMYFUNCTION("IFERROR(INDEX(FILTER('RE Portfolio'!B$2:B2000,'RE Portfolio'!D$2:D2000=""BUY""), INT((ROW()-2)/amortYears)+1), )
"),59.0)</f>
        <v>59</v>
      </c>
      <c r="C611" s="15">
        <f>IFERROR(__xludf.DUMMYFUNCTION("IFERROR(INDEX(FILTER('RE Portfolio'!G$2:G2000,'RE Portfolio'!D$2:D2000=""BUY""), INT((ROW()-2)/amortYears)+1), )
"),533971.1668649034)</f>
        <v>533971.1669</v>
      </c>
      <c r="D611" s="15">
        <f>MOD(ROW()-2, amortYears)+1</f>
        <v>2</v>
      </c>
      <c r="E611" s="15">
        <f t="shared" si="1"/>
        <v>60</v>
      </c>
      <c r="F611" s="16">
        <f t="shared" si="2"/>
        <v>528002.8351</v>
      </c>
      <c r="G611" s="16">
        <f>IF(D611&lt;=mortTerm, -PMT(mortRate/12, mortTerm*12, C611)*12, 0)
</f>
        <v>40500.73201</v>
      </c>
      <c r="H611" s="16">
        <f>IF(D611&lt;=mortTerm, G611 - I611, 0)
</f>
        <v>34132.69005</v>
      </c>
      <c r="I611" s="16">
        <f>IF(D611&lt;=mortTerm, F611 - J611, 0)
</f>
        <v>6368.041958</v>
      </c>
      <c r="J611" s="16">
        <f>IF(D611&lt;=mortTerm,
   F611*(1+mortRate/12)^12 - (-PMT(mortRate/12, mortTerm*12, C611))*(((1+mortRate/12)^12 - 1)/(mortRate/12)),
   0
)
</f>
        <v>521634.7932</v>
      </c>
      <c r="K611" s="13">
        <f>IFERROR(__xludf.DUMMYFUNCTION("IF(A611="""","""",
   IF(F611&gt;0,
      INDEX(FILTER('RE Portfolio'!L$2:L2000,'RE Portfolio'!D$2:D2000=""BUY""), INT((ROW()-2)/amortYears)+1) - G611,
      INDEX(FILTER('RE Portfolio'!L$2:L2000,'RE Portfolio'!D$2:D2000=""BUY""), INT((ROW()-2)/amortYears)+1"&amp;")
   )
)
"),12469.207747894587)</f>
        <v>12469.20775</v>
      </c>
      <c r="L611" s="15">
        <f>IFERROR(__xludf.DUMMYFUNCTION("IF(A611="""","""",
  INDEX(FILTER('RE Portfolio'!C$2:C2000,'RE Portfolio'!D$2:D2000=""BUY""), INT((ROW()-2)/amortYears)+1)
  * (1 + VALUE(Assumptions!$B$11))^(D611-1)
)
"),740440.018052666)</f>
        <v>740440.0181</v>
      </c>
    </row>
    <row r="612">
      <c r="A612" s="15">
        <f>IFERROR(__xludf.DUMMYFUNCTION("IFERROR(INDEX(FILTER('RE Portfolio'!A$2:A2000,'RE Portfolio'!D$2:D2000=""BUY""), INT((ROW()-2)/amortYears)+1), )
"),17.0)</f>
        <v>17</v>
      </c>
      <c r="B612" s="15">
        <f>IFERROR(__xludf.DUMMYFUNCTION("IFERROR(INDEX(FILTER('RE Portfolio'!B$2:B2000,'RE Portfolio'!D$2:D2000=""BUY""), INT((ROW()-2)/amortYears)+1), )
"),59.0)</f>
        <v>59</v>
      </c>
      <c r="C612" s="15">
        <f>IFERROR(__xludf.DUMMYFUNCTION("IFERROR(INDEX(FILTER('RE Portfolio'!G$2:G2000,'RE Portfolio'!D$2:D2000=""BUY""), INT((ROW()-2)/amortYears)+1), )
"),533971.1668649034)</f>
        <v>533971.1669</v>
      </c>
      <c r="D612" s="15">
        <f>MOD(ROW()-2, amortYears)+1</f>
        <v>3</v>
      </c>
      <c r="E612" s="15">
        <f t="shared" si="1"/>
        <v>61</v>
      </c>
      <c r="F612" s="16">
        <f t="shared" si="2"/>
        <v>521634.7932</v>
      </c>
      <c r="G612" s="16">
        <f>IF(D612&lt;=mortTerm, -PMT(mortRate/12, mortTerm*12, C612)*12, 0)
</f>
        <v>40500.73201</v>
      </c>
      <c r="H612" s="16">
        <f>IF(D612&lt;=mortTerm, G612 - I612, 0)
</f>
        <v>33706.21048</v>
      </c>
      <c r="I612" s="16">
        <f>IF(D612&lt;=mortTerm, F612 - J612, 0)
</f>
        <v>6794.521522</v>
      </c>
      <c r="J612" s="16">
        <f>IF(D612&lt;=mortTerm,
   F612*(1+mortRate/12)^12 - (-PMT(mortRate/12, mortTerm*12, C612))*(((1+mortRate/12)^12 - 1)/(mortRate/12)),
   0
)
</f>
        <v>514840.2717</v>
      </c>
      <c r="K612" s="13">
        <f>IFERROR(__xludf.DUMMYFUNCTION("IF(A612="""","""",
   IF(F612&gt;0,
      INDEX(FILTER('RE Portfolio'!L$2:L2000,'RE Portfolio'!D$2:D2000=""BUY""), INT((ROW()-2)/amortYears)+1) - G612,
      INDEX(FILTER('RE Portfolio'!L$2:L2000,'RE Portfolio'!D$2:D2000=""BUY""), INT((ROW()-2)/amortYears)+1"&amp;")
   )
)
"),12469.207747894587)</f>
        <v>12469.20775</v>
      </c>
      <c r="L612" s="15">
        <f>IFERROR(__xludf.DUMMYFUNCTION("IF(A612="""","""",
  INDEX(FILTER('RE Portfolio'!C$2:C2000,'RE Portfolio'!D$2:D2000=""BUY""), INT((ROW()-2)/amortYears)+1)
  * (1 + VALUE(Assumptions!$B$11))^(D612-1)
)
"),770057.6187747727)</f>
        <v>770057.6188</v>
      </c>
    </row>
    <row r="613">
      <c r="A613" s="15">
        <f>IFERROR(__xludf.DUMMYFUNCTION("IFERROR(INDEX(FILTER('RE Portfolio'!A$2:A2000,'RE Portfolio'!D$2:D2000=""BUY""), INT((ROW()-2)/amortYears)+1), )
"),17.0)</f>
        <v>17</v>
      </c>
      <c r="B613" s="15">
        <f>IFERROR(__xludf.DUMMYFUNCTION("IFERROR(INDEX(FILTER('RE Portfolio'!B$2:B2000,'RE Portfolio'!D$2:D2000=""BUY""), INT((ROW()-2)/amortYears)+1), )
"),59.0)</f>
        <v>59</v>
      </c>
      <c r="C613" s="15">
        <f>IFERROR(__xludf.DUMMYFUNCTION("IFERROR(INDEX(FILTER('RE Portfolio'!G$2:G2000,'RE Portfolio'!D$2:D2000=""BUY""), INT((ROW()-2)/amortYears)+1), )
"),533971.1668649034)</f>
        <v>533971.1669</v>
      </c>
      <c r="D613" s="15">
        <f>MOD(ROW()-2, amortYears)+1</f>
        <v>4</v>
      </c>
      <c r="E613" s="15">
        <f t="shared" si="1"/>
        <v>62</v>
      </c>
      <c r="F613" s="16">
        <f t="shared" si="2"/>
        <v>514840.2717</v>
      </c>
      <c r="G613" s="16">
        <f>IF(D613&lt;=mortTerm, -PMT(mortRate/12, mortTerm*12, C613)*12, 0)
</f>
        <v>40500.73201</v>
      </c>
      <c r="H613" s="16">
        <f>IF(D613&lt;=mortTerm, G613 - I613, 0)
</f>
        <v>33251.16879</v>
      </c>
      <c r="I613" s="16">
        <f>IF(D613&lt;=mortTerm, F613 - J613, 0)
</f>
        <v>7249.563212</v>
      </c>
      <c r="J613" s="16">
        <f>IF(D613&lt;=mortTerm,
   F613*(1+mortRate/12)^12 - (-PMT(mortRate/12, mortTerm*12, C613))*(((1+mortRate/12)^12 - 1)/(mortRate/12)),
   0
)
</f>
        <v>507590.7084</v>
      </c>
      <c r="K613" s="13">
        <f>IFERROR(__xludf.DUMMYFUNCTION("IF(A613="""","""",
   IF(F613&gt;0,
      INDEX(FILTER('RE Portfolio'!L$2:L2000,'RE Portfolio'!D$2:D2000=""BUY""), INT((ROW()-2)/amortYears)+1) - G613,
      INDEX(FILTER('RE Portfolio'!L$2:L2000,'RE Portfolio'!D$2:D2000=""BUY""), INT((ROW()-2)/amortYears)+1"&amp;")
   )
)
"),12469.207747894587)</f>
        <v>12469.20775</v>
      </c>
      <c r="L613" s="15">
        <f>IFERROR(__xludf.DUMMYFUNCTION("IF(A613="""","""",
  INDEX(FILTER('RE Portfolio'!C$2:C2000,'RE Portfolio'!D$2:D2000=""BUY""), INT((ROW()-2)/amortYears)+1)
  * (1 + VALUE(Assumptions!$B$11))^(D613-1)
)
"),800859.9235257636)</f>
        <v>800859.9235</v>
      </c>
    </row>
    <row r="614">
      <c r="A614" s="15">
        <f>IFERROR(__xludf.DUMMYFUNCTION("IFERROR(INDEX(FILTER('RE Portfolio'!A$2:A2000,'RE Portfolio'!D$2:D2000=""BUY""), INT((ROW()-2)/amortYears)+1), )
"),17.0)</f>
        <v>17</v>
      </c>
      <c r="B614" s="15">
        <f>IFERROR(__xludf.DUMMYFUNCTION("IFERROR(INDEX(FILTER('RE Portfolio'!B$2:B2000,'RE Portfolio'!D$2:D2000=""BUY""), INT((ROW()-2)/amortYears)+1), )
"),59.0)</f>
        <v>59</v>
      </c>
      <c r="C614" s="15">
        <f>IFERROR(__xludf.DUMMYFUNCTION("IFERROR(INDEX(FILTER('RE Portfolio'!G$2:G2000,'RE Portfolio'!D$2:D2000=""BUY""), INT((ROW()-2)/amortYears)+1), )
"),533971.1668649034)</f>
        <v>533971.1669</v>
      </c>
      <c r="D614" s="15">
        <f>MOD(ROW()-2, amortYears)+1</f>
        <v>5</v>
      </c>
      <c r="E614" s="15">
        <f t="shared" si="1"/>
        <v>63</v>
      </c>
      <c r="F614" s="16">
        <f t="shared" si="2"/>
        <v>507590.7084</v>
      </c>
      <c r="G614" s="16">
        <f>IF(D614&lt;=mortTerm, -PMT(mortRate/12, mortTerm*12, C614)*12, 0)
</f>
        <v>40500.73201</v>
      </c>
      <c r="H614" s="16">
        <f>IF(D614&lt;=mortTerm, G614 - I614, 0)
</f>
        <v>32765.65212</v>
      </c>
      <c r="I614" s="16">
        <f>IF(D614&lt;=mortTerm, F614 - J614, 0)
</f>
        <v>7735.079886</v>
      </c>
      <c r="J614" s="16">
        <f>IF(D614&lt;=mortTerm,
   F614*(1+mortRate/12)^12 - (-PMT(mortRate/12, mortTerm*12, C614))*(((1+mortRate/12)^12 - 1)/(mortRate/12)),
   0
)
</f>
        <v>499855.6286</v>
      </c>
      <c r="K614" s="13">
        <f>IFERROR(__xludf.DUMMYFUNCTION("IF(A614="""","""",
   IF(F614&gt;0,
      INDEX(FILTER('RE Portfolio'!L$2:L2000,'RE Portfolio'!D$2:D2000=""BUY""), INT((ROW()-2)/amortYears)+1) - G614,
      INDEX(FILTER('RE Portfolio'!L$2:L2000,'RE Portfolio'!D$2:D2000=""BUY""), INT((ROW()-2)/amortYears)+1"&amp;")
   )
)
"),12469.207747894587)</f>
        <v>12469.20775</v>
      </c>
      <c r="L614" s="15">
        <f>IFERROR(__xludf.DUMMYFUNCTION("IF(A614="""","""",
  INDEX(FILTER('RE Portfolio'!C$2:C2000,'RE Portfolio'!D$2:D2000=""BUY""), INT((ROW()-2)/amortYears)+1)
  * (1 + VALUE(Assumptions!$B$11))^(D614-1)
)
"),832894.3204667942)</f>
        <v>832894.3205</v>
      </c>
    </row>
    <row r="615">
      <c r="A615" s="15">
        <f>IFERROR(__xludf.DUMMYFUNCTION("IFERROR(INDEX(FILTER('RE Portfolio'!A$2:A2000,'RE Portfolio'!D$2:D2000=""BUY""), INT((ROW()-2)/amortYears)+1), )
"),17.0)</f>
        <v>17</v>
      </c>
      <c r="B615" s="15">
        <f>IFERROR(__xludf.DUMMYFUNCTION("IFERROR(INDEX(FILTER('RE Portfolio'!B$2:B2000,'RE Portfolio'!D$2:D2000=""BUY""), INT((ROW()-2)/amortYears)+1), )
"),59.0)</f>
        <v>59</v>
      </c>
      <c r="C615" s="15">
        <f>IFERROR(__xludf.DUMMYFUNCTION("IFERROR(INDEX(FILTER('RE Portfolio'!G$2:G2000,'RE Portfolio'!D$2:D2000=""BUY""), INT((ROW()-2)/amortYears)+1), )
"),533971.1668649034)</f>
        <v>533971.1669</v>
      </c>
      <c r="D615" s="15">
        <f>MOD(ROW()-2, amortYears)+1</f>
        <v>6</v>
      </c>
      <c r="E615" s="15">
        <f t="shared" si="1"/>
        <v>64</v>
      </c>
      <c r="F615" s="16">
        <f t="shared" si="2"/>
        <v>499855.6286</v>
      </c>
      <c r="G615" s="16">
        <f>IF(D615&lt;=mortTerm, -PMT(mortRate/12, mortTerm*12, C615)*12, 0)
</f>
        <v>40500.73201</v>
      </c>
      <c r="H615" s="16">
        <f>IF(D615&lt;=mortTerm, G615 - I615, 0)
</f>
        <v>32247.61949</v>
      </c>
      <c r="I615" s="16">
        <f>IF(D615&lt;=mortTerm, F615 - J615, 0)
</f>
        <v>8253.112511</v>
      </c>
      <c r="J615" s="16">
        <f>IF(D615&lt;=mortTerm,
   F615*(1+mortRate/12)^12 - (-PMT(mortRate/12, mortTerm*12, C615))*(((1+mortRate/12)^12 - 1)/(mortRate/12)),
   0
)
</f>
        <v>491602.516</v>
      </c>
      <c r="K615" s="13">
        <f>IFERROR(__xludf.DUMMYFUNCTION("IF(A615="""","""",
   IF(F615&gt;0,
      INDEX(FILTER('RE Portfolio'!L$2:L2000,'RE Portfolio'!D$2:D2000=""BUY""), INT((ROW()-2)/amortYears)+1) - G615,
      INDEX(FILTER('RE Portfolio'!L$2:L2000,'RE Portfolio'!D$2:D2000=""BUY""), INT((ROW()-2)/amortYears)+1"&amp;")
   )
)
"),12469.207747894587)</f>
        <v>12469.20775</v>
      </c>
      <c r="L615" s="15">
        <f>IFERROR(__xludf.DUMMYFUNCTION("IF(A615="""","""",
  INDEX(FILTER('RE Portfolio'!C$2:C2000,'RE Portfolio'!D$2:D2000=""BUY""), INT((ROW()-2)/amortYears)+1)
  * (1 + VALUE(Assumptions!$B$11))^(D615-1)
)
"),866210.093285466)</f>
        <v>866210.0933</v>
      </c>
    </row>
    <row r="616">
      <c r="A616" s="15">
        <f>IFERROR(__xludf.DUMMYFUNCTION("IFERROR(INDEX(FILTER('RE Portfolio'!A$2:A2000,'RE Portfolio'!D$2:D2000=""BUY""), INT((ROW()-2)/amortYears)+1), )
"),17.0)</f>
        <v>17</v>
      </c>
      <c r="B616" s="15">
        <f>IFERROR(__xludf.DUMMYFUNCTION("IFERROR(INDEX(FILTER('RE Portfolio'!B$2:B2000,'RE Portfolio'!D$2:D2000=""BUY""), INT((ROW()-2)/amortYears)+1), )
"),59.0)</f>
        <v>59</v>
      </c>
      <c r="C616" s="15">
        <f>IFERROR(__xludf.DUMMYFUNCTION("IFERROR(INDEX(FILTER('RE Portfolio'!G$2:G2000,'RE Portfolio'!D$2:D2000=""BUY""), INT((ROW()-2)/amortYears)+1), )
"),533971.1668649034)</f>
        <v>533971.1669</v>
      </c>
      <c r="D616" s="15">
        <f>MOD(ROW()-2, amortYears)+1</f>
        <v>7</v>
      </c>
      <c r="E616" s="15">
        <f t="shared" si="1"/>
        <v>65</v>
      </c>
      <c r="F616" s="16">
        <f t="shared" si="2"/>
        <v>491602.516</v>
      </c>
      <c r="G616" s="16">
        <f>IF(D616&lt;=mortTerm, -PMT(mortRate/12, mortTerm*12, C616)*12, 0)
</f>
        <v>40500.73201</v>
      </c>
      <c r="H616" s="16">
        <f>IF(D616&lt;=mortTerm, G616 - I616, 0)
</f>
        <v>31694.89326</v>
      </c>
      <c r="I616" s="16">
        <f>IF(D616&lt;=mortTerm, F616 - J616, 0)
</f>
        <v>8805.838741</v>
      </c>
      <c r="J616" s="16">
        <f>IF(D616&lt;=mortTerm,
   F616*(1+mortRate/12)^12 - (-PMT(mortRate/12, mortTerm*12, C616))*(((1+mortRate/12)^12 - 1)/(mortRate/12)),
   0
)
</f>
        <v>482796.6773</v>
      </c>
      <c r="K616" s="13">
        <f>IFERROR(__xludf.DUMMYFUNCTION("IF(A616="""","""",
   IF(F616&gt;0,
      INDEX(FILTER('RE Portfolio'!L$2:L2000,'RE Portfolio'!D$2:D2000=""BUY""), INT((ROW()-2)/amortYears)+1) - G616,
      INDEX(FILTER('RE Portfolio'!L$2:L2000,'RE Portfolio'!D$2:D2000=""BUY""), INT((ROW()-2)/amortYears)+1"&amp;")
   )
)
"),12469.207747894587)</f>
        <v>12469.20775</v>
      </c>
      <c r="L616" s="15">
        <f>IFERROR(__xludf.DUMMYFUNCTION("IF(A616="""","""",
  INDEX(FILTER('RE Portfolio'!C$2:C2000,'RE Portfolio'!D$2:D2000=""BUY""), INT((ROW()-2)/amortYears)+1)
  * (1 + VALUE(Assumptions!$B$11))^(D616-1)
)
"),900858.4970168847)</f>
        <v>900858.497</v>
      </c>
    </row>
    <row r="617">
      <c r="A617" s="15">
        <f>IFERROR(__xludf.DUMMYFUNCTION("IFERROR(INDEX(FILTER('RE Portfolio'!A$2:A2000,'RE Portfolio'!D$2:D2000=""BUY""), INT((ROW()-2)/amortYears)+1), )
"),17.0)</f>
        <v>17</v>
      </c>
      <c r="B617" s="15">
        <f>IFERROR(__xludf.DUMMYFUNCTION("IFERROR(INDEX(FILTER('RE Portfolio'!B$2:B2000,'RE Portfolio'!D$2:D2000=""BUY""), INT((ROW()-2)/amortYears)+1), )
"),59.0)</f>
        <v>59</v>
      </c>
      <c r="C617" s="15">
        <f>IFERROR(__xludf.DUMMYFUNCTION("IFERROR(INDEX(FILTER('RE Portfolio'!G$2:G2000,'RE Portfolio'!D$2:D2000=""BUY""), INT((ROW()-2)/amortYears)+1), )
"),533971.1668649034)</f>
        <v>533971.1669</v>
      </c>
      <c r="D617" s="15">
        <f>MOD(ROW()-2, amortYears)+1</f>
        <v>8</v>
      </c>
      <c r="E617" s="15">
        <f t="shared" si="1"/>
        <v>66</v>
      </c>
      <c r="F617" s="16">
        <f t="shared" si="2"/>
        <v>482796.6773</v>
      </c>
      <c r="G617" s="16">
        <f>IF(D617&lt;=mortTerm, -PMT(mortRate/12, mortTerm*12, C617)*12, 0)
</f>
        <v>40500.73201</v>
      </c>
      <c r="H617" s="16">
        <f>IF(D617&lt;=mortTerm, G617 - I617, 0)
</f>
        <v>31105.14994</v>
      </c>
      <c r="I617" s="16">
        <f>IF(D617&lt;=mortTerm, F617 - J617, 0)
</f>
        <v>9395.58207</v>
      </c>
      <c r="J617" s="16">
        <f>IF(D617&lt;=mortTerm,
   F617*(1+mortRate/12)^12 - (-PMT(mortRate/12, mortTerm*12, C617))*(((1+mortRate/12)^12 - 1)/(mortRate/12)),
   0
)
</f>
        <v>473401.0952</v>
      </c>
      <c r="K617" s="13">
        <f>IFERROR(__xludf.DUMMYFUNCTION("IF(A617="""","""",
   IF(F617&gt;0,
      INDEX(FILTER('RE Portfolio'!L$2:L2000,'RE Portfolio'!D$2:D2000=""BUY""), INT((ROW()-2)/amortYears)+1) - G617,
      INDEX(FILTER('RE Portfolio'!L$2:L2000,'RE Portfolio'!D$2:D2000=""BUY""), INT((ROW()-2)/amortYears)+1"&amp;")
   )
)
"),12469.207747894587)</f>
        <v>12469.20775</v>
      </c>
      <c r="L617" s="15">
        <f>IFERROR(__xludf.DUMMYFUNCTION("IF(A617="""","""",
  INDEX(FILTER('RE Portfolio'!C$2:C2000,'RE Portfolio'!D$2:D2000=""BUY""), INT((ROW()-2)/amortYears)+1)
  * (1 + VALUE(Assumptions!$B$11))^(D617-1)
)
"),936892.83689756)</f>
        <v>936892.8369</v>
      </c>
    </row>
    <row r="618">
      <c r="A618" s="15">
        <f>IFERROR(__xludf.DUMMYFUNCTION("IFERROR(INDEX(FILTER('RE Portfolio'!A$2:A2000,'RE Portfolio'!D$2:D2000=""BUY""), INT((ROW()-2)/amortYears)+1), )
"),17.0)</f>
        <v>17</v>
      </c>
      <c r="B618" s="15">
        <f>IFERROR(__xludf.DUMMYFUNCTION("IFERROR(INDEX(FILTER('RE Portfolio'!B$2:B2000,'RE Portfolio'!D$2:D2000=""BUY""), INT((ROW()-2)/amortYears)+1), )
"),59.0)</f>
        <v>59</v>
      </c>
      <c r="C618" s="15">
        <f>IFERROR(__xludf.DUMMYFUNCTION("IFERROR(INDEX(FILTER('RE Portfolio'!G$2:G2000,'RE Portfolio'!D$2:D2000=""BUY""), INT((ROW()-2)/amortYears)+1), )
"),533971.1668649034)</f>
        <v>533971.1669</v>
      </c>
      <c r="D618" s="15">
        <f>MOD(ROW()-2, amortYears)+1</f>
        <v>9</v>
      </c>
      <c r="E618" s="15">
        <f t="shared" si="1"/>
        <v>67</v>
      </c>
      <c r="F618" s="16">
        <f t="shared" si="2"/>
        <v>473401.0952</v>
      </c>
      <c r="G618" s="16">
        <f>IF(D618&lt;=mortTerm, -PMT(mortRate/12, mortTerm*12, C618)*12, 0)
</f>
        <v>40500.73201</v>
      </c>
      <c r="H618" s="16">
        <f>IF(D618&lt;=mortTerm, G618 - I618, 0)
</f>
        <v>30475.9104</v>
      </c>
      <c r="I618" s="16">
        <f>IF(D618&lt;=mortTerm, F618 - J618, 0)
</f>
        <v>10024.8216</v>
      </c>
      <c r="J618" s="16">
        <f>IF(D618&lt;=mortTerm,
   F618*(1+mortRate/12)^12 - (-PMT(mortRate/12, mortTerm*12, C618))*(((1+mortRate/12)^12 - 1)/(mortRate/12)),
   0
)
</f>
        <v>463376.2736</v>
      </c>
      <c r="K618" s="13">
        <f>IFERROR(__xludf.DUMMYFUNCTION("IF(A618="""","""",
   IF(F618&gt;0,
      INDEX(FILTER('RE Portfolio'!L$2:L2000,'RE Portfolio'!D$2:D2000=""BUY""), INT((ROW()-2)/amortYears)+1) - G618,
      INDEX(FILTER('RE Portfolio'!L$2:L2000,'RE Portfolio'!D$2:D2000=""BUY""), INT((ROW()-2)/amortYears)+1"&amp;")
   )
)
"),12469.207747894587)</f>
        <v>12469.20775</v>
      </c>
      <c r="L618" s="15">
        <f>IFERROR(__xludf.DUMMYFUNCTION("IF(A618="""","""",
  INDEX(FILTER('RE Portfolio'!C$2:C2000,'RE Portfolio'!D$2:D2000=""BUY""), INT((ROW()-2)/amortYears)+1)
  * (1 + VALUE(Assumptions!$B$11))^(D618-1)
)
"),974368.5503734624)</f>
        <v>974368.5504</v>
      </c>
    </row>
    <row r="619">
      <c r="A619" s="15">
        <f>IFERROR(__xludf.DUMMYFUNCTION("IFERROR(INDEX(FILTER('RE Portfolio'!A$2:A2000,'RE Portfolio'!D$2:D2000=""BUY""), INT((ROW()-2)/amortYears)+1), )
"),17.0)</f>
        <v>17</v>
      </c>
      <c r="B619" s="15">
        <f>IFERROR(__xludf.DUMMYFUNCTION("IFERROR(INDEX(FILTER('RE Portfolio'!B$2:B2000,'RE Portfolio'!D$2:D2000=""BUY""), INT((ROW()-2)/amortYears)+1), )
"),59.0)</f>
        <v>59</v>
      </c>
      <c r="C619" s="15">
        <f>IFERROR(__xludf.DUMMYFUNCTION("IFERROR(INDEX(FILTER('RE Portfolio'!G$2:G2000,'RE Portfolio'!D$2:D2000=""BUY""), INT((ROW()-2)/amortYears)+1), )
"),533971.1668649034)</f>
        <v>533971.1669</v>
      </c>
      <c r="D619" s="15">
        <f>MOD(ROW()-2, amortYears)+1</f>
        <v>10</v>
      </c>
      <c r="E619" s="15">
        <f t="shared" si="1"/>
        <v>68</v>
      </c>
      <c r="F619" s="16">
        <f t="shared" si="2"/>
        <v>463376.2736</v>
      </c>
      <c r="G619" s="16">
        <f>IF(D619&lt;=mortTerm, -PMT(mortRate/12, mortTerm*12, C619)*12, 0)
</f>
        <v>40500.73201</v>
      </c>
      <c r="H619" s="16">
        <f>IF(D619&lt;=mortTerm, G619 - I619, 0)
</f>
        <v>29804.52953</v>
      </c>
      <c r="I619" s="16">
        <f>IF(D619&lt;=mortTerm, F619 - J619, 0)
</f>
        <v>10696.20247</v>
      </c>
      <c r="J619" s="16">
        <f>IF(D619&lt;=mortTerm,
   F619*(1+mortRate/12)^12 - (-PMT(mortRate/12, mortTerm*12, C619))*(((1+mortRate/12)^12 - 1)/(mortRate/12)),
   0
)
</f>
        <v>452680.0712</v>
      </c>
      <c r="K619" s="13">
        <f>IFERROR(__xludf.DUMMYFUNCTION("IF(A619="""","""",
   IF(F619&gt;0,
      INDEX(FILTER('RE Portfolio'!L$2:L2000,'RE Portfolio'!D$2:D2000=""BUY""), INT((ROW()-2)/amortYears)+1) - G619,
      INDEX(FILTER('RE Portfolio'!L$2:L2000,'RE Portfolio'!D$2:D2000=""BUY""), INT((ROW()-2)/amortYears)+1"&amp;")
   )
)
"),12469.207747894587)</f>
        <v>12469.20775</v>
      </c>
      <c r="L619" s="15">
        <f>IFERROR(__xludf.DUMMYFUNCTION("IF(A619="""","""",
  INDEX(FILTER('RE Portfolio'!C$2:C2000,'RE Portfolio'!D$2:D2000=""BUY""), INT((ROW()-2)/amortYears)+1)
  * (1 + VALUE(Assumptions!$B$11))^(D619-1)
)
"),1013343.292388401)</f>
        <v>1013343.292</v>
      </c>
    </row>
    <row r="620">
      <c r="A620" s="15">
        <f>IFERROR(__xludf.DUMMYFUNCTION("IFERROR(INDEX(FILTER('RE Portfolio'!A$2:A2000,'RE Portfolio'!D$2:D2000=""BUY""), INT((ROW()-2)/amortYears)+1), )
"),17.0)</f>
        <v>17</v>
      </c>
      <c r="B620" s="15">
        <f>IFERROR(__xludf.DUMMYFUNCTION("IFERROR(INDEX(FILTER('RE Portfolio'!B$2:B2000,'RE Portfolio'!D$2:D2000=""BUY""), INT((ROW()-2)/amortYears)+1), )
"),59.0)</f>
        <v>59</v>
      </c>
      <c r="C620" s="15">
        <f>IFERROR(__xludf.DUMMYFUNCTION("IFERROR(INDEX(FILTER('RE Portfolio'!G$2:G2000,'RE Portfolio'!D$2:D2000=""BUY""), INT((ROW()-2)/amortYears)+1), )
"),533971.1668649034)</f>
        <v>533971.1669</v>
      </c>
      <c r="D620" s="15">
        <f>MOD(ROW()-2, amortYears)+1</f>
        <v>11</v>
      </c>
      <c r="E620" s="15">
        <f t="shared" si="1"/>
        <v>69</v>
      </c>
      <c r="F620" s="16">
        <f t="shared" si="2"/>
        <v>452680.0712</v>
      </c>
      <c r="G620" s="16">
        <f>IF(D620&lt;=mortTerm, -PMT(mortRate/12, mortTerm*12, C620)*12, 0)
</f>
        <v>40500.73201</v>
      </c>
      <c r="H620" s="16">
        <f>IF(D620&lt;=mortTerm, G620 - I620, 0)
</f>
        <v>29088.18505</v>
      </c>
      <c r="I620" s="16">
        <f>IF(D620&lt;=mortTerm, F620 - J620, 0)
</f>
        <v>11412.54696</v>
      </c>
      <c r="J620" s="16">
        <f>IF(D620&lt;=mortTerm,
   F620*(1+mortRate/12)^12 - (-PMT(mortRate/12, mortTerm*12, C620))*(((1+mortRate/12)^12 - 1)/(mortRate/12)),
   0
)
</f>
        <v>441267.5242</v>
      </c>
      <c r="K620" s="13">
        <f>IFERROR(__xludf.DUMMYFUNCTION("IF(A620="""","""",
   IF(F620&gt;0,
      INDEX(FILTER('RE Portfolio'!L$2:L2000,'RE Portfolio'!D$2:D2000=""BUY""), INT((ROW()-2)/amortYears)+1) - G620,
      INDEX(FILTER('RE Portfolio'!L$2:L2000,'RE Portfolio'!D$2:D2000=""BUY""), INT((ROW()-2)/amortYears)+1"&amp;")
   )
)
"),12469.207747894587)</f>
        <v>12469.20775</v>
      </c>
      <c r="L620" s="15">
        <f>IFERROR(__xludf.DUMMYFUNCTION("IF(A620="""","""",
  INDEX(FILTER('RE Portfolio'!C$2:C2000,'RE Portfolio'!D$2:D2000=""BUY""), INT((ROW()-2)/amortYears)+1)
  * (1 + VALUE(Assumptions!$B$11))^(D620-1)
)
"),1053877.024083937)</f>
        <v>1053877.024</v>
      </c>
    </row>
    <row r="621">
      <c r="A621" s="15">
        <f>IFERROR(__xludf.DUMMYFUNCTION("IFERROR(INDEX(FILTER('RE Portfolio'!A$2:A2000,'RE Portfolio'!D$2:D2000=""BUY""), INT((ROW()-2)/amortYears)+1), )
"),17.0)</f>
        <v>17</v>
      </c>
      <c r="B621" s="15">
        <f>IFERROR(__xludf.DUMMYFUNCTION("IFERROR(INDEX(FILTER('RE Portfolio'!B$2:B2000,'RE Portfolio'!D$2:D2000=""BUY""), INT((ROW()-2)/amortYears)+1), )
"),59.0)</f>
        <v>59</v>
      </c>
      <c r="C621" s="15">
        <f>IFERROR(__xludf.DUMMYFUNCTION("IFERROR(INDEX(FILTER('RE Portfolio'!G$2:G2000,'RE Portfolio'!D$2:D2000=""BUY""), INT((ROW()-2)/amortYears)+1), )
"),533971.1668649034)</f>
        <v>533971.1669</v>
      </c>
      <c r="D621" s="15">
        <f>MOD(ROW()-2, amortYears)+1</f>
        <v>12</v>
      </c>
      <c r="E621" s="15">
        <f t="shared" si="1"/>
        <v>70</v>
      </c>
      <c r="F621" s="16">
        <f t="shared" si="2"/>
        <v>441267.5242</v>
      </c>
      <c r="G621" s="16">
        <f>IF(D621&lt;=mortTerm, -PMT(mortRate/12, mortTerm*12, C621)*12, 0)
</f>
        <v>40500.73201</v>
      </c>
      <c r="H621" s="16">
        <f>IF(D621&lt;=mortTerm, G621 - I621, 0)
</f>
        <v>28323.86564</v>
      </c>
      <c r="I621" s="16">
        <f>IF(D621&lt;=mortTerm, F621 - J621, 0)
</f>
        <v>12176.86637</v>
      </c>
      <c r="J621" s="16">
        <f>IF(D621&lt;=mortTerm,
   F621*(1+mortRate/12)^12 - (-PMT(mortRate/12, mortTerm*12, C621))*(((1+mortRate/12)^12 - 1)/(mortRate/12)),
   0
)
</f>
        <v>429090.6578</v>
      </c>
      <c r="K621" s="13">
        <f>IFERROR(__xludf.DUMMYFUNCTION("IF(A621="""","""",
   IF(F621&gt;0,
      INDEX(FILTER('RE Portfolio'!L$2:L2000,'RE Portfolio'!D$2:D2000=""BUY""), INT((ROW()-2)/amortYears)+1) - G621,
      INDEX(FILTER('RE Portfolio'!L$2:L2000,'RE Portfolio'!D$2:D2000=""BUY""), INT((ROW()-2)/amortYears)+1"&amp;")
   )
)
"),12469.207747894587)</f>
        <v>12469.20775</v>
      </c>
      <c r="L621" s="15">
        <f>IFERROR(__xludf.DUMMYFUNCTION("IF(A621="""","""",
  INDEX(FILTER('RE Portfolio'!C$2:C2000,'RE Portfolio'!D$2:D2000=""BUY""), INT((ROW()-2)/amortYears)+1)
  * (1 + VALUE(Assumptions!$B$11))^(D621-1)
)
"),1096032.1050472946)</f>
        <v>1096032.105</v>
      </c>
    </row>
    <row r="622">
      <c r="A622" s="15">
        <f>IFERROR(__xludf.DUMMYFUNCTION("IFERROR(INDEX(FILTER('RE Portfolio'!A$2:A2000,'RE Portfolio'!D$2:D2000=""BUY""), INT((ROW()-2)/amortYears)+1), )
"),17.0)</f>
        <v>17</v>
      </c>
      <c r="B622" s="15">
        <f>IFERROR(__xludf.DUMMYFUNCTION("IFERROR(INDEX(FILTER('RE Portfolio'!B$2:B2000,'RE Portfolio'!D$2:D2000=""BUY""), INT((ROW()-2)/amortYears)+1), )
"),59.0)</f>
        <v>59</v>
      </c>
      <c r="C622" s="15">
        <f>IFERROR(__xludf.DUMMYFUNCTION("IFERROR(INDEX(FILTER('RE Portfolio'!G$2:G2000,'RE Portfolio'!D$2:D2000=""BUY""), INT((ROW()-2)/amortYears)+1), )
"),533971.1668649034)</f>
        <v>533971.1669</v>
      </c>
      <c r="D622" s="15">
        <f>MOD(ROW()-2, amortYears)+1</f>
        <v>13</v>
      </c>
      <c r="E622" s="15">
        <f t="shared" si="1"/>
        <v>71</v>
      </c>
      <c r="F622" s="16">
        <f t="shared" si="2"/>
        <v>429090.6578</v>
      </c>
      <c r="G622" s="16">
        <f>IF(D622&lt;=mortTerm, -PMT(mortRate/12, mortTerm*12, C622)*12, 0)
</f>
        <v>40500.73201</v>
      </c>
      <c r="H622" s="16">
        <f>IF(D622&lt;=mortTerm, G622 - I622, 0)
</f>
        <v>27508.35835</v>
      </c>
      <c r="I622" s="16">
        <f>IF(D622&lt;=mortTerm, F622 - J622, 0)
</f>
        <v>12992.37366</v>
      </c>
      <c r="J622" s="16">
        <f>IF(D622&lt;=mortTerm,
   F622*(1+mortRate/12)^12 - (-PMT(mortRate/12, mortTerm*12, C622))*(((1+mortRate/12)^12 - 1)/(mortRate/12)),
   0
)
</f>
        <v>416098.2842</v>
      </c>
      <c r="K622" s="13">
        <f>IFERROR(__xludf.DUMMYFUNCTION("IF(A622="""","""",
   IF(F622&gt;0,
      INDEX(FILTER('RE Portfolio'!L$2:L2000,'RE Portfolio'!D$2:D2000=""BUY""), INT((ROW()-2)/amortYears)+1) - G622,
      INDEX(FILTER('RE Portfolio'!L$2:L2000,'RE Portfolio'!D$2:D2000=""BUY""), INT((ROW()-2)/amortYears)+1"&amp;")
   )
)
"),12469.207747894587)</f>
        <v>12469.20775</v>
      </c>
      <c r="L622" s="15">
        <f>IFERROR(__xludf.DUMMYFUNCTION("IF(A622="""","""",
  INDEX(FILTER('RE Portfolio'!C$2:C2000,'RE Portfolio'!D$2:D2000=""BUY""), INT((ROW()-2)/amortYears)+1)
  * (1 + VALUE(Assumptions!$B$11))^(D622-1)
)
"),1139873.3892491865)</f>
        <v>1139873.389</v>
      </c>
    </row>
    <row r="623">
      <c r="A623" s="15">
        <f>IFERROR(__xludf.DUMMYFUNCTION("IFERROR(INDEX(FILTER('RE Portfolio'!A$2:A2000,'RE Portfolio'!D$2:D2000=""BUY""), INT((ROW()-2)/amortYears)+1), )
"),17.0)</f>
        <v>17</v>
      </c>
      <c r="B623" s="15">
        <f>IFERROR(__xludf.DUMMYFUNCTION("IFERROR(INDEX(FILTER('RE Portfolio'!B$2:B2000,'RE Portfolio'!D$2:D2000=""BUY""), INT((ROW()-2)/amortYears)+1), )
"),59.0)</f>
        <v>59</v>
      </c>
      <c r="C623" s="15">
        <f>IFERROR(__xludf.DUMMYFUNCTION("IFERROR(INDEX(FILTER('RE Portfolio'!G$2:G2000,'RE Portfolio'!D$2:D2000=""BUY""), INT((ROW()-2)/amortYears)+1), )
"),533971.1668649034)</f>
        <v>533971.1669</v>
      </c>
      <c r="D623" s="15">
        <f>MOD(ROW()-2, amortYears)+1</f>
        <v>14</v>
      </c>
      <c r="E623" s="15">
        <f t="shared" si="1"/>
        <v>72</v>
      </c>
      <c r="F623" s="16">
        <f t="shared" si="2"/>
        <v>416098.2842</v>
      </c>
      <c r="G623" s="16">
        <f>IF(D623&lt;=mortTerm, -PMT(mortRate/12, mortTerm*12, C623)*12, 0)
</f>
        <v>40500.73201</v>
      </c>
      <c r="H623" s="16">
        <f>IF(D623&lt;=mortTerm, G623 - I623, 0)
</f>
        <v>26638.23502</v>
      </c>
      <c r="I623" s="16">
        <f>IF(D623&lt;=mortTerm, F623 - J623, 0)
</f>
        <v>13862.49698</v>
      </c>
      <c r="J623" s="16">
        <f>IF(D623&lt;=mortTerm,
   F623*(1+mortRate/12)^12 - (-PMT(mortRate/12, mortTerm*12, C623))*(((1+mortRate/12)^12 - 1)/(mortRate/12)),
   0
)
</f>
        <v>402235.7872</v>
      </c>
      <c r="K623" s="13">
        <f>IFERROR(__xludf.DUMMYFUNCTION("IF(A623="""","""",
   IF(F623&gt;0,
      INDEX(FILTER('RE Portfolio'!L$2:L2000,'RE Portfolio'!D$2:D2000=""BUY""), INT((ROW()-2)/amortYears)+1) - G623,
      INDEX(FILTER('RE Portfolio'!L$2:L2000,'RE Portfolio'!D$2:D2000=""BUY""), INT((ROW()-2)/amortYears)+1"&amp;")
   )
)
"),12469.207747894587)</f>
        <v>12469.20775</v>
      </c>
      <c r="L623" s="15">
        <f>IFERROR(__xludf.DUMMYFUNCTION("IF(A623="""","""",
  INDEX(FILTER('RE Portfolio'!C$2:C2000,'RE Portfolio'!D$2:D2000=""BUY""), INT((ROW()-2)/amortYears)+1)
  * (1 + VALUE(Assumptions!$B$11))^(D623-1)
)
"),1185468.324819154)</f>
        <v>1185468.325</v>
      </c>
    </row>
    <row r="624">
      <c r="A624" s="15">
        <f>IFERROR(__xludf.DUMMYFUNCTION("IFERROR(INDEX(FILTER('RE Portfolio'!A$2:A2000,'RE Portfolio'!D$2:D2000=""BUY""), INT((ROW()-2)/amortYears)+1), )
"),17.0)</f>
        <v>17</v>
      </c>
      <c r="B624" s="15">
        <f>IFERROR(__xludf.DUMMYFUNCTION("IFERROR(INDEX(FILTER('RE Portfolio'!B$2:B2000,'RE Portfolio'!D$2:D2000=""BUY""), INT((ROW()-2)/amortYears)+1), )
"),59.0)</f>
        <v>59</v>
      </c>
      <c r="C624" s="15">
        <f>IFERROR(__xludf.DUMMYFUNCTION("IFERROR(INDEX(FILTER('RE Portfolio'!G$2:G2000,'RE Portfolio'!D$2:D2000=""BUY""), INT((ROW()-2)/amortYears)+1), )
"),533971.1668649034)</f>
        <v>533971.1669</v>
      </c>
      <c r="D624" s="15">
        <f>MOD(ROW()-2, amortYears)+1</f>
        <v>15</v>
      </c>
      <c r="E624" s="15">
        <f t="shared" si="1"/>
        <v>73</v>
      </c>
      <c r="F624" s="16">
        <f t="shared" si="2"/>
        <v>402235.7872</v>
      </c>
      <c r="G624" s="16">
        <f>IF(D624&lt;=mortTerm, -PMT(mortRate/12, mortTerm*12, C624)*12, 0)
</f>
        <v>40500.73201</v>
      </c>
      <c r="H624" s="16">
        <f>IF(D624&lt;=mortTerm, G624 - I624, 0)
</f>
        <v>25709.83793</v>
      </c>
      <c r="I624" s="16">
        <f>IF(D624&lt;=mortTerm, F624 - J624, 0)
</f>
        <v>14790.89408</v>
      </c>
      <c r="J624" s="16">
        <f>IF(D624&lt;=mortTerm,
   F624*(1+mortRate/12)^12 - (-PMT(mortRate/12, mortTerm*12, C624))*(((1+mortRate/12)^12 - 1)/(mortRate/12)),
   0
)
</f>
        <v>387444.8931</v>
      </c>
      <c r="K624" s="13">
        <f>IFERROR(__xludf.DUMMYFUNCTION("IF(A624="""","""",
   IF(F624&gt;0,
      INDEX(FILTER('RE Portfolio'!L$2:L2000,'RE Portfolio'!D$2:D2000=""BUY""), INT((ROW()-2)/amortYears)+1) - G624,
      INDEX(FILTER('RE Portfolio'!L$2:L2000,'RE Portfolio'!D$2:D2000=""BUY""), INT((ROW()-2)/amortYears)+1"&amp;")
   )
)
"),12469.207747894587)</f>
        <v>12469.20775</v>
      </c>
      <c r="L624" s="15">
        <f>IFERROR(__xludf.DUMMYFUNCTION("IF(A624="""","""",
  INDEX(FILTER('RE Portfolio'!C$2:C2000,'RE Portfolio'!D$2:D2000=""BUY""), INT((ROW()-2)/amortYears)+1)
  * (1 + VALUE(Assumptions!$B$11))^(D624-1)
)
"),1232887.05781192)</f>
        <v>1232887.058</v>
      </c>
    </row>
    <row r="625">
      <c r="A625" s="15">
        <f>IFERROR(__xludf.DUMMYFUNCTION("IFERROR(INDEX(FILTER('RE Portfolio'!A$2:A2000,'RE Portfolio'!D$2:D2000=""BUY""), INT((ROW()-2)/amortYears)+1), )
"),17.0)</f>
        <v>17</v>
      </c>
      <c r="B625" s="15">
        <f>IFERROR(__xludf.DUMMYFUNCTION("IFERROR(INDEX(FILTER('RE Portfolio'!B$2:B2000,'RE Portfolio'!D$2:D2000=""BUY""), INT((ROW()-2)/amortYears)+1), )
"),59.0)</f>
        <v>59</v>
      </c>
      <c r="C625" s="15">
        <f>IFERROR(__xludf.DUMMYFUNCTION("IFERROR(INDEX(FILTER('RE Portfolio'!G$2:G2000,'RE Portfolio'!D$2:D2000=""BUY""), INT((ROW()-2)/amortYears)+1), )
"),533971.1668649034)</f>
        <v>533971.1669</v>
      </c>
      <c r="D625" s="15">
        <f>MOD(ROW()-2, amortYears)+1</f>
        <v>16</v>
      </c>
      <c r="E625" s="15">
        <f t="shared" si="1"/>
        <v>74</v>
      </c>
      <c r="F625" s="16">
        <f t="shared" si="2"/>
        <v>387444.8931</v>
      </c>
      <c r="G625" s="16">
        <f>IF(D625&lt;=mortTerm, -PMT(mortRate/12, mortTerm*12, C625)*12, 0)
</f>
        <v>40500.73201</v>
      </c>
      <c r="H625" s="16">
        <f>IF(D625&lt;=mortTerm, G625 - I625, 0)
</f>
        <v>24719.26436</v>
      </c>
      <c r="I625" s="16">
        <f>IF(D625&lt;=mortTerm, F625 - J625, 0)
</f>
        <v>15781.46765</v>
      </c>
      <c r="J625" s="16">
        <f>IF(D625&lt;=mortTerm,
   F625*(1+mortRate/12)^12 - (-PMT(mortRate/12, mortTerm*12, C625))*(((1+mortRate/12)^12 - 1)/(mortRate/12)),
   0
)
</f>
        <v>371663.4255</v>
      </c>
      <c r="K625" s="13">
        <f>IFERROR(__xludf.DUMMYFUNCTION("IF(A625="""","""",
   IF(F625&gt;0,
      INDEX(FILTER('RE Portfolio'!L$2:L2000,'RE Portfolio'!D$2:D2000=""BUY""), INT((ROW()-2)/amortYears)+1) - G625,
      INDEX(FILTER('RE Portfolio'!L$2:L2000,'RE Portfolio'!D$2:D2000=""BUY""), INT((ROW()-2)/amortYears)+1"&amp;")
   )
)
"),12469.207747894587)</f>
        <v>12469.20775</v>
      </c>
      <c r="L625" s="15">
        <f>IFERROR(__xludf.DUMMYFUNCTION("IF(A625="""","""",
  INDEX(FILTER('RE Portfolio'!C$2:C2000,'RE Portfolio'!D$2:D2000=""BUY""), INT((ROW()-2)/amortYears)+1)
  * (1 + VALUE(Assumptions!$B$11))^(D625-1)
)
"),1282202.540124397)</f>
        <v>1282202.54</v>
      </c>
    </row>
    <row r="626">
      <c r="A626" s="15">
        <f>IFERROR(__xludf.DUMMYFUNCTION("IFERROR(INDEX(FILTER('RE Portfolio'!A$2:A2000,'RE Portfolio'!D$2:D2000=""BUY""), INT((ROW()-2)/amortYears)+1), )
"),17.0)</f>
        <v>17</v>
      </c>
      <c r="B626" s="15">
        <f>IFERROR(__xludf.DUMMYFUNCTION("IFERROR(INDEX(FILTER('RE Portfolio'!B$2:B2000,'RE Portfolio'!D$2:D2000=""BUY""), INT((ROW()-2)/amortYears)+1), )
"),59.0)</f>
        <v>59</v>
      </c>
      <c r="C626" s="15">
        <f>IFERROR(__xludf.DUMMYFUNCTION("IFERROR(INDEX(FILTER('RE Portfolio'!G$2:G2000,'RE Portfolio'!D$2:D2000=""BUY""), INT((ROW()-2)/amortYears)+1), )
"),533971.1668649034)</f>
        <v>533971.1669</v>
      </c>
      <c r="D626" s="15">
        <f>MOD(ROW()-2, amortYears)+1</f>
        <v>17</v>
      </c>
      <c r="E626" s="15">
        <f t="shared" si="1"/>
        <v>75</v>
      </c>
      <c r="F626" s="16">
        <f t="shared" si="2"/>
        <v>371663.4255</v>
      </c>
      <c r="G626" s="16">
        <f>IF(D626&lt;=mortTerm, -PMT(mortRate/12, mortTerm*12, C626)*12, 0)
</f>
        <v>40500.73201</v>
      </c>
      <c r="H626" s="16">
        <f>IF(D626&lt;=mortTerm, G626 - I626, 0)
</f>
        <v>23662.35024</v>
      </c>
      <c r="I626" s="16">
        <f>IF(D626&lt;=mortTerm, F626 - J626, 0)
</f>
        <v>16838.38176</v>
      </c>
      <c r="J626" s="16">
        <f>IF(D626&lt;=mortTerm,
   F626*(1+mortRate/12)^12 - (-PMT(mortRate/12, mortTerm*12, C626))*(((1+mortRate/12)^12 - 1)/(mortRate/12)),
   0
)
</f>
        <v>354825.0437</v>
      </c>
      <c r="K626" s="13">
        <f>IFERROR(__xludf.DUMMYFUNCTION("IF(A626="""","""",
   IF(F626&gt;0,
      INDEX(FILTER('RE Portfolio'!L$2:L2000,'RE Portfolio'!D$2:D2000=""BUY""), INT((ROW()-2)/amortYears)+1) - G626,
      INDEX(FILTER('RE Portfolio'!L$2:L2000,'RE Portfolio'!D$2:D2000=""BUY""), INT((ROW()-2)/amortYears)+1"&amp;")
   )
)
"),12469.207747894587)</f>
        <v>12469.20775</v>
      </c>
      <c r="L626" s="15">
        <f>IFERROR(__xludf.DUMMYFUNCTION("IF(A626="""","""",
  INDEX(FILTER('RE Portfolio'!C$2:C2000,'RE Portfolio'!D$2:D2000=""BUY""), INT((ROW()-2)/amortYears)+1)
  * (1 + VALUE(Assumptions!$B$11))^(D626-1)
)
"),1333490.6417293728)</f>
        <v>1333490.642</v>
      </c>
    </row>
    <row r="627">
      <c r="A627" s="15">
        <f>IFERROR(__xludf.DUMMYFUNCTION("IFERROR(INDEX(FILTER('RE Portfolio'!A$2:A2000,'RE Portfolio'!D$2:D2000=""BUY""), INT((ROW()-2)/amortYears)+1), )
"),17.0)</f>
        <v>17</v>
      </c>
      <c r="B627" s="15">
        <f>IFERROR(__xludf.DUMMYFUNCTION("IFERROR(INDEX(FILTER('RE Portfolio'!B$2:B2000,'RE Portfolio'!D$2:D2000=""BUY""), INT((ROW()-2)/amortYears)+1), )
"),59.0)</f>
        <v>59</v>
      </c>
      <c r="C627" s="15">
        <f>IFERROR(__xludf.DUMMYFUNCTION("IFERROR(INDEX(FILTER('RE Portfolio'!G$2:G2000,'RE Portfolio'!D$2:D2000=""BUY""), INT((ROW()-2)/amortYears)+1), )
"),533971.1668649034)</f>
        <v>533971.1669</v>
      </c>
      <c r="D627" s="15">
        <f>MOD(ROW()-2, amortYears)+1</f>
        <v>18</v>
      </c>
      <c r="E627" s="15">
        <f t="shared" si="1"/>
        <v>76</v>
      </c>
      <c r="F627" s="16">
        <f t="shared" si="2"/>
        <v>354825.0437</v>
      </c>
      <c r="G627" s="16">
        <f>IF(D627&lt;=mortTerm, -PMT(mortRate/12, mortTerm*12, C627)*12, 0)
</f>
        <v>40500.73201</v>
      </c>
      <c r="H627" s="16">
        <f>IF(D627&lt;=mortTerm, G627 - I627, 0)
</f>
        <v>22534.65263</v>
      </c>
      <c r="I627" s="16">
        <f>IF(D627&lt;=mortTerm, F627 - J627, 0)
</f>
        <v>17966.07938</v>
      </c>
      <c r="J627" s="16">
        <f>IF(D627&lt;=mortTerm,
   F627*(1+mortRate/12)^12 - (-PMT(mortRate/12, mortTerm*12, C627))*(((1+mortRate/12)^12 - 1)/(mortRate/12)),
   0
)
</f>
        <v>336858.9643</v>
      </c>
      <c r="K627" s="13">
        <f>IFERROR(__xludf.DUMMYFUNCTION("IF(A627="""","""",
   IF(F627&gt;0,
      INDEX(FILTER('RE Portfolio'!L$2:L2000,'RE Portfolio'!D$2:D2000=""BUY""), INT((ROW()-2)/amortYears)+1) - G627,
      INDEX(FILTER('RE Portfolio'!L$2:L2000,'RE Portfolio'!D$2:D2000=""BUY""), INT((ROW()-2)/amortYears)+1"&amp;")
   )
)
"),12469.207747894587)</f>
        <v>12469.20775</v>
      </c>
      <c r="L627" s="15">
        <f>IFERROR(__xludf.DUMMYFUNCTION("IF(A627="""","""",
  INDEX(FILTER('RE Portfolio'!C$2:C2000,'RE Portfolio'!D$2:D2000=""BUY""), INT((ROW()-2)/amortYears)+1)
  * (1 + VALUE(Assumptions!$B$11))^(D627-1)
)
"),1386830.2673985478)</f>
        <v>1386830.267</v>
      </c>
    </row>
    <row r="628">
      <c r="A628" s="15">
        <f>IFERROR(__xludf.DUMMYFUNCTION("IFERROR(INDEX(FILTER('RE Portfolio'!A$2:A2000,'RE Portfolio'!D$2:D2000=""BUY""), INT((ROW()-2)/amortYears)+1), )
"),17.0)</f>
        <v>17</v>
      </c>
      <c r="B628" s="15">
        <f>IFERROR(__xludf.DUMMYFUNCTION("IFERROR(INDEX(FILTER('RE Portfolio'!B$2:B2000,'RE Portfolio'!D$2:D2000=""BUY""), INT((ROW()-2)/amortYears)+1), )
"),59.0)</f>
        <v>59</v>
      </c>
      <c r="C628" s="15">
        <f>IFERROR(__xludf.DUMMYFUNCTION("IFERROR(INDEX(FILTER('RE Portfolio'!G$2:G2000,'RE Portfolio'!D$2:D2000=""BUY""), INT((ROW()-2)/amortYears)+1), )
"),533971.1668649034)</f>
        <v>533971.1669</v>
      </c>
      <c r="D628" s="15">
        <f>MOD(ROW()-2, amortYears)+1</f>
        <v>19</v>
      </c>
      <c r="E628" s="15">
        <f t="shared" si="1"/>
        <v>77</v>
      </c>
      <c r="F628" s="16">
        <f t="shared" si="2"/>
        <v>336858.9643</v>
      </c>
      <c r="G628" s="16">
        <f>IF(D628&lt;=mortTerm, -PMT(mortRate/12, mortTerm*12, C628)*12, 0)
</f>
        <v>40500.73201</v>
      </c>
      <c r="H628" s="16">
        <f>IF(D628&lt;=mortTerm, G628 - I628, 0)
</f>
        <v>21331.43102</v>
      </c>
      <c r="I628" s="16">
        <f>IF(D628&lt;=mortTerm, F628 - J628, 0)
</f>
        <v>19169.30099</v>
      </c>
      <c r="J628" s="16">
        <f>IF(D628&lt;=mortTerm,
   F628*(1+mortRate/12)^12 - (-PMT(mortRate/12, mortTerm*12, C628))*(((1+mortRate/12)^12 - 1)/(mortRate/12)),
   0
)
</f>
        <v>317689.6633</v>
      </c>
      <c r="K628" s="13">
        <f>IFERROR(__xludf.DUMMYFUNCTION("IF(A628="""","""",
   IF(F628&gt;0,
      INDEX(FILTER('RE Portfolio'!L$2:L2000,'RE Portfolio'!D$2:D2000=""BUY""), INT((ROW()-2)/amortYears)+1) - G628,
      INDEX(FILTER('RE Portfolio'!L$2:L2000,'RE Portfolio'!D$2:D2000=""BUY""), INT((ROW()-2)/amortYears)+1"&amp;")
   )
)
"),12469.207747894587)</f>
        <v>12469.20775</v>
      </c>
      <c r="L628" s="15">
        <f>IFERROR(__xludf.DUMMYFUNCTION("IF(A628="""","""",
  INDEX(FILTER('RE Portfolio'!C$2:C2000,'RE Portfolio'!D$2:D2000=""BUY""), INT((ROW()-2)/amortYears)+1)
  * (1 + VALUE(Assumptions!$B$11))^(D628-1)
)
"),1442303.47809449)</f>
        <v>1442303.478</v>
      </c>
    </row>
    <row r="629">
      <c r="A629" s="15">
        <f>IFERROR(__xludf.DUMMYFUNCTION("IFERROR(INDEX(FILTER('RE Portfolio'!A$2:A2000,'RE Portfolio'!D$2:D2000=""BUY""), INT((ROW()-2)/amortYears)+1), )
"),17.0)</f>
        <v>17</v>
      </c>
      <c r="B629" s="15">
        <f>IFERROR(__xludf.DUMMYFUNCTION("IFERROR(INDEX(FILTER('RE Portfolio'!B$2:B2000,'RE Portfolio'!D$2:D2000=""BUY""), INT((ROW()-2)/amortYears)+1), )
"),59.0)</f>
        <v>59</v>
      </c>
      <c r="C629" s="15">
        <f>IFERROR(__xludf.DUMMYFUNCTION("IFERROR(INDEX(FILTER('RE Portfolio'!G$2:G2000,'RE Portfolio'!D$2:D2000=""BUY""), INT((ROW()-2)/amortYears)+1), )
"),533971.1668649034)</f>
        <v>533971.1669</v>
      </c>
      <c r="D629" s="15">
        <f>MOD(ROW()-2, amortYears)+1</f>
        <v>20</v>
      </c>
      <c r="E629" s="15">
        <f t="shared" si="1"/>
        <v>78</v>
      </c>
      <c r="F629" s="16">
        <f t="shared" si="2"/>
        <v>317689.6633</v>
      </c>
      <c r="G629" s="16">
        <f>IF(D629&lt;=mortTerm, -PMT(mortRate/12, mortTerm*12, C629)*12, 0)
</f>
        <v>40500.73201</v>
      </c>
      <c r="H629" s="16">
        <f>IF(D629&lt;=mortTerm, G629 - I629, 0)
</f>
        <v>20047.62743</v>
      </c>
      <c r="I629" s="16">
        <f>IF(D629&lt;=mortTerm, F629 - J629, 0)
</f>
        <v>20453.10457</v>
      </c>
      <c r="J629" s="16">
        <f>IF(D629&lt;=mortTerm,
   F629*(1+mortRate/12)^12 - (-PMT(mortRate/12, mortTerm*12, C629))*(((1+mortRate/12)^12 - 1)/(mortRate/12)),
   0
)
</f>
        <v>297236.5588</v>
      </c>
      <c r="K629" s="13">
        <f>IFERROR(__xludf.DUMMYFUNCTION("IF(A629="""","""",
   IF(F629&gt;0,
      INDEX(FILTER('RE Portfolio'!L$2:L2000,'RE Portfolio'!D$2:D2000=""BUY""), INT((ROW()-2)/amortYears)+1) - G629,
      INDEX(FILTER('RE Portfolio'!L$2:L2000,'RE Portfolio'!D$2:D2000=""BUY""), INT((ROW()-2)/amortYears)+1"&amp;")
   )
)
"),12469.207747894587)</f>
        <v>12469.20775</v>
      </c>
      <c r="L629" s="15">
        <f>IFERROR(__xludf.DUMMYFUNCTION("IF(A629="""","""",
  INDEX(FILTER('RE Portfolio'!C$2:C2000,'RE Portfolio'!D$2:D2000=""BUY""), INT((ROW()-2)/amortYears)+1)
  * (1 + VALUE(Assumptions!$B$11))^(D629-1)
)
"),1499995.6172182695)</f>
        <v>1499995.617</v>
      </c>
    </row>
    <row r="630">
      <c r="A630" s="15">
        <f>IFERROR(__xludf.DUMMYFUNCTION("IFERROR(INDEX(FILTER('RE Portfolio'!A$2:A2000,'RE Portfolio'!D$2:D2000=""BUY""), INT((ROW()-2)/amortYears)+1), )
"),17.0)</f>
        <v>17</v>
      </c>
      <c r="B630" s="15">
        <f>IFERROR(__xludf.DUMMYFUNCTION("IFERROR(INDEX(FILTER('RE Portfolio'!B$2:B2000,'RE Portfolio'!D$2:D2000=""BUY""), INT((ROW()-2)/amortYears)+1), )
"),59.0)</f>
        <v>59</v>
      </c>
      <c r="C630" s="15">
        <f>IFERROR(__xludf.DUMMYFUNCTION("IFERROR(INDEX(FILTER('RE Portfolio'!G$2:G2000,'RE Portfolio'!D$2:D2000=""BUY""), INT((ROW()-2)/amortYears)+1), )
"),533971.1668649034)</f>
        <v>533971.1669</v>
      </c>
      <c r="D630" s="15">
        <f>MOD(ROW()-2, amortYears)+1</f>
        <v>21</v>
      </c>
      <c r="E630" s="15">
        <f t="shared" si="1"/>
        <v>79</v>
      </c>
      <c r="F630" s="16">
        <f t="shared" si="2"/>
        <v>297236.5588</v>
      </c>
      <c r="G630" s="16">
        <f>IF(D630&lt;=mortTerm, -PMT(mortRate/12, mortTerm*12, C630)*12, 0)
</f>
        <v>40500.73201</v>
      </c>
      <c r="H630" s="16">
        <f>IF(D630&lt;=mortTerm, G630 - I630, 0)
</f>
        <v>18677.84514</v>
      </c>
      <c r="I630" s="16">
        <f>IF(D630&lt;=mortTerm, F630 - J630, 0)
</f>
        <v>21822.88687</v>
      </c>
      <c r="J630" s="16">
        <f>IF(D630&lt;=mortTerm,
   F630*(1+mortRate/12)^12 - (-PMT(mortRate/12, mortTerm*12, C630))*(((1+mortRate/12)^12 - 1)/(mortRate/12)),
   0
)
</f>
        <v>275413.6719</v>
      </c>
      <c r="K630" s="13">
        <f>IFERROR(__xludf.DUMMYFUNCTION("IF(A630="""","""",
   IF(F630&gt;0,
      INDEX(FILTER('RE Portfolio'!L$2:L2000,'RE Portfolio'!D$2:D2000=""BUY""), INT((ROW()-2)/amortYears)+1) - G630,
      INDEX(FILTER('RE Portfolio'!L$2:L2000,'RE Portfolio'!D$2:D2000=""BUY""), INT((ROW()-2)/amortYears)+1"&amp;")
   )
)
"),12469.207747894587)</f>
        <v>12469.20775</v>
      </c>
      <c r="L630" s="15">
        <f>IFERROR(__xludf.DUMMYFUNCTION("IF(A630="""","""",
  INDEX(FILTER('RE Portfolio'!C$2:C2000,'RE Portfolio'!D$2:D2000=""BUY""), INT((ROW()-2)/amortYears)+1)
  * (1 + VALUE(Assumptions!$B$11))^(D630-1)
)
"),1559995.4419070003)</f>
        <v>1559995.442</v>
      </c>
    </row>
    <row r="631">
      <c r="A631" s="15">
        <f>IFERROR(__xludf.DUMMYFUNCTION("IFERROR(INDEX(FILTER('RE Portfolio'!A$2:A2000,'RE Portfolio'!D$2:D2000=""BUY""), INT((ROW()-2)/amortYears)+1), )
"),17.0)</f>
        <v>17</v>
      </c>
      <c r="B631" s="15">
        <f>IFERROR(__xludf.DUMMYFUNCTION("IFERROR(INDEX(FILTER('RE Portfolio'!B$2:B2000,'RE Portfolio'!D$2:D2000=""BUY""), INT((ROW()-2)/amortYears)+1), )
"),59.0)</f>
        <v>59</v>
      </c>
      <c r="C631" s="15">
        <f>IFERROR(__xludf.DUMMYFUNCTION("IFERROR(INDEX(FILTER('RE Portfolio'!G$2:G2000,'RE Portfolio'!D$2:D2000=""BUY""), INT((ROW()-2)/amortYears)+1), )
"),533971.1668649034)</f>
        <v>533971.1669</v>
      </c>
      <c r="D631" s="15">
        <f>MOD(ROW()-2, amortYears)+1</f>
        <v>22</v>
      </c>
      <c r="E631" s="15">
        <f t="shared" si="1"/>
        <v>80</v>
      </c>
      <c r="F631" s="16">
        <f t="shared" si="2"/>
        <v>275413.6719</v>
      </c>
      <c r="G631" s="16">
        <f>IF(D631&lt;=mortTerm, -PMT(mortRate/12, mortTerm*12, C631)*12, 0)
</f>
        <v>40500.73201</v>
      </c>
      <c r="H631" s="16">
        <f>IF(D631&lt;=mortTerm, G631 - I631, 0)
</f>
        <v>17216.32599</v>
      </c>
      <c r="I631" s="16">
        <f>IF(D631&lt;=mortTerm, F631 - J631, 0)
</f>
        <v>23284.40602</v>
      </c>
      <c r="J631" s="16">
        <f>IF(D631&lt;=mortTerm,
   F631*(1+mortRate/12)^12 - (-PMT(mortRate/12, mortTerm*12, C631))*(((1+mortRate/12)^12 - 1)/(mortRate/12)),
   0
)
</f>
        <v>252129.2659</v>
      </c>
      <c r="K631" s="13">
        <f>IFERROR(__xludf.DUMMYFUNCTION("IF(A631="""","""",
   IF(F631&gt;0,
      INDEX(FILTER('RE Portfolio'!L$2:L2000,'RE Portfolio'!D$2:D2000=""BUY""), INT((ROW()-2)/amortYears)+1) - G631,
      INDEX(FILTER('RE Portfolio'!L$2:L2000,'RE Portfolio'!D$2:D2000=""BUY""), INT((ROW()-2)/amortYears)+1"&amp;")
   )
)
"),12469.207747894587)</f>
        <v>12469.20775</v>
      </c>
      <c r="L631" s="15">
        <f>IFERROR(__xludf.DUMMYFUNCTION("IF(A631="""","""",
  INDEX(FILTER('RE Portfolio'!C$2:C2000,'RE Portfolio'!D$2:D2000=""BUY""), INT((ROW()-2)/amortYears)+1)
  * (1 + VALUE(Assumptions!$B$11))^(D631-1)
)
"),1622395.2595832804)</f>
        <v>1622395.26</v>
      </c>
    </row>
    <row r="632">
      <c r="A632" s="15">
        <f>IFERROR(__xludf.DUMMYFUNCTION("IFERROR(INDEX(FILTER('RE Portfolio'!A$2:A2000,'RE Portfolio'!D$2:D2000=""BUY""), INT((ROW()-2)/amortYears)+1), )
"),17.0)</f>
        <v>17</v>
      </c>
      <c r="B632" s="15">
        <f>IFERROR(__xludf.DUMMYFUNCTION("IFERROR(INDEX(FILTER('RE Portfolio'!B$2:B2000,'RE Portfolio'!D$2:D2000=""BUY""), INT((ROW()-2)/amortYears)+1), )
"),59.0)</f>
        <v>59</v>
      </c>
      <c r="C632" s="15">
        <f>IFERROR(__xludf.DUMMYFUNCTION("IFERROR(INDEX(FILTER('RE Portfolio'!G$2:G2000,'RE Portfolio'!D$2:D2000=""BUY""), INT((ROW()-2)/amortYears)+1), )
"),533971.1668649034)</f>
        <v>533971.1669</v>
      </c>
      <c r="D632" s="15">
        <f>MOD(ROW()-2, amortYears)+1</f>
        <v>23</v>
      </c>
      <c r="E632" s="15">
        <f t="shared" si="1"/>
        <v>81</v>
      </c>
      <c r="F632" s="16">
        <f t="shared" si="2"/>
        <v>252129.2659</v>
      </c>
      <c r="G632" s="16">
        <f>IF(D632&lt;=mortTerm, -PMT(mortRate/12, mortTerm*12, C632)*12, 0)
</f>
        <v>40500.73201</v>
      </c>
      <c r="H632" s="16">
        <f>IF(D632&lt;=mortTerm, G632 - I632, 0)
</f>
        <v>15656.9262</v>
      </c>
      <c r="I632" s="16">
        <f>IF(D632&lt;=mortTerm, F632 - J632, 0)
</f>
        <v>24843.80581</v>
      </c>
      <c r="J632" s="16">
        <f>IF(D632&lt;=mortTerm,
   F632*(1+mortRate/12)^12 - (-PMT(mortRate/12, mortTerm*12, C632))*(((1+mortRate/12)^12 - 1)/(mortRate/12)),
   0
)
</f>
        <v>227285.4601</v>
      </c>
      <c r="K632" s="13">
        <f>IFERROR(__xludf.DUMMYFUNCTION("IF(A632="""","""",
   IF(F632&gt;0,
      INDEX(FILTER('RE Portfolio'!L$2:L2000,'RE Portfolio'!D$2:D2000=""BUY""), INT((ROW()-2)/amortYears)+1) - G632,
      INDEX(FILTER('RE Portfolio'!L$2:L2000,'RE Portfolio'!D$2:D2000=""BUY""), INT((ROW()-2)/amortYears)+1"&amp;")
   )
)
"),12469.207747894587)</f>
        <v>12469.20775</v>
      </c>
      <c r="L632" s="15">
        <f>IFERROR(__xludf.DUMMYFUNCTION("IF(A632="""","""",
  INDEX(FILTER('RE Portfolio'!C$2:C2000,'RE Portfolio'!D$2:D2000=""BUY""), INT((ROW()-2)/amortYears)+1)
  * (1 + VALUE(Assumptions!$B$11))^(D632-1)
)
"),1687291.0699666117)</f>
        <v>1687291.07</v>
      </c>
    </row>
    <row r="633">
      <c r="A633" s="15">
        <f>IFERROR(__xludf.DUMMYFUNCTION("IFERROR(INDEX(FILTER('RE Portfolio'!A$2:A2000,'RE Portfolio'!D$2:D2000=""BUY""), INT((ROW()-2)/amortYears)+1), )
"),17.0)</f>
        <v>17</v>
      </c>
      <c r="B633" s="15">
        <f>IFERROR(__xludf.DUMMYFUNCTION("IFERROR(INDEX(FILTER('RE Portfolio'!B$2:B2000,'RE Portfolio'!D$2:D2000=""BUY""), INT((ROW()-2)/amortYears)+1), )
"),59.0)</f>
        <v>59</v>
      </c>
      <c r="C633" s="15">
        <f>IFERROR(__xludf.DUMMYFUNCTION("IFERROR(INDEX(FILTER('RE Portfolio'!G$2:G2000,'RE Portfolio'!D$2:D2000=""BUY""), INT((ROW()-2)/amortYears)+1), )
"),533971.1668649034)</f>
        <v>533971.1669</v>
      </c>
      <c r="D633" s="15">
        <f>MOD(ROW()-2, amortYears)+1</f>
        <v>24</v>
      </c>
      <c r="E633" s="15">
        <f t="shared" si="1"/>
        <v>82</v>
      </c>
      <c r="F633" s="16">
        <f t="shared" si="2"/>
        <v>227285.4601</v>
      </c>
      <c r="G633" s="16">
        <f>IF(D633&lt;=mortTerm, -PMT(mortRate/12, mortTerm*12, C633)*12, 0)
</f>
        <v>40500.73201</v>
      </c>
      <c r="H633" s="16">
        <f>IF(D633&lt;=mortTerm, G633 - I633, 0)
</f>
        <v>13993.09051</v>
      </c>
      <c r="I633" s="16">
        <f>IF(D633&lt;=mortTerm, F633 - J633, 0)
</f>
        <v>26507.6415</v>
      </c>
      <c r="J633" s="16">
        <f>IF(D633&lt;=mortTerm,
   F633*(1+mortRate/12)^12 - (-PMT(mortRate/12, mortTerm*12, C633))*(((1+mortRate/12)^12 - 1)/(mortRate/12)),
   0
)
</f>
        <v>200777.8186</v>
      </c>
      <c r="K633" s="13">
        <f>IFERROR(__xludf.DUMMYFUNCTION("IF(A633="""","""",
   IF(F633&gt;0,
      INDEX(FILTER('RE Portfolio'!L$2:L2000,'RE Portfolio'!D$2:D2000=""BUY""), INT((ROW()-2)/amortYears)+1) - G633,
      INDEX(FILTER('RE Portfolio'!L$2:L2000,'RE Portfolio'!D$2:D2000=""BUY""), INT((ROW()-2)/amortYears)+1"&amp;")
   )
)
"),12469.207747894587)</f>
        <v>12469.20775</v>
      </c>
      <c r="L633" s="15">
        <f>IFERROR(__xludf.DUMMYFUNCTION("IF(A633="""","""",
  INDEX(FILTER('RE Portfolio'!C$2:C2000,'RE Portfolio'!D$2:D2000=""BUY""), INT((ROW()-2)/amortYears)+1)
  * (1 + VALUE(Assumptions!$B$11))^(D633-1)
)
"),1754782.7127652762)</f>
        <v>1754782.713</v>
      </c>
    </row>
    <row r="634">
      <c r="A634" s="15">
        <f>IFERROR(__xludf.DUMMYFUNCTION("IFERROR(INDEX(FILTER('RE Portfolio'!A$2:A2000,'RE Portfolio'!D$2:D2000=""BUY""), INT((ROW()-2)/amortYears)+1), )
"),17.0)</f>
        <v>17</v>
      </c>
      <c r="B634" s="15">
        <f>IFERROR(__xludf.DUMMYFUNCTION("IFERROR(INDEX(FILTER('RE Portfolio'!B$2:B2000,'RE Portfolio'!D$2:D2000=""BUY""), INT((ROW()-2)/amortYears)+1), )
"),59.0)</f>
        <v>59</v>
      </c>
      <c r="C634" s="15">
        <f>IFERROR(__xludf.DUMMYFUNCTION("IFERROR(INDEX(FILTER('RE Portfolio'!G$2:G2000,'RE Portfolio'!D$2:D2000=""BUY""), INT((ROW()-2)/amortYears)+1), )
"),533971.1668649034)</f>
        <v>533971.1669</v>
      </c>
      <c r="D634" s="15">
        <f>MOD(ROW()-2, amortYears)+1</f>
        <v>25</v>
      </c>
      <c r="E634" s="15">
        <f t="shared" si="1"/>
        <v>83</v>
      </c>
      <c r="F634" s="16">
        <f t="shared" si="2"/>
        <v>200777.8186</v>
      </c>
      <c r="G634" s="16">
        <f>IF(D634&lt;=mortTerm, -PMT(mortRate/12, mortTerm*12, C634)*12, 0)
</f>
        <v>40500.73201</v>
      </c>
      <c r="H634" s="16">
        <f>IF(D634&lt;=mortTerm, G634 - I634, 0)
</f>
        <v>12217.82467</v>
      </c>
      <c r="I634" s="16">
        <f>IF(D634&lt;=mortTerm, F634 - J634, 0)
</f>
        <v>28282.90734</v>
      </c>
      <c r="J634" s="16">
        <f>IF(D634&lt;=mortTerm,
   F634*(1+mortRate/12)^12 - (-PMT(mortRate/12, mortTerm*12, C634))*(((1+mortRate/12)^12 - 1)/(mortRate/12)),
   0
)
</f>
        <v>172494.9112</v>
      </c>
      <c r="K634" s="13">
        <f>IFERROR(__xludf.DUMMYFUNCTION("IF(A634="""","""",
   IF(F634&gt;0,
      INDEX(FILTER('RE Portfolio'!L$2:L2000,'RE Portfolio'!D$2:D2000=""BUY""), INT((ROW()-2)/amortYears)+1) - G634,
      INDEX(FILTER('RE Portfolio'!L$2:L2000,'RE Portfolio'!D$2:D2000=""BUY""), INT((ROW()-2)/amortYears)+1"&amp;")
   )
)
"),12469.207747894587)</f>
        <v>12469.20775</v>
      </c>
      <c r="L634" s="15">
        <f>IFERROR(__xludf.DUMMYFUNCTION("IF(A634="""","""",
  INDEX(FILTER('RE Portfolio'!C$2:C2000,'RE Portfolio'!D$2:D2000=""BUY""), INT((ROW()-2)/amortYears)+1)
  * (1 + VALUE(Assumptions!$B$11))^(D634-1)
)
"),1824974.0212758875)</f>
        <v>1824974.021</v>
      </c>
    </row>
    <row r="635">
      <c r="A635" s="15">
        <f>IFERROR(__xludf.DUMMYFUNCTION("IFERROR(INDEX(FILTER('RE Portfolio'!A$2:A2000,'RE Portfolio'!D$2:D2000=""BUY""), INT((ROW()-2)/amortYears)+1), )
"),17.0)</f>
        <v>17</v>
      </c>
      <c r="B635" s="15">
        <f>IFERROR(__xludf.DUMMYFUNCTION("IFERROR(INDEX(FILTER('RE Portfolio'!B$2:B2000,'RE Portfolio'!D$2:D2000=""BUY""), INT((ROW()-2)/amortYears)+1), )
"),59.0)</f>
        <v>59</v>
      </c>
      <c r="C635" s="15">
        <f>IFERROR(__xludf.DUMMYFUNCTION("IFERROR(INDEX(FILTER('RE Portfolio'!G$2:G2000,'RE Portfolio'!D$2:D2000=""BUY""), INT((ROW()-2)/amortYears)+1), )
"),533971.1668649034)</f>
        <v>533971.1669</v>
      </c>
      <c r="D635" s="15">
        <f>MOD(ROW()-2, amortYears)+1</f>
        <v>26</v>
      </c>
      <c r="E635" s="15">
        <f t="shared" si="1"/>
        <v>84</v>
      </c>
      <c r="F635" s="16">
        <f t="shared" si="2"/>
        <v>172494.9112</v>
      </c>
      <c r="G635" s="16">
        <f>IF(D635&lt;=mortTerm, -PMT(mortRate/12, mortTerm*12, C635)*12, 0)
</f>
        <v>40500.73201</v>
      </c>
      <c r="H635" s="16">
        <f>IF(D635&lt;=mortTerm, G635 - I635, 0)
</f>
        <v>10323.66598</v>
      </c>
      <c r="I635" s="16">
        <f>IF(D635&lt;=mortTerm, F635 - J635, 0)
</f>
        <v>30177.06602</v>
      </c>
      <c r="J635" s="16">
        <f>IF(D635&lt;=mortTerm,
   F635*(1+mortRate/12)^12 - (-PMT(mortRate/12, mortTerm*12, C635))*(((1+mortRate/12)^12 - 1)/(mortRate/12)),
   0
)
</f>
        <v>142317.8452</v>
      </c>
      <c r="K635" s="13">
        <f>IFERROR(__xludf.DUMMYFUNCTION("IF(A635="""","""",
   IF(F635&gt;0,
      INDEX(FILTER('RE Portfolio'!L$2:L2000,'RE Portfolio'!D$2:D2000=""BUY""), INT((ROW()-2)/amortYears)+1) - G635,
      INDEX(FILTER('RE Portfolio'!L$2:L2000,'RE Portfolio'!D$2:D2000=""BUY""), INT((ROW()-2)/amortYears)+1"&amp;")
   )
)
"),12469.207747894587)</f>
        <v>12469.20775</v>
      </c>
      <c r="L635" s="15">
        <f>IFERROR(__xludf.DUMMYFUNCTION("IF(A635="""","""",
  INDEX(FILTER('RE Portfolio'!C$2:C2000,'RE Portfolio'!D$2:D2000=""BUY""), INT((ROW()-2)/amortYears)+1)
  * (1 + VALUE(Assumptions!$B$11))^(D635-1)
)
"),1897972.9821269228)</f>
        <v>1897972.982</v>
      </c>
    </row>
    <row r="636">
      <c r="A636" s="15">
        <f>IFERROR(__xludf.DUMMYFUNCTION("IFERROR(INDEX(FILTER('RE Portfolio'!A$2:A2000,'RE Portfolio'!D$2:D2000=""BUY""), INT((ROW()-2)/amortYears)+1), )
"),17.0)</f>
        <v>17</v>
      </c>
      <c r="B636" s="15">
        <f>IFERROR(__xludf.DUMMYFUNCTION("IFERROR(INDEX(FILTER('RE Portfolio'!B$2:B2000,'RE Portfolio'!D$2:D2000=""BUY""), INT((ROW()-2)/amortYears)+1), )
"),59.0)</f>
        <v>59</v>
      </c>
      <c r="C636" s="15">
        <f>IFERROR(__xludf.DUMMYFUNCTION("IFERROR(INDEX(FILTER('RE Portfolio'!G$2:G2000,'RE Portfolio'!D$2:D2000=""BUY""), INT((ROW()-2)/amortYears)+1), )
"),533971.1668649034)</f>
        <v>533971.1669</v>
      </c>
      <c r="D636" s="15">
        <f>MOD(ROW()-2, amortYears)+1</f>
        <v>27</v>
      </c>
      <c r="E636" s="15">
        <f t="shared" si="1"/>
        <v>85</v>
      </c>
      <c r="F636" s="16">
        <f t="shared" si="2"/>
        <v>142317.8452</v>
      </c>
      <c r="G636" s="16">
        <f>IF(D636&lt;=mortTerm, -PMT(mortRate/12, mortTerm*12, C636)*12, 0)
</f>
        <v>40500.73201</v>
      </c>
      <c r="H636" s="16">
        <f>IF(D636&lt;=mortTerm, G636 - I636, 0)
</f>
        <v>8302.651983</v>
      </c>
      <c r="I636" s="16">
        <f>IF(D636&lt;=mortTerm, F636 - J636, 0)
</f>
        <v>32198.08002</v>
      </c>
      <c r="J636" s="16">
        <f>IF(D636&lt;=mortTerm,
   F636*(1+mortRate/12)^12 - (-PMT(mortRate/12, mortTerm*12, C636))*(((1+mortRate/12)^12 - 1)/(mortRate/12)),
   0
)
</f>
        <v>110119.7652</v>
      </c>
      <c r="K636" s="13">
        <f>IFERROR(__xludf.DUMMYFUNCTION("IF(A636="""","""",
   IF(F636&gt;0,
      INDEX(FILTER('RE Portfolio'!L$2:L2000,'RE Portfolio'!D$2:D2000=""BUY""), INT((ROW()-2)/amortYears)+1) - G636,
      INDEX(FILTER('RE Portfolio'!L$2:L2000,'RE Portfolio'!D$2:D2000=""BUY""), INT((ROW()-2)/amortYears)+1"&amp;")
   )
)
"),12469.207747894587)</f>
        <v>12469.20775</v>
      </c>
      <c r="L636" s="15">
        <f>IFERROR(__xludf.DUMMYFUNCTION("IF(A636="""","""",
  INDEX(FILTER('RE Portfolio'!C$2:C2000,'RE Portfolio'!D$2:D2000=""BUY""), INT((ROW()-2)/amortYears)+1)
  * (1 + VALUE(Assumptions!$B$11))^(D636-1)
)
"),1973891.9014119997)</f>
        <v>1973891.901</v>
      </c>
    </row>
    <row r="637">
      <c r="A637" s="15">
        <f>IFERROR(__xludf.DUMMYFUNCTION("IFERROR(INDEX(FILTER('RE Portfolio'!A$2:A2000,'RE Portfolio'!D$2:D2000=""BUY""), INT((ROW()-2)/amortYears)+1), )
"),17.0)</f>
        <v>17</v>
      </c>
      <c r="B637" s="15">
        <f>IFERROR(__xludf.DUMMYFUNCTION("IFERROR(INDEX(FILTER('RE Portfolio'!B$2:B2000,'RE Portfolio'!D$2:D2000=""BUY""), INT((ROW()-2)/amortYears)+1), )
"),59.0)</f>
        <v>59</v>
      </c>
      <c r="C637" s="15">
        <f>IFERROR(__xludf.DUMMYFUNCTION("IFERROR(INDEX(FILTER('RE Portfolio'!G$2:G2000,'RE Portfolio'!D$2:D2000=""BUY""), INT((ROW()-2)/amortYears)+1), )
"),533971.1668649034)</f>
        <v>533971.1669</v>
      </c>
      <c r="D637" s="15">
        <f>MOD(ROW()-2, amortYears)+1</f>
        <v>28</v>
      </c>
      <c r="E637" s="15">
        <f t="shared" si="1"/>
        <v>86</v>
      </c>
      <c r="F637" s="16">
        <f t="shared" si="2"/>
        <v>110119.7652</v>
      </c>
      <c r="G637" s="16">
        <f>IF(D637&lt;=mortTerm, -PMT(mortRate/12, mortTerm*12, C637)*12, 0)
</f>
        <v>40500.73201</v>
      </c>
      <c r="H637" s="16">
        <f>IF(D637&lt;=mortTerm, G637 - I637, 0)
</f>
        <v>6146.286933</v>
      </c>
      <c r="I637" s="16">
        <f>IF(D637&lt;=mortTerm, F637 - J637, 0)
</f>
        <v>34354.44507</v>
      </c>
      <c r="J637" s="16">
        <f>IF(D637&lt;=mortTerm,
   F637*(1+mortRate/12)^12 - (-PMT(mortRate/12, mortTerm*12, C637))*(((1+mortRate/12)^12 - 1)/(mortRate/12)),
   0
)
</f>
        <v>75765.32013</v>
      </c>
      <c r="K637" s="13">
        <f>IFERROR(__xludf.DUMMYFUNCTION("IF(A637="""","""",
   IF(F637&gt;0,
      INDEX(FILTER('RE Portfolio'!L$2:L2000,'RE Portfolio'!D$2:D2000=""BUY""), INT((ROW()-2)/amortYears)+1) - G637,
      INDEX(FILTER('RE Portfolio'!L$2:L2000,'RE Portfolio'!D$2:D2000=""BUY""), INT((ROW()-2)/amortYears)+1"&amp;")
   )
)
"),12469.207747894587)</f>
        <v>12469.20775</v>
      </c>
      <c r="L637" s="15">
        <f>IFERROR(__xludf.DUMMYFUNCTION("IF(A637="""","""",
  INDEX(FILTER('RE Portfolio'!C$2:C2000,'RE Portfolio'!D$2:D2000=""BUY""), INT((ROW()-2)/amortYears)+1)
  * (1 + VALUE(Assumptions!$B$11))^(D637-1)
)
"),2052847.5774684798)</f>
        <v>2052847.577</v>
      </c>
    </row>
    <row r="638">
      <c r="A638" s="15">
        <f>IFERROR(__xludf.DUMMYFUNCTION("IFERROR(INDEX(FILTER('RE Portfolio'!A$2:A2000,'RE Portfolio'!D$2:D2000=""BUY""), INT((ROW()-2)/amortYears)+1), )
"),17.0)</f>
        <v>17</v>
      </c>
      <c r="B638" s="15">
        <f>IFERROR(__xludf.DUMMYFUNCTION("IFERROR(INDEX(FILTER('RE Portfolio'!B$2:B2000,'RE Portfolio'!D$2:D2000=""BUY""), INT((ROW()-2)/amortYears)+1), )
"),59.0)</f>
        <v>59</v>
      </c>
      <c r="C638" s="15">
        <f>IFERROR(__xludf.DUMMYFUNCTION("IFERROR(INDEX(FILTER('RE Portfolio'!G$2:G2000,'RE Portfolio'!D$2:D2000=""BUY""), INT((ROW()-2)/amortYears)+1), )
"),533971.1668649034)</f>
        <v>533971.1669</v>
      </c>
      <c r="D638" s="15">
        <f>MOD(ROW()-2, amortYears)+1</f>
        <v>29</v>
      </c>
      <c r="E638" s="15">
        <f t="shared" si="1"/>
        <v>87</v>
      </c>
      <c r="F638" s="16">
        <f t="shared" si="2"/>
        <v>75765.32013</v>
      </c>
      <c r="G638" s="16">
        <f>IF(D638&lt;=mortTerm, -PMT(mortRate/12, mortTerm*12, C638)*12, 0)
</f>
        <v>40500.73201</v>
      </c>
      <c r="H638" s="16">
        <f>IF(D638&lt;=mortTerm, G638 - I638, 0)
</f>
        <v>3845.506122</v>
      </c>
      <c r="I638" s="16">
        <f>IF(D638&lt;=mortTerm, F638 - J638, 0)
</f>
        <v>36655.22588</v>
      </c>
      <c r="J638" s="16">
        <f>IF(D638&lt;=mortTerm,
   F638*(1+mortRate/12)^12 - (-PMT(mortRate/12, mortTerm*12, C638))*(((1+mortRate/12)^12 - 1)/(mortRate/12)),
   0
)
</f>
        <v>39110.09425</v>
      </c>
      <c r="K638" s="13">
        <f>IFERROR(__xludf.DUMMYFUNCTION("IF(A638="""","""",
   IF(F638&gt;0,
      INDEX(FILTER('RE Portfolio'!L$2:L2000,'RE Portfolio'!D$2:D2000=""BUY""), INT((ROW()-2)/amortYears)+1) - G638,
      INDEX(FILTER('RE Portfolio'!L$2:L2000,'RE Portfolio'!D$2:D2000=""BUY""), INT((ROW()-2)/amortYears)+1"&amp;")
   )
)
"),12469.207747894587)</f>
        <v>12469.20775</v>
      </c>
      <c r="L638" s="15">
        <f>IFERROR(__xludf.DUMMYFUNCTION("IF(A638="""","""",
  INDEX(FILTER('RE Portfolio'!C$2:C2000,'RE Portfolio'!D$2:D2000=""BUY""), INT((ROW()-2)/amortYears)+1)
  * (1 + VALUE(Assumptions!$B$11))^(D638-1)
)
"),2134961.480567219)</f>
        <v>2134961.481</v>
      </c>
    </row>
    <row r="639">
      <c r="A639" s="15">
        <f>IFERROR(__xludf.DUMMYFUNCTION("IFERROR(INDEX(FILTER('RE Portfolio'!A$2:A2000,'RE Portfolio'!D$2:D2000=""BUY""), INT((ROW()-2)/amortYears)+1), )
"),17.0)</f>
        <v>17</v>
      </c>
      <c r="B639" s="15">
        <f>IFERROR(__xludf.DUMMYFUNCTION("IFERROR(INDEX(FILTER('RE Portfolio'!B$2:B2000,'RE Portfolio'!D$2:D2000=""BUY""), INT((ROW()-2)/amortYears)+1), )
"),59.0)</f>
        <v>59</v>
      </c>
      <c r="C639" s="15">
        <f>IFERROR(__xludf.DUMMYFUNCTION("IFERROR(INDEX(FILTER('RE Portfolio'!G$2:G2000,'RE Portfolio'!D$2:D2000=""BUY""), INT((ROW()-2)/amortYears)+1), )
"),533971.1668649034)</f>
        <v>533971.1669</v>
      </c>
      <c r="D639" s="15">
        <f>MOD(ROW()-2, amortYears)+1</f>
        <v>30</v>
      </c>
      <c r="E639" s="15">
        <f t="shared" si="1"/>
        <v>88</v>
      </c>
      <c r="F639" s="16">
        <f t="shared" si="2"/>
        <v>39110.09425</v>
      </c>
      <c r="G639" s="16">
        <f>IF(D639&lt;=mortTerm, -PMT(mortRate/12, mortTerm*12, C639)*12, 0)
</f>
        <v>40500.73201</v>
      </c>
      <c r="H639" s="16">
        <f>IF(D639&lt;=mortTerm, G639 - I639, 0)
</f>
        <v>1390.637759</v>
      </c>
      <c r="I639" s="16">
        <f>IF(D639&lt;=mortTerm, F639 - J639, 0)
</f>
        <v>39110.09425</v>
      </c>
      <c r="J639" s="16">
        <f>IF(D639&lt;=mortTerm,
   F639*(1+mortRate/12)^12 - (-PMT(mortRate/12, mortTerm*12, C639))*(((1+mortRate/12)^12 - 1)/(mortRate/12)),
   0
)
</f>
        <v>-0.000000001549778972</v>
      </c>
      <c r="K639" s="13">
        <f>IFERROR(__xludf.DUMMYFUNCTION("IF(A639="""","""",
   IF(F639&gt;0,
      INDEX(FILTER('RE Portfolio'!L$2:L2000,'RE Portfolio'!D$2:D2000=""BUY""), INT((ROW()-2)/amortYears)+1) - G639,
      INDEX(FILTER('RE Portfolio'!L$2:L2000,'RE Portfolio'!D$2:D2000=""BUY""), INT((ROW()-2)/amortYears)+1"&amp;")
   )
)
"),12469.207747894587)</f>
        <v>12469.20775</v>
      </c>
      <c r="L639" s="15">
        <f>IFERROR(__xludf.DUMMYFUNCTION("IF(A639="""","""",
  INDEX(FILTER('RE Portfolio'!C$2:C2000,'RE Portfolio'!D$2:D2000=""BUY""), INT((ROW()-2)/amortYears)+1)
  * (1 + VALUE(Assumptions!$B$11))^(D639-1)
)
"),2220359.939789908)</f>
        <v>2220359.94</v>
      </c>
    </row>
    <row r="640">
      <c r="A640" s="15">
        <f>IFERROR(__xludf.DUMMYFUNCTION("IFERROR(INDEX(FILTER('RE Portfolio'!A$2:A2000,'RE Portfolio'!D$2:D2000=""BUY""), INT((ROW()-2)/amortYears)+1), )
"),17.0)</f>
        <v>17</v>
      </c>
      <c r="B640" s="15">
        <f>IFERROR(__xludf.DUMMYFUNCTION("IFERROR(INDEX(FILTER('RE Portfolio'!B$2:B2000,'RE Portfolio'!D$2:D2000=""BUY""), INT((ROW()-2)/amortYears)+1), )
"),59.0)</f>
        <v>59</v>
      </c>
      <c r="C640" s="15">
        <f>IFERROR(__xludf.DUMMYFUNCTION("IFERROR(INDEX(FILTER('RE Portfolio'!G$2:G2000,'RE Portfolio'!D$2:D2000=""BUY""), INT((ROW()-2)/amortYears)+1), )
"),533971.1668649034)</f>
        <v>533971.1669</v>
      </c>
      <c r="D640" s="15">
        <f>MOD(ROW()-2, amortYears)+1</f>
        <v>31</v>
      </c>
      <c r="E640" s="15">
        <f t="shared" si="1"/>
        <v>89</v>
      </c>
      <c r="F640" s="16">
        <f t="shared" si="2"/>
        <v>-0.000000001549778972</v>
      </c>
      <c r="G640" s="15">
        <f>IF(D640&lt;=mortTerm, -PMT(mortRate/12, mortTerm*12, C640)*12, 0)
</f>
        <v>0</v>
      </c>
      <c r="H640" s="15">
        <f>IF(D640&lt;=mortTerm, G640 - I640, 0)
</f>
        <v>0</v>
      </c>
      <c r="I640" s="15">
        <f>IF(D640&lt;=mortTerm, F640 - J640, 0)
</f>
        <v>0</v>
      </c>
      <c r="J640" s="15">
        <f>IF(D640&lt;=mortTerm,
   F640*(1+mortRate/12)^12 - (-PMT(mortRate/12, mortTerm*12, C640))*(((1+mortRate/12)^12 - 1)/(mortRate/12)),
   0
)
</f>
        <v>0</v>
      </c>
      <c r="K640" s="13">
        <f>IFERROR(__xludf.DUMMYFUNCTION("IF(A640="""","""",
   IF(F640&gt;0,
      INDEX(FILTER('RE Portfolio'!L$2:L2000,'RE Portfolio'!D$2:D2000=""BUY""), INT((ROW()-2)/amortYears)+1) - G640,
      INDEX(FILTER('RE Portfolio'!L$2:L2000,'RE Portfolio'!D$2:D2000=""BUY""), INT((ROW()-2)/amortYears)+1"&amp;")
   )
)
"),52969.93975299841)</f>
        <v>52969.93975</v>
      </c>
      <c r="L640" s="15">
        <f>IFERROR(__xludf.DUMMYFUNCTION("IF(A640="""","""",
  INDEX(FILTER('RE Portfolio'!C$2:C2000,'RE Portfolio'!D$2:D2000=""BUY""), INT((ROW()-2)/amortYears)+1)
  * (1 + VALUE(Assumptions!$B$11))^(D640-1)
)
"),2309174.3373815045)</f>
        <v>2309174.337</v>
      </c>
    </row>
    <row r="641">
      <c r="A641" s="15">
        <f>IFERROR(__xludf.DUMMYFUNCTION("IFERROR(INDEX(FILTER('RE Portfolio'!A$2:A2000,'RE Portfolio'!D$2:D2000=""BUY""), INT((ROW()-2)/amortYears)+1), )
"),17.0)</f>
        <v>17</v>
      </c>
      <c r="B641" s="15">
        <f>IFERROR(__xludf.DUMMYFUNCTION("IFERROR(INDEX(FILTER('RE Portfolio'!B$2:B2000,'RE Portfolio'!D$2:D2000=""BUY""), INT((ROW()-2)/amortYears)+1), )
"),59.0)</f>
        <v>59</v>
      </c>
      <c r="C641" s="15">
        <f>IFERROR(__xludf.DUMMYFUNCTION("IFERROR(INDEX(FILTER('RE Portfolio'!G$2:G2000,'RE Portfolio'!D$2:D2000=""BUY""), INT((ROW()-2)/amortYears)+1), )
"),533971.1668649034)</f>
        <v>533971.1669</v>
      </c>
      <c r="D641" s="15">
        <f>MOD(ROW()-2, amortYears)+1</f>
        <v>32</v>
      </c>
      <c r="E641" s="15">
        <f t="shared" si="1"/>
        <v>90</v>
      </c>
      <c r="F641" s="15">
        <f t="shared" si="2"/>
        <v>0</v>
      </c>
      <c r="G641" s="15">
        <f>IF(D641&lt;=mortTerm, -PMT(mortRate/12, mortTerm*12, C641)*12, 0)
</f>
        <v>0</v>
      </c>
      <c r="H641" s="15">
        <f>IF(D641&lt;=mortTerm, G641 - I641, 0)
</f>
        <v>0</v>
      </c>
      <c r="I641" s="15">
        <f>IF(D641&lt;=mortTerm, F641 - J641, 0)
</f>
        <v>0</v>
      </c>
      <c r="J641" s="15">
        <f>IF(D641&lt;=mortTerm,
   F641*(1+mortRate/12)^12 - (-PMT(mortRate/12, mortTerm*12, C641))*(((1+mortRate/12)^12 - 1)/(mortRate/12)),
   0
)
</f>
        <v>0</v>
      </c>
      <c r="K641" s="13">
        <f>IFERROR(__xludf.DUMMYFUNCTION("IF(A641="""","""",
   IF(F641&gt;0,
      INDEX(FILTER('RE Portfolio'!L$2:L2000,'RE Portfolio'!D$2:D2000=""BUY""), INT((ROW()-2)/amortYears)+1) - G641,
      INDEX(FILTER('RE Portfolio'!L$2:L2000,'RE Portfolio'!D$2:D2000=""BUY""), INT((ROW()-2)/amortYears)+1"&amp;")
   )
)
"),52969.93975299841)</f>
        <v>52969.93975</v>
      </c>
      <c r="L641" s="15">
        <f>IFERROR(__xludf.DUMMYFUNCTION("IF(A641="""","""",
  INDEX(FILTER('RE Portfolio'!C$2:C2000,'RE Portfolio'!D$2:D2000=""BUY""), INT((ROW()-2)/amortYears)+1)
  * (1 + VALUE(Assumptions!$B$11))^(D641-1)
)
"),2401541.310876765)</f>
        <v>2401541.311</v>
      </c>
    </row>
    <row r="642">
      <c r="A642" s="15">
        <f>IFERROR(__xludf.DUMMYFUNCTION("IFERROR(INDEX(FILTER('RE Portfolio'!A$2:A2000,'RE Portfolio'!D$2:D2000=""BUY""), INT((ROW()-2)/amortYears)+1), )
"),17.0)</f>
        <v>17</v>
      </c>
      <c r="B642" s="15">
        <f>IFERROR(__xludf.DUMMYFUNCTION("IFERROR(INDEX(FILTER('RE Portfolio'!B$2:B2000,'RE Portfolio'!D$2:D2000=""BUY""), INT((ROW()-2)/amortYears)+1), )
"),59.0)</f>
        <v>59</v>
      </c>
      <c r="C642" s="15">
        <f>IFERROR(__xludf.DUMMYFUNCTION("IFERROR(INDEX(FILTER('RE Portfolio'!G$2:G2000,'RE Portfolio'!D$2:D2000=""BUY""), INT((ROW()-2)/amortYears)+1), )
"),533971.1668649034)</f>
        <v>533971.1669</v>
      </c>
      <c r="D642" s="15">
        <f>MOD(ROW()-2, amortYears)+1</f>
        <v>33</v>
      </c>
      <c r="E642" s="15">
        <f t="shared" si="1"/>
        <v>91</v>
      </c>
      <c r="F642" s="15">
        <f t="shared" si="2"/>
        <v>0</v>
      </c>
      <c r="G642" s="15">
        <f>IF(D642&lt;=mortTerm, -PMT(mortRate/12, mortTerm*12, C642)*12, 0)
</f>
        <v>0</v>
      </c>
      <c r="H642" s="15">
        <f>IF(D642&lt;=mortTerm, G642 - I642, 0)
</f>
        <v>0</v>
      </c>
      <c r="I642" s="15">
        <f>IF(D642&lt;=mortTerm, F642 - J642, 0)
</f>
        <v>0</v>
      </c>
      <c r="J642" s="15">
        <f>IF(D642&lt;=mortTerm,
   F642*(1+mortRate/12)^12 - (-PMT(mortRate/12, mortTerm*12, C642))*(((1+mortRate/12)^12 - 1)/(mortRate/12)),
   0
)
</f>
        <v>0</v>
      </c>
      <c r="K642" s="13">
        <f>IFERROR(__xludf.DUMMYFUNCTION("IF(A642="""","""",
   IF(F642&gt;0,
      INDEX(FILTER('RE Portfolio'!L$2:L2000,'RE Portfolio'!D$2:D2000=""BUY""), INT((ROW()-2)/amortYears)+1) - G642,
      INDEX(FILTER('RE Portfolio'!L$2:L2000,'RE Portfolio'!D$2:D2000=""BUY""), INT((ROW()-2)/amortYears)+1"&amp;")
   )
)
"),52969.93975299841)</f>
        <v>52969.93975</v>
      </c>
      <c r="L642" s="15">
        <f>IFERROR(__xludf.DUMMYFUNCTION("IF(A642="""","""",
  INDEX(FILTER('RE Portfolio'!C$2:C2000,'RE Portfolio'!D$2:D2000=""BUY""), INT((ROW()-2)/amortYears)+1)
  * (1 + VALUE(Assumptions!$B$11))^(D642-1)
)
"),2497602.963311835)</f>
        <v>2497602.963</v>
      </c>
    </row>
    <row r="643">
      <c r="A643" s="15">
        <f>IFERROR(__xludf.DUMMYFUNCTION("IFERROR(INDEX(FILTER('RE Portfolio'!A$2:A2000,'RE Portfolio'!D$2:D2000=""BUY""), INT((ROW()-2)/amortYears)+1), )
"),17.0)</f>
        <v>17</v>
      </c>
      <c r="B643" s="15">
        <f>IFERROR(__xludf.DUMMYFUNCTION("IFERROR(INDEX(FILTER('RE Portfolio'!B$2:B2000,'RE Portfolio'!D$2:D2000=""BUY""), INT((ROW()-2)/amortYears)+1), )
"),59.0)</f>
        <v>59</v>
      </c>
      <c r="C643" s="15">
        <f>IFERROR(__xludf.DUMMYFUNCTION("IFERROR(INDEX(FILTER('RE Portfolio'!G$2:G2000,'RE Portfolio'!D$2:D2000=""BUY""), INT((ROW()-2)/amortYears)+1), )
"),533971.1668649034)</f>
        <v>533971.1669</v>
      </c>
      <c r="D643" s="15">
        <f>MOD(ROW()-2, amortYears)+1</f>
        <v>34</v>
      </c>
      <c r="E643" s="15">
        <f t="shared" si="1"/>
        <v>92</v>
      </c>
      <c r="F643" s="15">
        <f t="shared" si="2"/>
        <v>0</v>
      </c>
      <c r="G643" s="15">
        <f>IF(D643&lt;=mortTerm, -PMT(mortRate/12, mortTerm*12, C643)*12, 0)
</f>
        <v>0</v>
      </c>
      <c r="H643" s="15">
        <f>IF(D643&lt;=mortTerm, G643 - I643, 0)
</f>
        <v>0</v>
      </c>
      <c r="I643" s="15">
        <f>IF(D643&lt;=mortTerm, F643 - J643, 0)
</f>
        <v>0</v>
      </c>
      <c r="J643" s="15">
        <f>IF(D643&lt;=mortTerm,
   F643*(1+mortRate/12)^12 - (-PMT(mortRate/12, mortTerm*12, C643))*(((1+mortRate/12)^12 - 1)/(mortRate/12)),
   0
)
</f>
        <v>0</v>
      </c>
      <c r="K643" s="13">
        <f>IFERROR(__xludf.DUMMYFUNCTION("IF(A643="""","""",
   IF(F643&gt;0,
      INDEX(FILTER('RE Portfolio'!L$2:L2000,'RE Portfolio'!D$2:D2000=""BUY""), INT((ROW()-2)/amortYears)+1) - G643,
      INDEX(FILTER('RE Portfolio'!L$2:L2000,'RE Portfolio'!D$2:D2000=""BUY""), INT((ROW()-2)/amortYears)+1"&amp;")
   )
)
"),52969.93975299841)</f>
        <v>52969.93975</v>
      </c>
      <c r="L643" s="15">
        <f>IFERROR(__xludf.DUMMYFUNCTION("IF(A643="""","""",
  INDEX(FILTER('RE Portfolio'!C$2:C2000,'RE Portfolio'!D$2:D2000=""BUY""), INT((ROW()-2)/amortYears)+1)
  * (1 + VALUE(Assumptions!$B$11))^(D643-1)
)
"),2597507.081844309)</f>
        <v>2597507.082</v>
      </c>
    </row>
    <row r="644">
      <c r="A644" s="15">
        <f>IFERROR(__xludf.DUMMYFUNCTION("IFERROR(INDEX(FILTER('RE Portfolio'!A$2:A2000,'RE Portfolio'!D$2:D2000=""BUY""), INT((ROW()-2)/amortYears)+1), )
"),17.0)</f>
        <v>17</v>
      </c>
      <c r="B644" s="15">
        <f>IFERROR(__xludf.DUMMYFUNCTION("IFERROR(INDEX(FILTER('RE Portfolio'!B$2:B2000,'RE Portfolio'!D$2:D2000=""BUY""), INT((ROW()-2)/amortYears)+1), )
"),59.0)</f>
        <v>59</v>
      </c>
      <c r="C644" s="15">
        <f>IFERROR(__xludf.DUMMYFUNCTION("IFERROR(INDEX(FILTER('RE Portfolio'!G$2:G2000,'RE Portfolio'!D$2:D2000=""BUY""), INT((ROW()-2)/amortYears)+1), )
"),533971.1668649034)</f>
        <v>533971.1669</v>
      </c>
      <c r="D644" s="15">
        <f>MOD(ROW()-2, amortYears)+1</f>
        <v>35</v>
      </c>
      <c r="E644" s="15">
        <f t="shared" si="1"/>
        <v>93</v>
      </c>
      <c r="F644" s="15">
        <f t="shared" si="2"/>
        <v>0</v>
      </c>
      <c r="G644" s="15">
        <f>IF(D644&lt;=mortTerm, -PMT(mortRate/12, mortTerm*12, C644)*12, 0)
</f>
        <v>0</v>
      </c>
      <c r="H644" s="15">
        <f>IF(D644&lt;=mortTerm, G644 - I644, 0)
</f>
        <v>0</v>
      </c>
      <c r="I644" s="15">
        <f>IF(D644&lt;=mortTerm, F644 - J644, 0)
</f>
        <v>0</v>
      </c>
      <c r="J644" s="15">
        <f>IF(D644&lt;=mortTerm,
   F644*(1+mortRate/12)^12 - (-PMT(mortRate/12, mortTerm*12, C644))*(((1+mortRate/12)^12 - 1)/(mortRate/12)),
   0
)
</f>
        <v>0</v>
      </c>
      <c r="K644" s="13">
        <f>IFERROR(__xludf.DUMMYFUNCTION("IF(A644="""","""",
   IF(F644&gt;0,
      INDEX(FILTER('RE Portfolio'!L$2:L2000,'RE Portfolio'!D$2:D2000=""BUY""), INT((ROW()-2)/amortYears)+1) - G644,
      INDEX(FILTER('RE Portfolio'!L$2:L2000,'RE Portfolio'!D$2:D2000=""BUY""), INT((ROW()-2)/amortYears)+1"&amp;")
   )
)
"),52969.93975299841)</f>
        <v>52969.93975</v>
      </c>
      <c r="L644" s="15">
        <f>IFERROR(__xludf.DUMMYFUNCTION("IF(A644="""","""",
  INDEX(FILTER('RE Portfolio'!C$2:C2000,'RE Portfolio'!D$2:D2000=""BUY""), INT((ROW()-2)/amortYears)+1)
  * (1 + VALUE(Assumptions!$B$11))^(D644-1)
)
"),2701407.365118081)</f>
        <v>2701407.365</v>
      </c>
    </row>
    <row r="645">
      <c r="A645" s="15">
        <f>IFERROR(__xludf.DUMMYFUNCTION("IFERROR(INDEX(FILTER('RE Portfolio'!A$2:A2000,'RE Portfolio'!D$2:D2000=""BUY""), INT((ROW()-2)/amortYears)+1), )
"),17.0)</f>
        <v>17</v>
      </c>
      <c r="B645" s="15">
        <f>IFERROR(__xludf.DUMMYFUNCTION("IFERROR(INDEX(FILTER('RE Portfolio'!B$2:B2000,'RE Portfolio'!D$2:D2000=""BUY""), INT((ROW()-2)/amortYears)+1), )
"),59.0)</f>
        <v>59</v>
      </c>
      <c r="C645" s="15">
        <f>IFERROR(__xludf.DUMMYFUNCTION("IFERROR(INDEX(FILTER('RE Portfolio'!G$2:G2000,'RE Portfolio'!D$2:D2000=""BUY""), INT((ROW()-2)/amortYears)+1), )
"),533971.1668649034)</f>
        <v>533971.1669</v>
      </c>
      <c r="D645" s="15">
        <f>MOD(ROW()-2, amortYears)+1</f>
        <v>36</v>
      </c>
      <c r="E645" s="15">
        <f t="shared" si="1"/>
        <v>94</v>
      </c>
      <c r="F645" s="15">
        <f t="shared" si="2"/>
        <v>0</v>
      </c>
      <c r="G645" s="15">
        <f>IF(D645&lt;=mortTerm, -PMT(mortRate/12, mortTerm*12, C645)*12, 0)
</f>
        <v>0</v>
      </c>
      <c r="H645" s="15">
        <f>IF(D645&lt;=mortTerm, G645 - I645, 0)
</f>
        <v>0</v>
      </c>
      <c r="I645" s="15">
        <f>IF(D645&lt;=mortTerm, F645 - J645, 0)
</f>
        <v>0</v>
      </c>
      <c r="J645" s="15">
        <f>IF(D645&lt;=mortTerm,
   F645*(1+mortRate/12)^12 - (-PMT(mortRate/12, mortTerm*12, C645))*(((1+mortRate/12)^12 - 1)/(mortRate/12)),
   0
)
</f>
        <v>0</v>
      </c>
      <c r="K645" s="13">
        <f>IFERROR(__xludf.DUMMYFUNCTION("IF(A645="""","""",
   IF(F645&gt;0,
      INDEX(FILTER('RE Portfolio'!L$2:L2000,'RE Portfolio'!D$2:D2000=""BUY""), INT((ROW()-2)/amortYears)+1) - G645,
      INDEX(FILTER('RE Portfolio'!L$2:L2000,'RE Portfolio'!D$2:D2000=""BUY""), INT((ROW()-2)/amortYears)+1"&amp;")
   )
)
"),52969.93975299841)</f>
        <v>52969.93975</v>
      </c>
      <c r="L645" s="15">
        <f>IFERROR(__xludf.DUMMYFUNCTION("IF(A645="""","""",
  INDEX(FILTER('RE Portfolio'!C$2:C2000,'RE Portfolio'!D$2:D2000=""BUY""), INT((ROW()-2)/amortYears)+1)
  * (1 + VALUE(Assumptions!$B$11))^(D645-1)
)
"),2809463.659722805)</f>
        <v>2809463.66</v>
      </c>
    </row>
    <row r="646">
      <c r="A646" s="15">
        <f>IFERROR(__xludf.DUMMYFUNCTION("IFERROR(INDEX(FILTER('RE Portfolio'!A$2:A2000,'RE Portfolio'!D$2:D2000=""BUY""), INT((ROW()-2)/amortYears)+1), )
"),17.0)</f>
        <v>17</v>
      </c>
      <c r="B646" s="15">
        <f>IFERROR(__xludf.DUMMYFUNCTION("IFERROR(INDEX(FILTER('RE Portfolio'!B$2:B2000,'RE Portfolio'!D$2:D2000=""BUY""), INT((ROW()-2)/amortYears)+1), )
"),59.0)</f>
        <v>59</v>
      </c>
      <c r="C646" s="15">
        <f>IFERROR(__xludf.DUMMYFUNCTION("IFERROR(INDEX(FILTER('RE Portfolio'!G$2:G2000,'RE Portfolio'!D$2:D2000=""BUY""), INT((ROW()-2)/amortYears)+1), )
"),533971.1668649034)</f>
        <v>533971.1669</v>
      </c>
      <c r="D646" s="15">
        <f>MOD(ROW()-2, amortYears)+1</f>
        <v>37</v>
      </c>
      <c r="E646" s="15">
        <f t="shared" si="1"/>
        <v>95</v>
      </c>
      <c r="F646" s="15">
        <f t="shared" si="2"/>
        <v>0</v>
      </c>
      <c r="G646" s="15">
        <f>IF(D646&lt;=mortTerm, -PMT(mortRate/12, mortTerm*12, C646)*12, 0)
</f>
        <v>0</v>
      </c>
      <c r="H646" s="15">
        <f>IF(D646&lt;=mortTerm, G646 - I646, 0)
</f>
        <v>0</v>
      </c>
      <c r="I646" s="15">
        <f>IF(D646&lt;=mortTerm, F646 - J646, 0)
</f>
        <v>0</v>
      </c>
      <c r="J646" s="15">
        <f>IF(D646&lt;=mortTerm,
   F646*(1+mortRate/12)^12 - (-PMT(mortRate/12, mortTerm*12, C646))*(((1+mortRate/12)^12 - 1)/(mortRate/12)),
   0
)
</f>
        <v>0</v>
      </c>
      <c r="K646" s="13">
        <f>IFERROR(__xludf.DUMMYFUNCTION("IF(A646="""","""",
   IF(F646&gt;0,
      INDEX(FILTER('RE Portfolio'!L$2:L2000,'RE Portfolio'!D$2:D2000=""BUY""), INT((ROW()-2)/amortYears)+1) - G646,
      INDEX(FILTER('RE Portfolio'!L$2:L2000,'RE Portfolio'!D$2:D2000=""BUY""), INT((ROW()-2)/amortYears)+1"&amp;")
   )
)
"),52969.93975299841)</f>
        <v>52969.93975</v>
      </c>
      <c r="L646" s="15">
        <f>IFERROR(__xludf.DUMMYFUNCTION("IF(A646="""","""",
  INDEX(FILTER('RE Portfolio'!C$2:C2000,'RE Portfolio'!D$2:D2000=""BUY""), INT((ROW()-2)/amortYears)+1)
  * (1 + VALUE(Assumptions!$B$11))^(D646-1)
)
"),2921842.206111717)</f>
        <v>2921842.206</v>
      </c>
    </row>
    <row r="647">
      <c r="A647" s="15">
        <f>IFERROR(__xludf.DUMMYFUNCTION("IFERROR(INDEX(FILTER('RE Portfolio'!A$2:A2000,'RE Portfolio'!D$2:D2000=""BUY""), INT((ROW()-2)/amortYears)+1), )
"),17.0)</f>
        <v>17</v>
      </c>
      <c r="B647" s="15">
        <f>IFERROR(__xludf.DUMMYFUNCTION("IFERROR(INDEX(FILTER('RE Portfolio'!B$2:B2000,'RE Portfolio'!D$2:D2000=""BUY""), INT((ROW()-2)/amortYears)+1), )
"),59.0)</f>
        <v>59</v>
      </c>
      <c r="C647" s="15">
        <f>IFERROR(__xludf.DUMMYFUNCTION("IFERROR(INDEX(FILTER('RE Portfolio'!G$2:G2000,'RE Portfolio'!D$2:D2000=""BUY""), INT((ROW()-2)/amortYears)+1), )
"),533971.1668649034)</f>
        <v>533971.1669</v>
      </c>
      <c r="D647" s="15">
        <f>MOD(ROW()-2, amortYears)+1</f>
        <v>38</v>
      </c>
      <c r="E647" s="15">
        <f t="shared" si="1"/>
        <v>96</v>
      </c>
      <c r="F647" s="15">
        <f t="shared" si="2"/>
        <v>0</v>
      </c>
      <c r="G647" s="15">
        <f>IF(D647&lt;=mortTerm, -PMT(mortRate/12, mortTerm*12, C647)*12, 0)
</f>
        <v>0</v>
      </c>
      <c r="H647" s="15">
        <f>IF(D647&lt;=mortTerm, G647 - I647, 0)
</f>
        <v>0</v>
      </c>
      <c r="I647" s="15">
        <f>IF(D647&lt;=mortTerm, F647 - J647, 0)
</f>
        <v>0</v>
      </c>
      <c r="J647" s="15">
        <f>IF(D647&lt;=mortTerm,
   F647*(1+mortRate/12)^12 - (-PMT(mortRate/12, mortTerm*12, C647))*(((1+mortRate/12)^12 - 1)/(mortRate/12)),
   0
)
</f>
        <v>0</v>
      </c>
      <c r="K647" s="13">
        <f>IFERROR(__xludf.DUMMYFUNCTION("IF(A647="""","""",
   IF(F647&gt;0,
      INDEX(FILTER('RE Portfolio'!L$2:L2000,'RE Portfolio'!D$2:D2000=""BUY""), INT((ROW()-2)/amortYears)+1) - G647,
      INDEX(FILTER('RE Portfolio'!L$2:L2000,'RE Portfolio'!D$2:D2000=""BUY""), INT((ROW()-2)/amortYears)+1"&amp;")
   )
)
"),52969.93975299841)</f>
        <v>52969.93975</v>
      </c>
      <c r="L647" s="15">
        <f>IFERROR(__xludf.DUMMYFUNCTION("IF(A647="""","""",
  INDEX(FILTER('RE Portfolio'!C$2:C2000,'RE Portfolio'!D$2:D2000=""BUY""), INT((ROW()-2)/amortYears)+1)
  * (1 + VALUE(Assumptions!$B$11))^(D647-1)
)
"),3038715.8943561856)</f>
        <v>3038715.894</v>
      </c>
    </row>
    <row r="648">
      <c r="A648" s="15">
        <f>IFERROR(__xludf.DUMMYFUNCTION("IFERROR(INDEX(FILTER('RE Portfolio'!A$2:A2000,'RE Portfolio'!D$2:D2000=""BUY""), INT((ROW()-2)/amortYears)+1), )
"),18.0)</f>
        <v>18</v>
      </c>
      <c r="B648" s="15">
        <f>IFERROR(__xludf.DUMMYFUNCTION("IFERROR(INDEX(FILTER('RE Portfolio'!B$2:B2000,'RE Portfolio'!D$2:D2000=""BUY""), INT((ROW()-2)/amortYears)+1), )
"),61.0)</f>
        <v>61</v>
      </c>
      <c r="C648" s="15">
        <f>IFERROR(__xludf.DUMMYFUNCTION("IFERROR(INDEX(FILTER('RE Portfolio'!G$2:G2000,'RE Portfolio'!D$2:D2000=""BUY""), INT((ROW()-2)/amortYears)+1), )
"),561003.457187439)</f>
        <v>561003.4572</v>
      </c>
      <c r="D648" s="15">
        <f>MOD(ROW()-2, amortYears)+1</f>
        <v>1</v>
      </c>
      <c r="E648" s="15">
        <f t="shared" si="1"/>
        <v>61</v>
      </c>
      <c r="F648" s="15">
        <f t="shared" si="2"/>
        <v>561003.4572</v>
      </c>
      <c r="G648" s="16">
        <f>IF(D648&lt;=mortTerm, -PMT(mortRate/12, mortTerm*12, C648)*12, 0)
</f>
        <v>42551.08156</v>
      </c>
      <c r="H648" s="16">
        <f>IF(D648&lt;=mortTerm, G648 - I648, 0)
</f>
        <v>36280.60304</v>
      </c>
      <c r="I648" s="16">
        <f>IF(D648&lt;=mortTerm, F648 - J648, 0)
</f>
        <v>6270.478523</v>
      </c>
      <c r="J648" s="16">
        <f>IF(D648&lt;=mortTerm,
   F648*(1+mortRate/12)^12 - (-PMT(mortRate/12, mortTerm*12, C648))*(((1+mortRate/12)^12 - 1)/(mortRate/12)),
   0
)
</f>
        <v>554732.9787</v>
      </c>
      <c r="K648" s="13">
        <f>IFERROR(__xludf.DUMMYFUNCTION("IF(A648="""","""",
   IF(F648&gt;0,
      INDEX(FILTER('RE Portfolio'!L$2:L2000,'RE Portfolio'!D$2:D2000=""BUY""), INT((ROW()-2)/amortYears)+1) - G648,
      INDEX(FILTER('RE Portfolio'!L$2:L2000,'RE Portfolio'!D$2:D2000=""BUY""), INT((ROW()-2)/amortYears)+1"&amp;")
   )
)
"),13100.461390131757)</f>
        <v>13100.46139</v>
      </c>
      <c r="L648" s="15">
        <f>IFERROR(__xludf.DUMMYFUNCTION("IF(A648="""","""",
  INDEX(FILTER('RE Portfolio'!C$2:C2000,'RE Portfolio'!D$2:D2000=""BUY""), INT((ROW()-2)/amortYears)+1)
  * (1 + VALUE(Assumptions!$B$11))^(D648-1)
)
"),748004.609583252)</f>
        <v>748004.6096</v>
      </c>
    </row>
    <row r="649">
      <c r="A649" s="15">
        <f>IFERROR(__xludf.DUMMYFUNCTION("IFERROR(INDEX(FILTER('RE Portfolio'!A$2:A2000,'RE Portfolio'!D$2:D2000=""BUY""), INT((ROW()-2)/amortYears)+1), )
"),18.0)</f>
        <v>18</v>
      </c>
      <c r="B649" s="15">
        <f>IFERROR(__xludf.DUMMYFUNCTION("IFERROR(INDEX(FILTER('RE Portfolio'!B$2:B2000,'RE Portfolio'!D$2:D2000=""BUY""), INT((ROW()-2)/amortYears)+1), )
"),61.0)</f>
        <v>61</v>
      </c>
      <c r="C649" s="15">
        <f>IFERROR(__xludf.DUMMYFUNCTION("IFERROR(INDEX(FILTER('RE Portfolio'!G$2:G2000,'RE Portfolio'!D$2:D2000=""BUY""), INT((ROW()-2)/amortYears)+1), )
"),561003.457187439)</f>
        <v>561003.4572</v>
      </c>
      <c r="D649" s="15">
        <f>MOD(ROW()-2, amortYears)+1</f>
        <v>2</v>
      </c>
      <c r="E649" s="15">
        <f t="shared" si="1"/>
        <v>62</v>
      </c>
      <c r="F649" s="16">
        <f t="shared" si="2"/>
        <v>554732.9787</v>
      </c>
      <c r="G649" s="16">
        <f>IF(D649&lt;=mortTerm, -PMT(mortRate/12, mortTerm*12, C649)*12, 0)
</f>
        <v>42551.08156</v>
      </c>
      <c r="H649" s="16">
        <f>IF(D649&lt;=mortTerm, G649 - I649, 0)
</f>
        <v>35860.65748</v>
      </c>
      <c r="I649" s="16">
        <f>IF(D649&lt;=mortTerm, F649 - J649, 0)
</f>
        <v>6690.424082</v>
      </c>
      <c r="J649" s="16">
        <f>IF(D649&lt;=mortTerm,
   F649*(1+mortRate/12)^12 - (-PMT(mortRate/12, mortTerm*12, C649))*(((1+mortRate/12)^12 - 1)/(mortRate/12)),
   0
)
</f>
        <v>548042.5546</v>
      </c>
      <c r="K649" s="13">
        <f>IFERROR(__xludf.DUMMYFUNCTION("IF(A649="""","""",
   IF(F649&gt;0,
      INDEX(FILTER('RE Portfolio'!L$2:L2000,'RE Portfolio'!D$2:D2000=""BUY""), INT((ROW()-2)/amortYears)+1) - G649,
      INDEX(FILTER('RE Portfolio'!L$2:L2000,'RE Portfolio'!D$2:D2000=""BUY""), INT((ROW()-2)/amortYears)+1"&amp;")
   )
)
"),13100.461390131757)</f>
        <v>13100.46139</v>
      </c>
      <c r="L649" s="15">
        <f>IFERROR(__xludf.DUMMYFUNCTION("IF(A649="""","""",
  INDEX(FILTER('RE Portfolio'!C$2:C2000,'RE Portfolio'!D$2:D2000=""BUY""), INT((ROW()-2)/amortYears)+1)
  * (1 + VALUE(Assumptions!$B$11))^(D649-1)
)
"),777924.793966582)</f>
        <v>777924.794</v>
      </c>
    </row>
    <row r="650">
      <c r="A650" s="15">
        <f>IFERROR(__xludf.DUMMYFUNCTION("IFERROR(INDEX(FILTER('RE Portfolio'!A$2:A2000,'RE Portfolio'!D$2:D2000=""BUY""), INT((ROW()-2)/amortYears)+1), )
"),18.0)</f>
        <v>18</v>
      </c>
      <c r="B650" s="15">
        <f>IFERROR(__xludf.DUMMYFUNCTION("IFERROR(INDEX(FILTER('RE Portfolio'!B$2:B2000,'RE Portfolio'!D$2:D2000=""BUY""), INT((ROW()-2)/amortYears)+1), )
"),61.0)</f>
        <v>61</v>
      </c>
      <c r="C650" s="15">
        <f>IFERROR(__xludf.DUMMYFUNCTION("IFERROR(INDEX(FILTER('RE Portfolio'!G$2:G2000,'RE Portfolio'!D$2:D2000=""BUY""), INT((ROW()-2)/amortYears)+1), )
"),561003.457187439)</f>
        <v>561003.4572</v>
      </c>
      <c r="D650" s="15">
        <f>MOD(ROW()-2, amortYears)+1</f>
        <v>3</v>
      </c>
      <c r="E650" s="15">
        <f t="shared" si="1"/>
        <v>63</v>
      </c>
      <c r="F650" s="16">
        <f t="shared" si="2"/>
        <v>548042.5546</v>
      </c>
      <c r="G650" s="16">
        <f>IF(D650&lt;=mortTerm, -PMT(mortRate/12, mortTerm*12, C650)*12, 0)
</f>
        <v>42551.08156</v>
      </c>
      <c r="H650" s="16">
        <f>IF(D650&lt;=mortTerm, G650 - I650, 0)
</f>
        <v>35412.58739</v>
      </c>
      <c r="I650" s="16">
        <f>IF(D650&lt;=mortTerm, F650 - J650, 0)
</f>
        <v>7138.494174</v>
      </c>
      <c r="J650" s="16">
        <f>IF(D650&lt;=mortTerm,
   F650*(1+mortRate/12)^12 - (-PMT(mortRate/12, mortTerm*12, C650))*(((1+mortRate/12)^12 - 1)/(mortRate/12)),
   0
)
</f>
        <v>540904.0604</v>
      </c>
      <c r="K650" s="13">
        <f>IFERROR(__xludf.DUMMYFUNCTION("IF(A650="""","""",
   IF(F650&gt;0,
      INDEX(FILTER('RE Portfolio'!L$2:L2000,'RE Portfolio'!D$2:D2000=""BUY""), INT((ROW()-2)/amortYears)+1) - G650,
      INDEX(FILTER('RE Portfolio'!L$2:L2000,'RE Portfolio'!D$2:D2000=""BUY""), INT((ROW()-2)/amortYears)+1"&amp;")
   )
)
"),13100.461390131757)</f>
        <v>13100.46139</v>
      </c>
      <c r="L650" s="15">
        <f>IFERROR(__xludf.DUMMYFUNCTION("IF(A650="""","""",
  INDEX(FILTER('RE Portfolio'!C$2:C2000,'RE Portfolio'!D$2:D2000=""BUY""), INT((ROW()-2)/amortYears)+1)
  * (1 + VALUE(Assumptions!$B$11))^(D650-1)
)
"),809041.7857252455)</f>
        <v>809041.7857</v>
      </c>
    </row>
    <row r="651">
      <c r="A651" s="15">
        <f>IFERROR(__xludf.DUMMYFUNCTION("IFERROR(INDEX(FILTER('RE Portfolio'!A$2:A2000,'RE Portfolio'!D$2:D2000=""BUY""), INT((ROW()-2)/amortYears)+1), )
"),18.0)</f>
        <v>18</v>
      </c>
      <c r="B651" s="15">
        <f>IFERROR(__xludf.DUMMYFUNCTION("IFERROR(INDEX(FILTER('RE Portfolio'!B$2:B2000,'RE Portfolio'!D$2:D2000=""BUY""), INT((ROW()-2)/amortYears)+1), )
"),61.0)</f>
        <v>61</v>
      </c>
      <c r="C651" s="15">
        <f>IFERROR(__xludf.DUMMYFUNCTION("IFERROR(INDEX(FILTER('RE Portfolio'!G$2:G2000,'RE Portfolio'!D$2:D2000=""BUY""), INT((ROW()-2)/amortYears)+1), )
"),561003.457187439)</f>
        <v>561003.4572</v>
      </c>
      <c r="D651" s="15">
        <f>MOD(ROW()-2, amortYears)+1</f>
        <v>4</v>
      </c>
      <c r="E651" s="15">
        <f t="shared" si="1"/>
        <v>64</v>
      </c>
      <c r="F651" s="16">
        <f t="shared" si="2"/>
        <v>540904.0604</v>
      </c>
      <c r="G651" s="16">
        <f>IF(D651&lt;=mortTerm, -PMT(mortRate/12, mortTerm*12, C651)*12, 0)
</f>
        <v>42551.08156</v>
      </c>
      <c r="H651" s="16">
        <f>IF(D651&lt;=mortTerm, G651 - I651, 0)
</f>
        <v>34934.50921</v>
      </c>
      <c r="I651" s="16">
        <f>IF(D651&lt;=mortTerm, F651 - J651, 0)
</f>
        <v>7616.572349</v>
      </c>
      <c r="J651" s="16">
        <f>IF(D651&lt;=mortTerm,
   F651*(1+mortRate/12)^12 - (-PMT(mortRate/12, mortTerm*12, C651))*(((1+mortRate/12)^12 - 1)/(mortRate/12)),
   0
)
</f>
        <v>533287.4881</v>
      </c>
      <c r="K651" s="13">
        <f>IFERROR(__xludf.DUMMYFUNCTION("IF(A651="""","""",
   IF(F651&gt;0,
      INDEX(FILTER('RE Portfolio'!L$2:L2000,'RE Portfolio'!D$2:D2000=""BUY""), INT((ROW()-2)/amortYears)+1) - G651,
      INDEX(FILTER('RE Portfolio'!L$2:L2000,'RE Portfolio'!D$2:D2000=""BUY""), INT((ROW()-2)/amortYears)+1"&amp;")
   )
)
"),13100.461390131757)</f>
        <v>13100.46139</v>
      </c>
      <c r="L651" s="15">
        <f>IFERROR(__xludf.DUMMYFUNCTION("IF(A651="""","""",
  INDEX(FILTER('RE Portfolio'!C$2:C2000,'RE Portfolio'!D$2:D2000=""BUY""), INT((ROW()-2)/amortYears)+1)
  * (1 + VALUE(Assumptions!$B$11))^(D651-1)
)
"),841403.4571542552)</f>
        <v>841403.4572</v>
      </c>
    </row>
    <row r="652">
      <c r="A652" s="15">
        <f>IFERROR(__xludf.DUMMYFUNCTION("IFERROR(INDEX(FILTER('RE Portfolio'!A$2:A2000,'RE Portfolio'!D$2:D2000=""BUY""), INT((ROW()-2)/amortYears)+1), )
"),18.0)</f>
        <v>18</v>
      </c>
      <c r="B652" s="15">
        <f>IFERROR(__xludf.DUMMYFUNCTION("IFERROR(INDEX(FILTER('RE Portfolio'!B$2:B2000,'RE Portfolio'!D$2:D2000=""BUY""), INT((ROW()-2)/amortYears)+1), )
"),61.0)</f>
        <v>61</v>
      </c>
      <c r="C652" s="15">
        <f>IFERROR(__xludf.DUMMYFUNCTION("IFERROR(INDEX(FILTER('RE Portfolio'!G$2:G2000,'RE Portfolio'!D$2:D2000=""BUY""), INT((ROW()-2)/amortYears)+1), )
"),561003.457187439)</f>
        <v>561003.4572</v>
      </c>
      <c r="D652" s="15">
        <f>MOD(ROW()-2, amortYears)+1</f>
        <v>5</v>
      </c>
      <c r="E652" s="15">
        <f t="shared" si="1"/>
        <v>65</v>
      </c>
      <c r="F652" s="16">
        <f t="shared" si="2"/>
        <v>533287.4881</v>
      </c>
      <c r="G652" s="16">
        <f>IF(D652&lt;=mortTerm, -PMT(mortRate/12, mortTerm*12, C652)*12, 0)
</f>
        <v>42551.08156</v>
      </c>
      <c r="H652" s="16">
        <f>IF(D652&lt;=mortTerm, G652 - I652, 0)
</f>
        <v>34424.41326</v>
      </c>
      <c r="I652" s="16">
        <f>IF(D652&lt;=mortTerm, F652 - J652, 0)
</f>
        <v>8126.668305</v>
      </c>
      <c r="J652" s="16">
        <f>IF(D652&lt;=mortTerm,
   F652*(1+mortRate/12)^12 - (-PMT(mortRate/12, mortTerm*12, C652))*(((1+mortRate/12)^12 - 1)/(mortRate/12)),
   0
)
</f>
        <v>525160.8198</v>
      </c>
      <c r="K652" s="13">
        <f>IFERROR(__xludf.DUMMYFUNCTION("IF(A652="""","""",
   IF(F652&gt;0,
      INDEX(FILTER('RE Portfolio'!L$2:L2000,'RE Portfolio'!D$2:D2000=""BUY""), INT((ROW()-2)/amortYears)+1) - G652,
      INDEX(FILTER('RE Portfolio'!L$2:L2000,'RE Portfolio'!D$2:D2000=""BUY""), INT((ROW()-2)/amortYears)+1"&amp;")
   )
)
"),13100.461390131757)</f>
        <v>13100.46139</v>
      </c>
      <c r="L652" s="15">
        <f>IFERROR(__xludf.DUMMYFUNCTION("IF(A652="""","""",
  INDEX(FILTER('RE Portfolio'!C$2:C2000,'RE Portfolio'!D$2:D2000=""BUY""), INT((ROW()-2)/amortYears)+1)
  * (1 + VALUE(Assumptions!$B$11))^(D652-1)
)
"),875059.5954404256)</f>
        <v>875059.5954</v>
      </c>
    </row>
    <row r="653">
      <c r="A653" s="15">
        <f>IFERROR(__xludf.DUMMYFUNCTION("IFERROR(INDEX(FILTER('RE Portfolio'!A$2:A2000,'RE Portfolio'!D$2:D2000=""BUY""), INT((ROW()-2)/amortYears)+1), )
"),18.0)</f>
        <v>18</v>
      </c>
      <c r="B653" s="15">
        <f>IFERROR(__xludf.DUMMYFUNCTION("IFERROR(INDEX(FILTER('RE Portfolio'!B$2:B2000,'RE Portfolio'!D$2:D2000=""BUY""), INT((ROW()-2)/amortYears)+1), )
"),61.0)</f>
        <v>61</v>
      </c>
      <c r="C653" s="15">
        <f>IFERROR(__xludf.DUMMYFUNCTION("IFERROR(INDEX(FILTER('RE Portfolio'!G$2:G2000,'RE Portfolio'!D$2:D2000=""BUY""), INT((ROW()-2)/amortYears)+1), )
"),561003.457187439)</f>
        <v>561003.4572</v>
      </c>
      <c r="D653" s="15">
        <f>MOD(ROW()-2, amortYears)+1</f>
        <v>6</v>
      </c>
      <c r="E653" s="15">
        <f t="shared" si="1"/>
        <v>66</v>
      </c>
      <c r="F653" s="16">
        <f t="shared" si="2"/>
        <v>525160.8198</v>
      </c>
      <c r="G653" s="16">
        <f>IF(D653&lt;=mortTerm, -PMT(mortRate/12, mortTerm*12, C653)*12, 0)
</f>
        <v>42551.08156</v>
      </c>
      <c r="H653" s="16">
        <f>IF(D653&lt;=mortTerm, G653 - I653, 0)
</f>
        <v>33880.15523</v>
      </c>
      <c r="I653" s="16">
        <f>IF(D653&lt;=mortTerm, F653 - J653, 0)
</f>
        <v>8670.926332</v>
      </c>
      <c r="J653" s="16">
        <f>IF(D653&lt;=mortTerm,
   F653*(1+mortRate/12)^12 - (-PMT(mortRate/12, mortTerm*12, C653))*(((1+mortRate/12)^12 - 1)/(mortRate/12)),
   0
)
</f>
        <v>516489.8934</v>
      </c>
      <c r="K653" s="13">
        <f>IFERROR(__xludf.DUMMYFUNCTION("IF(A653="""","""",
   IF(F653&gt;0,
      INDEX(FILTER('RE Portfolio'!L$2:L2000,'RE Portfolio'!D$2:D2000=""BUY""), INT((ROW()-2)/amortYears)+1) - G653,
      INDEX(FILTER('RE Portfolio'!L$2:L2000,'RE Portfolio'!D$2:D2000=""BUY""), INT((ROW()-2)/amortYears)+1"&amp;")
   )
)
"),13100.461390131757)</f>
        <v>13100.46139</v>
      </c>
      <c r="L653" s="15">
        <f>IFERROR(__xludf.DUMMYFUNCTION("IF(A653="""","""",
  INDEX(FILTER('RE Portfolio'!C$2:C2000,'RE Portfolio'!D$2:D2000=""BUY""), INT((ROW()-2)/amortYears)+1)
  * (1 + VALUE(Assumptions!$B$11))^(D653-1)
)
"),910061.9792580425)</f>
        <v>910061.9793</v>
      </c>
    </row>
    <row r="654">
      <c r="A654" s="15">
        <f>IFERROR(__xludf.DUMMYFUNCTION("IFERROR(INDEX(FILTER('RE Portfolio'!A$2:A2000,'RE Portfolio'!D$2:D2000=""BUY""), INT((ROW()-2)/amortYears)+1), )
"),18.0)</f>
        <v>18</v>
      </c>
      <c r="B654" s="15">
        <f>IFERROR(__xludf.DUMMYFUNCTION("IFERROR(INDEX(FILTER('RE Portfolio'!B$2:B2000,'RE Portfolio'!D$2:D2000=""BUY""), INT((ROW()-2)/amortYears)+1), )
"),61.0)</f>
        <v>61</v>
      </c>
      <c r="C654" s="15">
        <f>IFERROR(__xludf.DUMMYFUNCTION("IFERROR(INDEX(FILTER('RE Portfolio'!G$2:G2000,'RE Portfolio'!D$2:D2000=""BUY""), INT((ROW()-2)/amortYears)+1), )
"),561003.457187439)</f>
        <v>561003.4572</v>
      </c>
      <c r="D654" s="15">
        <f>MOD(ROW()-2, amortYears)+1</f>
        <v>7</v>
      </c>
      <c r="E654" s="15">
        <f t="shared" si="1"/>
        <v>67</v>
      </c>
      <c r="F654" s="16">
        <f t="shared" si="2"/>
        <v>516489.8934</v>
      </c>
      <c r="G654" s="16">
        <f>IF(D654&lt;=mortTerm, -PMT(mortRate/12, mortTerm*12, C654)*12, 0)
</f>
        <v>42551.08156</v>
      </c>
      <c r="H654" s="16">
        <f>IF(D654&lt;=mortTerm, G654 - I654, 0)
</f>
        <v>33299.44724</v>
      </c>
      <c r="I654" s="16">
        <f>IF(D654&lt;=mortTerm, F654 - J654, 0)
</f>
        <v>9251.634327</v>
      </c>
      <c r="J654" s="16">
        <f>IF(D654&lt;=mortTerm,
   F654*(1+mortRate/12)^12 - (-PMT(mortRate/12, mortTerm*12, C654))*(((1+mortRate/12)^12 - 1)/(mortRate/12)),
   0
)
</f>
        <v>507238.2591</v>
      </c>
      <c r="K654" s="13">
        <f>IFERROR(__xludf.DUMMYFUNCTION("IF(A654="""","""",
   IF(F654&gt;0,
      INDEX(FILTER('RE Portfolio'!L$2:L2000,'RE Portfolio'!D$2:D2000=""BUY""), INT((ROW()-2)/amortYears)+1) - G654,
      INDEX(FILTER('RE Portfolio'!L$2:L2000,'RE Portfolio'!D$2:D2000=""BUY""), INT((ROW()-2)/amortYears)+1"&amp;")
   )
)
"),13100.461390131757)</f>
        <v>13100.46139</v>
      </c>
      <c r="L654" s="15">
        <f>IFERROR(__xludf.DUMMYFUNCTION("IF(A654="""","""",
  INDEX(FILTER('RE Portfolio'!C$2:C2000,'RE Portfolio'!D$2:D2000=""BUY""), INT((ROW()-2)/amortYears)+1)
  * (1 + VALUE(Assumptions!$B$11))^(D654-1)
)
"),946464.4584283644)</f>
        <v>946464.4584</v>
      </c>
    </row>
    <row r="655">
      <c r="A655" s="15">
        <f>IFERROR(__xludf.DUMMYFUNCTION("IFERROR(INDEX(FILTER('RE Portfolio'!A$2:A2000,'RE Portfolio'!D$2:D2000=""BUY""), INT((ROW()-2)/amortYears)+1), )
"),18.0)</f>
        <v>18</v>
      </c>
      <c r="B655" s="15">
        <f>IFERROR(__xludf.DUMMYFUNCTION("IFERROR(INDEX(FILTER('RE Portfolio'!B$2:B2000,'RE Portfolio'!D$2:D2000=""BUY""), INT((ROW()-2)/amortYears)+1), )
"),61.0)</f>
        <v>61</v>
      </c>
      <c r="C655" s="15">
        <f>IFERROR(__xludf.DUMMYFUNCTION("IFERROR(INDEX(FILTER('RE Portfolio'!G$2:G2000,'RE Portfolio'!D$2:D2000=""BUY""), INT((ROW()-2)/amortYears)+1), )
"),561003.457187439)</f>
        <v>561003.4572</v>
      </c>
      <c r="D655" s="15">
        <f>MOD(ROW()-2, amortYears)+1</f>
        <v>8</v>
      </c>
      <c r="E655" s="15">
        <f t="shared" si="1"/>
        <v>68</v>
      </c>
      <c r="F655" s="16">
        <f t="shared" si="2"/>
        <v>507238.2591</v>
      </c>
      <c r="G655" s="16">
        <f>IF(D655&lt;=mortTerm, -PMT(mortRate/12, mortTerm*12, C655)*12, 0)
</f>
        <v>42551.08156</v>
      </c>
      <c r="H655" s="16">
        <f>IF(D655&lt;=mortTerm, G655 - I655, 0)
</f>
        <v>32679.84815</v>
      </c>
      <c r="I655" s="16">
        <f>IF(D655&lt;=mortTerm, F655 - J655, 0)
</f>
        <v>9871.233412</v>
      </c>
      <c r="J655" s="16">
        <f>IF(D655&lt;=mortTerm,
   F655*(1+mortRate/12)^12 - (-PMT(mortRate/12, mortTerm*12, C655))*(((1+mortRate/12)^12 - 1)/(mortRate/12)),
   0
)
</f>
        <v>497367.0257</v>
      </c>
      <c r="K655" s="13">
        <f>IFERROR(__xludf.DUMMYFUNCTION("IF(A655="""","""",
   IF(F655&gt;0,
      INDEX(FILTER('RE Portfolio'!L$2:L2000,'RE Portfolio'!D$2:D2000=""BUY""), INT((ROW()-2)/amortYears)+1) - G655,
      INDEX(FILTER('RE Portfolio'!L$2:L2000,'RE Portfolio'!D$2:D2000=""BUY""), INT((ROW()-2)/amortYears)+1"&amp;")
   )
)
"),13100.461390131757)</f>
        <v>13100.46139</v>
      </c>
      <c r="L655" s="15">
        <f>IFERROR(__xludf.DUMMYFUNCTION("IF(A655="""","""",
  INDEX(FILTER('RE Portfolio'!C$2:C2000,'RE Portfolio'!D$2:D2000=""BUY""), INT((ROW()-2)/amortYears)+1)
  * (1 + VALUE(Assumptions!$B$11))^(D655-1)
)
"),984323.0367654988)</f>
        <v>984323.0368</v>
      </c>
    </row>
    <row r="656">
      <c r="A656" s="15">
        <f>IFERROR(__xludf.DUMMYFUNCTION("IFERROR(INDEX(FILTER('RE Portfolio'!A$2:A2000,'RE Portfolio'!D$2:D2000=""BUY""), INT((ROW()-2)/amortYears)+1), )
"),18.0)</f>
        <v>18</v>
      </c>
      <c r="B656" s="15">
        <f>IFERROR(__xludf.DUMMYFUNCTION("IFERROR(INDEX(FILTER('RE Portfolio'!B$2:B2000,'RE Portfolio'!D$2:D2000=""BUY""), INT((ROW()-2)/amortYears)+1), )
"),61.0)</f>
        <v>61</v>
      </c>
      <c r="C656" s="15">
        <f>IFERROR(__xludf.DUMMYFUNCTION("IFERROR(INDEX(FILTER('RE Portfolio'!G$2:G2000,'RE Portfolio'!D$2:D2000=""BUY""), INT((ROW()-2)/amortYears)+1), )
"),561003.457187439)</f>
        <v>561003.4572</v>
      </c>
      <c r="D656" s="15">
        <f>MOD(ROW()-2, amortYears)+1</f>
        <v>9</v>
      </c>
      <c r="E656" s="15">
        <f t="shared" si="1"/>
        <v>69</v>
      </c>
      <c r="F656" s="16">
        <f t="shared" si="2"/>
        <v>497367.0257</v>
      </c>
      <c r="G656" s="16">
        <f>IF(D656&lt;=mortTerm, -PMT(mortRate/12, mortTerm*12, C656)*12, 0)
</f>
        <v>42551.08156</v>
      </c>
      <c r="H656" s="16">
        <f>IF(D656&lt;=mortTerm, G656 - I656, 0)
</f>
        <v>32018.75337</v>
      </c>
      <c r="I656" s="16">
        <f>IF(D656&lt;=mortTerm, F656 - J656, 0)
</f>
        <v>10532.3282</v>
      </c>
      <c r="J656" s="16">
        <f>IF(D656&lt;=mortTerm,
   F656*(1+mortRate/12)^12 - (-PMT(mortRate/12, mortTerm*12, C656))*(((1+mortRate/12)^12 - 1)/(mortRate/12)),
   0
)
</f>
        <v>486834.6975</v>
      </c>
      <c r="K656" s="13">
        <f>IFERROR(__xludf.DUMMYFUNCTION("IF(A656="""","""",
   IF(F656&gt;0,
      INDEX(FILTER('RE Portfolio'!L$2:L2000,'RE Portfolio'!D$2:D2000=""BUY""), INT((ROW()-2)/amortYears)+1) - G656,
      INDEX(FILTER('RE Portfolio'!L$2:L2000,'RE Portfolio'!D$2:D2000=""BUY""), INT((ROW()-2)/amortYears)+1"&amp;")
   )
)
"),13100.461390131757)</f>
        <v>13100.46139</v>
      </c>
      <c r="L656" s="15">
        <f>IFERROR(__xludf.DUMMYFUNCTION("IF(A656="""","""",
  INDEX(FILTER('RE Portfolio'!C$2:C2000,'RE Portfolio'!D$2:D2000=""BUY""), INT((ROW()-2)/amortYears)+1)
  * (1 + VALUE(Assumptions!$B$11))^(D656-1)
)
"),1023695.9582361188)</f>
        <v>1023695.958</v>
      </c>
    </row>
    <row r="657">
      <c r="A657" s="15">
        <f>IFERROR(__xludf.DUMMYFUNCTION("IFERROR(INDEX(FILTER('RE Portfolio'!A$2:A2000,'RE Portfolio'!D$2:D2000=""BUY""), INT((ROW()-2)/amortYears)+1), )
"),18.0)</f>
        <v>18</v>
      </c>
      <c r="B657" s="15">
        <f>IFERROR(__xludf.DUMMYFUNCTION("IFERROR(INDEX(FILTER('RE Portfolio'!B$2:B2000,'RE Portfolio'!D$2:D2000=""BUY""), INT((ROW()-2)/amortYears)+1), )
"),61.0)</f>
        <v>61</v>
      </c>
      <c r="C657" s="15">
        <f>IFERROR(__xludf.DUMMYFUNCTION("IFERROR(INDEX(FILTER('RE Portfolio'!G$2:G2000,'RE Portfolio'!D$2:D2000=""BUY""), INT((ROW()-2)/amortYears)+1), )
"),561003.457187439)</f>
        <v>561003.4572</v>
      </c>
      <c r="D657" s="15">
        <f>MOD(ROW()-2, amortYears)+1</f>
        <v>10</v>
      </c>
      <c r="E657" s="15">
        <f t="shared" si="1"/>
        <v>70</v>
      </c>
      <c r="F657" s="16">
        <f t="shared" si="2"/>
        <v>486834.6975</v>
      </c>
      <c r="G657" s="16">
        <f>IF(D657&lt;=mortTerm, -PMT(mortRate/12, mortTerm*12, C657)*12, 0)
</f>
        <v>42551.08156</v>
      </c>
      <c r="H657" s="16">
        <f>IF(D657&lt;=mortTerm, G657 - I657, 0)
</f>
        <v>31313.38384</v>
      </c>
      <c r="I657" s="16">
        <f>IF(D657&lt;=mortTerm, F657 - J657, 0)
</f>
        <v>11237.69772</v>
      </c>
      <c r="J657" s="16">
        <f>IF(D657&lt;=mortTerm,
   F657*(1+mortRate/12)^12 - (-PMT(mortRate/12, mortTerm*12, C657))*(((1+mortRate/12)^12 - 1)/(mortRate/12)),
   0
)
</f>
        <v>475596.9998</v>
      </c>
      <c r="K657" s="13">
        <f>IFERROR(__xludf.DUMMYFUNCTION("IF(A657="""","""",
   IF(F657&gt;0,
      INDEX(FILTER('RE Portfolio'!L$2:L2000,'RE Portfolio'!D$2:D2000=""BUY""), INT((ROW()-2)/amortYears)+1) - G657,
      INDEX(FILTER('RE Portfolio'!L$2:L2000,'RE Portfolio'!D$2:D2000=""BUY""), INT((ROW()-2)/amortYears)+1"&amp;")
   )
)
"),13100.461390131757)</f>
        <v>13100.46139</v>
      </c>
      <c r="L657" s="15">
        <f>IFERROR(__xludf.DUMMYFUNCTION("IF(A657="""","""",
  INDEX(FILTER('RE Portfolio'!C$2:C2000,'RE Portfolio'!D$2:D2000=""BUY""), INT((ROW()-2)/amortYears)+1)
  * (1 + VALUE(Assumptions!$B$11))^(D657-1)
)
"),1064643.7965655637)</f>
        <v>1064643.797</v>
      </c>
    </row>
    <row r="658">
      <c r="A658" s="15">
        <f>IFERROR(__xludf.DUMMYFUNCTION("IFERROR(INDEX(FILTER('RE Portfolio'!A$2:A2000,'RE Portfolio'!D$2:D2000=""BUY""), INT((ROW()-2)/amortYears)+1), )
"),18.0)</f>
        <v>18</v>
      </c>
      <c r="B658" s="15">
        <f>IFERROR(__xludf.DUMMYFUNCTION("IFERROR(INDEX(FILTER('RE Portfolio'!B$2:B2000,'RE Portfolio'!D$2:D2000=""BUY""), INT((ROW()-2)/amortYears)+1), )
"),61.0)</f>
        <v>61</v>
      </c>
      <c r="C658" s="15">
        <f>IFERROR(__xludf.DUMMYFUNCTION("IFERROR(INDEX(FILTER('RE Portfolio'!G$2:G2000,'RE Portfolio'!D$2:D2000=""BUY""), INT((ROW()-2)/amortYears)+1), )
"),561003.457187439)</f>
        <v>561003.4572</v>
      </c>
      <c r="D658" s="15">
        <f>MOD(ROW()-2, amortYears)+1</f>
        <v>11</v>
      </c>
      <c r="E658" s="15">
        <f t="shared" si="1"/>
        <v>71</v>
      </c>
      <c r="F658" s="16">
        <f t="shared" si="2"/>
        <v>475596.9998</v>
      </c>
      <c r="G658" s="16">
        <f>IF(D658&lt;=mortTerm, -PMT(mortRate/12, mortTerm*12, C658)*12, 0)
</f>
        <v>42551.08156</v>
      </c>
      <c r="H658" s="16">
        <f>IF(D658&lt;=mortTerm, G658 - I658, 0)
</f>
        <v>30560.77441</v>
      </c>
      <c r="I658" s="16">
        <f>IF(D658&lt;=mortTerm, F658 - J658, 0)
</f>
        <v>11990.30715</v>
      </c>
      <c r="J658" s="16">
        <f>IF(D658&lt;=mortTerm,
   F658*(1+mortRate/12)^12 - (-PMT(mortRate/12, mortTerm*12, C658))*(((1+mortRate/12)^12 - 1)/(mortRate/12)),
   0
)
</f>
        <v>463606.6926</v>
      </c>
      <c r="K658" s="13">
        <f>IFERROR(__xludf.DUMMYFUNCTION("IF(A658="""","""",
   IF(F658&gt;0,
      INDEX(FILTER('RE Portfolio'!L$2:L2000,'RE Portfolio'!D$2:D2000=""BUY""), INT((ROW()-2)/amortYears)+1) - G658,
      INDEX(FILTER('RE Portfolio'!L$2:L2000,'RE Portfolio'!D$2:D2000=""BUY""), INT((ROW()-2)/amortYears)+1"&amp;")
   )
)
"),13100.461390131757)</f>
        <v>13100.46139</v>
      </c>
      <c r="L658" s="15">
        <f>IFERROR(__xludf.DUMMYFUNCTION("IF(A658="""","""",
  INDEX(FILTER('RE Portfolio'!C$2:C2000,'RE Portfolio'!D$2:D2000=""BUY""), INT((ROW()-2)/amortYears)+1)
  * (1 + VALUE(Assumptions!$B$11))^(D658-1)
)
"),1107229.5484281862)</f>
        <v>1107229.548</v>
      </c>
    </row>
    <row r="659">
      <c r="A659" s="15">
        <f>IFERROR(__xludf.DUMMYFUNCTION("IFERROR(INDEX(FILTER('RE Portfolio'!A$2:A2000,'RE Portfolio'!D$2:D2000=""BUY""), INT((ROW()-2)/amortYears)+1), )
"),18.0)</f>
        <v>18</v>
      </c>
      <c r="B659" s="15">
        <f>IFERROR(__xludf.DUMMYFUNCTION("IFERROR(INDEX(FILTER('RE Portfolio'!B$2:B2000,'RE Portfolio'!D$2:D2000=""BUY""), INT((ROW()-2)/amortYears)+1), )
"),61.0)</f>
        <v>61</v>
      </c>
      <c r="C659" s="15">
        <f>IFERROR(__xludf.DUMMYFUNCTION("IFERROR(INDEX(FILTER('RE Portfolio'!G$2:G2000,'RE Portfolio'!D$2:D2000=""BUY""), INT((ROW()-2)/amortYears)+1), )
"),561003.457187439)</f>
        <v>561003.4572</v>
      </c>
      <c r="D659" s="15">
        <f>MOD(ROW()-2, amortYears)+1</f>
        <v>12</v>
      </c>
      <c r="E659" s="15">
        <f t="shared" si="1"/>
        <v>72</v>
      </c>
      <c r="F659" s="16">
        <f t="shared" si="2"/>
        <v>463606.6926</v>
      </c>
      <c r="G659" s="16">
        <f>IF(D659&lt;=mortTerm, -PMT(mortRate/12, mortTerm*12, C659)*12, 0)
</f>
        <v>42551.08156</v>
      </c>
      <c r="H659" s="16">
        <f>IF(D659&lt;=mortTerm, G659 - I659, 0)
</f>
        <v>29757.76134</v>
      </c>
      <c r="I659" s="16">
        <f>IF(D659&lt;=mortTerm, F659 - J659, 0)
</f>
        <v>12793.32023</v>
      </c>
      <c r="J659" s="16">
        <f>IF(D659&lt;=mortTerm,
   F659*(1+mortRate/12)^12 - (-PMT(mortRate/12, mortTerm*12, C659))*(((1+mortRate/12)^12 - 1)/(mortRate/12)),
   0
)
</f>
        <v>450813.3724</v>
      </c>
      <c r="K659" s="13">
        <f>IFERROR(__xludf.DUMMYFUNCTION("IF(A659="""","""",
   IF(F659&gt;0,
      INDEX(FILTER('RE Portfolio'!L$2:L2000,'RE Portfolio'!D$2:D2000=""BUY""), INT((ROW()-2)/amortYears)+1) - G659,
      INDEX(FILTER('RE Portfolio'!L$2:L2000,'RE Portfolio'!D$2:D2000=""BUY""), INT((ROW()-2)/amortYears)+1"&amp;")
   )
)
"),13100.461390131757)</f>
        <v>13100.46139</v>
      </c>
      <c r="L659" s="15">
        <f>IFERROR(__xludf.DUMMYFUNCTION("IF(A659="""","""",
  INDEX(FILTER('RE Portfolio'!C$2:C2000,'RE Portfolio'!D$2:D2000=""BUY""), INT((ROW()-2)/amortYears)+1)
  * (1 + VALUE(Assumptions!$B$11))^(D659-1)
)
"),1151518.7303653138)</f>
        <v>1151518.73</v>
      </c>
    </row>
    <row r="660">
      <c r="A660" s="15">
        <f>IFERROR(__xludf.DUMMYFUNCTION("IFERROR(INDEX(FILTER('RE Portfolio'!A$2:A2000,'RE Portfolio'!D$2:D2000=""BUY""), INT((ROW()-2)/amortYears)+1), )
"),18.0)</f>
        <v>18</v>
      </c>
      <c r="B660" s="15">
        <f>IFERROR(__xludf.DUMMYFUNCTION("IFERROR(INDEX(FILTER('RE Portfolio'!B$2:B2000,'RE Portfolio'!D$2:D2000=""BUY""), INT((ROW()-2)/amortYears)+1), )
"),61.0)</f>
        <v>61</v>
      </c>
      <c r="C660" s="15">
        <f>IFERROR(__xludf.DUMMYFUNCTION("IFERROR(INDEX(FILTER('RE Portfolio'!G$2:G2000,'RE Portfolio'!D$2:D2000=""BUY""), INT((ROW()-2)/amortYears)+1), )
"),561003.457187439)</f>
        <v>561003.4572</v>
      </c>
      <c r="D660" s="15">
        <f>MOD(ROW()-2, amortYears)+1</f>
        <v>13</v>
      </c>
      <c r="E660" s="15">
        <f t="shared" si="1"/>
        <v>73</v>
      </c>
      <c r="F660" s="16">
        <f t="shared" si="2"/>
        <v>450813.3724</v>
      </c>
      <c r="G660" s="16">
        <f>IF(D660&lt;=mortTerm, -PMT(mortRate/12, mortTerm*12, C660)*12, 0)
</f>
        <v>42551.08156</v>
      </c>
      <c r="H660" s="16">
        <f>IF(D660&lt;=mortTerm, G660 - I660, 0)
</f>
        <v>28900.96899</v>
      </c>
      <c r="I660" s="16">
        <f>IF(D660&lt;=mortTerm, F660 - J660, 0)
</f>
        <v>13650.11257</v>
      </c>
      <c r="J660" s="16">
        <f>IF(D660&lt;=mortTerm,
   F660*(1+mortRate/12)^12 - (-PMT(mortRate/12, mortTerm*12, C660))*(((1+mortRate/12)^12 - 1)/(mortRate/12)),
   0
)
</f>
        <v>437163.2598</v>
      </c>
      <c r="K660" s="13">
        <f>IFERROR(__xludf.DUMMYFUNCTION("IF(A660="""","""",
   IF(F660&gt;0,
      INDEX(FILTER('RE Portfolio'!L$2:L2000,'RE Portfolio'!D$2:D2000=""BUY""), INT((ROW()-2)/amortYears)+1) - G660,
      INDEX(FILTER('RE Portfolio'!L$2:L2000,'RE Portfolio'!D$2:D2000=""BUY""), INT((ROW()-2)/amortYears)+1"&amp;")
   )
)
"),13100.461390131757)</f>
        <v>13100.46139</v>
      </c>
      <c r="L660" s="15">
        <f>IFERROR(__xludf.DUMMYFUNCTION("IF(A660="""","""",
  INDEX(FILTER('RE Portfolio'!C$2:C2000,'RE Portfolio'!D$2:D2000=""BUY""), INT((ROW()-2)/amortYears)+1)
  * (1 + VALUE(Assumptions!$B$11))^(D660-1)
)
"),1197579.4795799265)</f>
        <v>1197579.48</v>
      </c>
    </row>
    <row r="661">
      <c r="A661" s="15">
        <f>IFERROR(__xludf.DUMMYFUNCTION("IFERROR(INDEX(FILTER('RE Portfolio'!A$2:A2000,'RE Portfolio'!D$2:D2000=""BUY""), INT((ROW()-2)/amortYears)+1), )
"),18.0)</f>
        <v>18</v>
      </c>
      <c r="B661" s="15">
        <f>IFERROR(__xludf.DUMMYFUNCTION("IFERROR(INDEX(FILTER('RE Portfolio'!B$2:B2000,'RE Portfolio'!D$2:D2000=""BUY""), INT((ROW()-2)/amortYears)+1), )
"),61.0)</f>
        <v>61</v>
      </c>
      <c r="C661" s="15">
        <f>IFERROR(__xludf.DUMMYFUNCTION("IFERROR(INDEX(FILTER('RE Portfolio'!G$2:G2000,'RE Portfolio'!D$2:D2000=""BUY""), INT((ROW()-2)/amortYears)+1), )
"),561003.457187439)</f>
        <v>561003.4572</v>
      </c>
      <c r="D661" s="15">
        <f>MOD(ROW()-2, amortYears)+1</f>
        <v>14</v>
      </c>
      <c r="E661" s="15">
        <f t="shared" si="1"/>
        <v>74</v>
      </c>
      <c r="F661" s="16">
        <f t="shared" si="2"/>
        <v>437163.2598</v>
      </c>
      <c r="G661" s="16">
        <f>IF(D661&lt;=mortTerm, -PMT(mortRate/12, mortTerm*12, C661)*12, 0)
</f>
        <v>42551.08156</v>
      </c>
      <c r="H661" s="16">
        <f>IF(D661&lt;=mortTerm, G661 - I661, 0)
</f>
        <v>27986.79567</v>
      </c>
      <c r="I661" s="16">
        <f>IF(D661&lt;=mortTerm, F661 - J661, 0)
</f>
        <v>14564.28589</v>
      </c>
      <c r="J661" s="16">
        <f>IF(D661&lt;=mortTerm,
   F661*(1+mortRate/12)^12 - (-PMT(mortRate/12, mortTerm*12, C661))*(((1+mortRate/12)^12 - 1)/(mortRate/12)),
   0
)
</f>
        <v>422598.9739</v>
      </c>
      <c r="K661" s="13">
        <f>IFERROR(__xludf.DUMMYFUNCTION("IF(A661="""","""",
   IF(F661&gt;0,
      INDEX(FILTER('RE Portfolio'!L$2:L2000,'RE Portfolio'!D$2:D2000=""BUY""), INT((ROW()-2)/amortYears)+1) - G661,
      INDEX(FILTER('RE Portfolio'!L$2:L2000,'RE Portfolio'!D$2:D2000=""BUY""), INT((ROW()-2)/amortYears)+1"&amp;")
   )
)
"),13100.461390131757)</f>
        <v>13100.46139</v>
      </c>
      <c r="L661" s="15">
        <f>IFERROR(__xludf.DUMMYFUNCTION("IF(A661="""","""",
  INDEX(FILTER('RE Portfolio'!C$2:C2000,'RE Portfolio'!D$2:D2000=""BUY""), INT((ROW()-2)/amortYears)+1)
  * (1 + VALUE(Assumptions!$B$11))^(D661-1)
)
"),1245482.6587631234)</f>
        <v>1245482.659</v>
      </c>
    </row>
    <row r="662">
      <c r="A662" s="15">
        <f>IFERROR(__xludf.DUMMYFUNCTION("IFERROR(INDEX(FILTER('RE Portfolio'!A$2:A2000,'RE Portfolio'!D$2:D2000=""BUY""), INT((ROW()-2)/amortYears)+1), )
"),18.0)</f>
        <v>18</v>
      </c>
      <c r="B662" s="15">
        <f>IFERROR(__xludf.DUMMYFUNCTION("IFERROR(INDEX(FILTER('RE Portfolio'!B$2:B2000,'RE Portfolio'!D$2:D2000=""BUY""), INT((ROW()-2)/amortYears)+1), )
"),61.0)</f>
        <v>61</v>
      </c>
      <c r="C662" s="15">
        <f>IFERROR(__xludf.DUMMYFUNCTION("IFERROR(INDEX(FILTER('RE Portfolio'!G$2:G2000,'RE Portfolio'!D$2:D2000=""BUY""), INT((ROW()-2)/amortYears)+1), )
"),561003.457187439)</f>
        <v>561003.4572</v>
      </c>
      <c r="D662" s="15">
        <f>MOD(ROW()-2, amortYears)+1</f>
        <v>15</v>
      </c>
      <c r="E662" s="15">
        <f t="shared" si="1"/>
        <v>75</v>
      </c>
      <c r="F662" s="16">
        <f t="shared" si="2"/>
        <v>422598.9739</v>
      </c>
      <c r="G662" s="16">
        <f>IF(D662&lt;=mortTerm, -PMT(mortRate/12, mortTerm*12, C662)*12, 0)
</f>
        <v>42551.08156</v>
      </c>
      <c r="H662" s="16">
        <f>IF(D662&lt;=mortTerm, G662 - I662, 0)
</f>
        <v>27011.39847</v>
      </c>
      <c r="I662" s="16">
        <f>IF(D662&lt;=mortTerm, F662 - J662, 0)
</f>
        <v>15539.68309</v>
      </c>
      <c r="J662" s="16">
        <f>IF(D662&lt;=mortTerm,
   F662*(1+mortRate/12)^12 - (-PMT(mortRate/12, mortTerm*12, C662))*(((1+mortRate/12)^12 - 1)/(mortRate/12)),
   0
)
</f>
        <v>407059.2908</v>
      </c>
      <c r="K662" s="13">
        <f>IFERROR(__xludf.DUMMYFUNCTION("IF(A662="""","""",
   IF(F662&gt;0,
      INDEX(FILTER('RE Portfolio'!L$2:L2000,'RE Portfolio'!D$2:D2000=""BUY""), INT((ROW()-2)/amortYears)+1) - G662,
      INDEX(FILTER('RE Portfolio'!L$2:L2000,'RE Portfolio'!D$2:D2000=""BUY""), INT((ROW()-2)/amortYears)+1"&amp;")
   )
)
"),13100.461390131757)</f>
        <v>13100.46139</v>
      </c>
      <c r="L662" s="15">
        <f>IFERROR(__xludf.DUMMYFUNCTION("IF(A662="""","""",
  INDEX(FILTER('RE Portfolio'!C$2:C2000,'RE Portfolio'!D$2:D2000=""BUY""), INT((ROW()-2)/amortYears)+1)
  * (1 + VALUE(Assumptions!$B$11))^(D662-1)
)
"),1295301.9651136484)</f>
        <v>1295301.965</v>
      </c>
    </row>
    <row r="663">
      <c r="A663" s="15">
        <f>IFERROR(__xludf.DUMMYFUNCTION("IFERROR(INDEX(FILTER('RE Portfolio'!A$2:A2000,'RE Portfolio'!D$2:D2000=""BUY""), INT((ROW()-2)/amortYears)+1), )
"),18.0)</f>
        <v>18</v>
      </c>
      <c r="B663" s="15">
        <f>IFERROR(__xludf.DUMMYFUNCTION("IFERROR(INDEX(FILTER('RE Portfolio'!B$2:B2000,'RE Portfolio'!D$2:D2000=""BUY""), INT((ROW()-2)/amortYears)+1), )
"),61.0)</f>
        <v>61</v>
      </c>
      <c r="C663" s="15">
        <f>IFERROR(__xludf.DUMMYFUNCTION("IFERROR(INDEX(FILTER('RE Portfolio'!G$2:G2000,'RE Portfolio'!D$2:D2000=""BUY""), INT((ROW()-2)/amortYears)+1), )
"),561003.457187439)</f>
        <v>561003.4572</v>
      </c>
      <c r="D663" s="15">
        <f>MOD(ROW()-2, amortYears)+1</f>
        <v>16</v>
      </c>
      <c r="E663" s="15">
        <f t="shared" si="1"/>
        <v>76</v>
      </c>
      <c r="F663" s="16">
        <f t="shared" si="2"/>
        <v>407059.2908</v>
      </c>
      <c r="G663" s="16">
        <f>IF(D663&lt;=mortTerm, -PMT(mortRate/12, mortTerm*12, C663)*12, 0)
</f>
        <v>42551.08156</v>
      </c>
      <c r="H663" s="16">
        <f>IF(D663&lt;=mortTerm, G663 - I663, 0)
</f>
        <v>25970.67711</v>
      </c>
      <c r="I663" s="16">
        <f>IF(D663&lt;=mortTerm, F663 - J663, 0)
</f>
        <v>16580.40445</v>
      </c>
      <c r="J663" s="16">
        <f>IF(D663&lt;=mortTerm,
   F663*(1+mortRate/12)^12 - (-PMT(mortRate/12, mortTerm*12, C663))*(((1+mortRate/12)^12 - 1)/(mortRate/12)),
   0
)
</f>
        <v>390478.8864</v>
      </c>
      <c r="K663" s="13">
        <f>IFERROR(__xludf.DUMMYFUNCTION("IF(A663="""","""",
   IF(F663&gt;0,
      INDEX(FILTER('RE Portfolio'!L$2:L2000,'RE Portfolio'!D$2:D2000=""BUY""), INT((ROW()-2)/amortYears)+1) - G663,
      INDEX(FILTER('RE Portfolio'!L$2:L2000,'RE Portfolio'!D$2:D2000=""BUY""), INT((ROW()-2)/amortYears)+1"&amp;")
   )
)
"),13100.461390131757)</f>
        <v>13100.46139</v>
      </c>
      <c r="L663" s="15">
        <f>IFERROR(__xludf.DUMMYFUNCTION("IF(A663="""","""",
  INDEX(FILTER('RE Portfolio'!C$2:C2000,'RE Portfolio'!D$2:D2000=""BUY""), INT((ROW()-2)/amortYears)+1)
  * (1 + VALUE(Assumptions!$B$11))^(D663-1)
)
"),1347114.0437181944)</f>
        <v>1347114.044</v>
      </c>
    </row>
    <row r="664">
      <c r="A664" s="15">
        <f>IFERROR(__xludf.DUMMYFUNCTION("IFERROR(INDEX(FILTER('RE Portfolio'!A$2:A2000,'RE Portfolio'!D$2:D2000=""BUY""), INT((ROW()-2)/amortYears)+1), )
"),18.0)</f>
        <v>18</v>
      </c>
      <c r="B664" s="15">
        <f>IFERROR(__xludf.DUMMYFUNCTION("IFERROR(INDEX(FILTER('RE Portfolio'!B$2:B2000,'RE Portfolio'!D$2:D2000=""BUY""), INT((ROW()-2)/amortYears)+1), )
"),61.0)</f>
        <v>61</v>
      </c>
      <c r="C664" s="15">
        <f>IFERROR(__xludf.DUMMYFUNCTION("IFERROR(INDEX(FILTER('RE Portfolio'!G$2:G2000,'RE Portfolio'!D$2:D2000=""BUY""), INT((ROW()-2)/amortYears)+1), )
"),561003.457187439)</f>
        <v>561003.4572</v>
      </c>
      <c r="D664" s="15">
        <f>MOD(ROW()-2, amortYears)+1</f>
        <v>17</v>
      </c>
      <c r="E664" s="15">
        <f t="shared" si="1"/>
        <v>77</v>
      </c>
      <c r="F664" s="16">
        <f t="shared" si="2"/>
        <v>390478.8864</v>
      </c>
      <c r="G664" s="16">
        <f>IF(D664&lt;=mortTerm, -PMT(mortRate/12, mortTerm*12, C664)*12, 0)
</f>
        <v>42551.08156</v>
      </c>
      <c r="H664" s="16">
        <f>IF(D664&lt;=mortTerm, G664 - I664, 0)
</f>
        <v>24860.25672</v>
      </c>
      <c r="I664" s="16">
        <f>IF(D664&lt;=mortTerm, F664 - J664, 0)
</f>
        <v>17690.82484</v>
      </c>
      <c r="J664" s="16">
        <f>IF(D664&lt;=mortTerm,
   F664*(1+mortRate/12)^12 - (-PMT(mortRate/12, mortTerm*12, C664))*(((1+mortRate/12)^12 - 1)/(mortRate/12)),
   0
)
</f>
        <v>372788.0615</v>
      </c>
      <c r="K664" s="13">
        <f>IFERROR(__xludf.DUMMYFUNCTION("IF(A664="""","""",
   IF(F664&gt;0,
      INDEX(FILTER('RE Portfolio'!L$2:L2000,'RE Portfolio'!D$2:D2000=""BUY""), INT((ROW()-2)/amortYears)+1) - G664,
      INDEX(FILTER('RE Portfolio'!L$2:L2000,'RE Portfolio'!D$2:D2000=""BUY""), INT((ROW()-2)/amortYears)+1"&amp;")
   )
)
"),13100.461390131757)</f>
        <v>13100.46139</v>
      </c>
      <c r="L664" s="15">
        <f>IFERROR(__xludf.DUMMYFUNCTION("IF(A664="""","""",
  INDEX(FILTER('RE Portfolio'!C$2:C2000,'RE Portfolio'!D$2:D2000=""BUY""), INT((ROW()-2)/amortYears)+1)
  * (1 + VALUE(Assumptions!$B$11))^(D664-1)
)
"),1400998.6054669223)</f>
        <v>1400998.605</v>
      </c>
    </row>
    <row r="665">
      <c r="A665" s="15">
        <f>IFERROR(__xludf.DUMMYFUNCTION("IFERROR(INDEX(FILTER('RE Portfolio'!A$2:A2000,'RE Portfolio'!D$2:D2000=""BUY""), INT((ROW()-2)/amortYears)+1), )
"),18.0)</f>
        <v>18</v>
      </c>
      <c r="B665" s="15">
        <f>IFERROR(__xludf.DUMMYFUNCTION("IFERROR(INDEX(FILTER('RE Portfolio'!B$2:B2000,'RE Portfolio'!D$2:D2000=""BUY""), INT((ROW()-2)/amortYears)+1), )
"),61.0)</f>
        <v>61</v>
      </c>
      <c r="C665" s="15">
        <f>IFERROR(__xludf.DUMMYFUNCTION("IFERROR(INDEX(FILTER('RE Portfolio'!G$2:G2000,'RE Portfolio'!D$2:D2000=""BUY""), INT((ROW()-2)/amortYears)+1), )
"),561003.457187439)</f>
        <v>561003.4572</v>
      </c>
      <c r="D665" s="15">
        <f>MOD(ROW()-2, amortYears)+1</f>
        <v>18</v>
      </c>
      <c r="E665" s="15">
        <f t="shared" si="1"/>
        <v>78</v>
      </c>
      <c r="F665" s="16">
        <f t="shared" si="2"/>
        <v>372788.0615</v>
      </c>
      <c r="G665" s="16">
        <f>IF(D665&lt;=mortTerm, -PMT(mortRate/12, mortTerm*12, C665)*12, 0)
</f>
        <v>42551.08156</v>
      </c>
      <c r="H665" s="16">
        <f>IF(D665&lt;=mortTerm, G665 - I665, 0)
</f>
        <v>23675.46942</v>
      </c>
      <c r="I665" s="16">
        <f>IF(D665&lt;=mortTerm, F665 - J665, 0)
</f>
        <v>18875.61214</v>
      </c>
      <c r="J665" s="16">
        <f>IF(D665&lt;=mortTerm,
   F665*(1+mortRate/12)^12 - (-PMT(mortRate/12, mortTerm*12, C665))*(((1+mortRate/12)^12 - 1)/(mortRate/12)),
   0
)
</f>
        <v>353912.4494</v>
      </c>
      <c r="K665" s="13">
        <f>IFERROR(__xludf.DUMMYFUNCTION("IF(A665="""","""",
   IF(F665&gt;0,
      INDEX(FILTER('RE Portfolio'!L$2:L2000,'RE Portfolio'!D$2:D2000=""BUY""), INT((ROW()-2)/amortYears)+1) - G665,
      INDEX(FILTER('RE Portfolio'!L$2:L2000,'RE Portfolio'!D$2:D2000=""BUY""), INT((ROW()-2)/amortYears)+1"&amp;")
   )
)
"),13100.461390131757)</f>
        <v>13100.46139</v>
      </c>
      <c r="L665" s="15">
        <f>IFERROR(__xludf.DUMMYFUNCTION("IF(A665="""","""",
  INDEX(FILTER('RE Portfolio'!C$2:C2000,'RE Portfolio'!D$2:D2000=""BUY""), INT((ROW()-2)/amortYears)+1)
  * (1 + VALUE(Assumptions!$B$11))^(D665-1)
)
"),1457038.549685599)</f>
        <v>1457038.55</v>
      </c>
    </row>
    <row r="666">
      <c r="A666" s="15">
        <f>IFERROR(__xludf.DUMMYFUNCTION("IFERROR(INDEX(FILTER('RE Portfolio'!A$2:A2000,'RE Portfolio'!D$2:D2000=""BUY""), INT((ROW()-2)/amortYears)+1), )
"),18.0)</f>
        <v>18</v>
      </c>
      <c r="B666" s="15">
        <f>IFERROR(__xludf.DUMMYFUNCTION("IFERROR(INDEX(FILTER('RE Portfolio'!B$2:B2000,'RE Portfolio'!D$2:D2000=""BUY""), INT((ROW()-2)/amortYears)+1), )
"),61.0)</f>
        <v>61</v>
      </c>
      <c r="C666" s="15">
        <f>IFERROR(__xludf.DUMMYFUNCTION("IFERROR(INDEX(FILTER('RE Portfolio'!G$2:G2000,'RE Portfolio'!D$2:D2000=""BUY""), INT((ROW()-2)/amortYears)+1), )
"),561003.457187439)</f>
        <v>561003.4572</v>
      </c>
      <c r="D666" s="15">
        <f>MOD(ROW()-2, amortYears)+1</f>
        <v>19</v>
      </c>
      <c r="E666" s="15">
        <f t="shared" si="1"/>
        <v>79</v>
      </c>
      <c r="F666" s="16">
        <f t="shared" si="2"/>
        <v>353912.4494</v>
      </c>
      <c r="G666" s="16">
        <f>IF(D666&lt;=mortTerm, -PMT(mortRate/12, mortTerm*12, C666)*12, 0)
</f>
        <v>42551.08156</v>
      </c>
      <c r="H666" s="16">
        <f>IF(D666&lt;=mortTerm, G666 - I666, 0)
</f>
        <v>22411.33472</v>
      </c>
      <c r="I666" s="16">
        <f>IF(D666&lt;=mortTerm, F666 - J666, 0)
</f>
        <v>20139.74685</v>
      </c>
      <c r="J666" s="16">
        <f>IF(D666&lt;=mortTerm,
   F666*(1+mortRate/12)^12 - (-PMT(mortRate/12, mortTerm*12, C666))*(((1+mortRate/12)^12 - 1)/(mortRate/12)),
   0
)
</f>
        <v>333772.7026</v>
      </c>
      <c r="K666" s="13">
        <f>IFERROR(__xludf.DUMMYFUNCTION("IF(A666="""","""",
   IF(F666&gt;0,
      INDEX(FILTER('RE Portfolio'!L$2:L2000,'RE Portfolio'!D$2:D2000=""BUY""), INT((ROW()-2)/amortYears)+1) - G666,
      INDEX(FILTER('RE Portfolio'!L$2:L2000,'RE Portfolio'!D$2:D2000=""BUY""), INT((ROW()-2)/amortYears)+1"&amp;")
   )
)
"),13100.461390131757)</f>
        <v>13100.46139</v>
      </c>
      <c r="L666" s="15">
        <f>IFERROR(__xludf.DUMMYFUNCTION("IF(A666="""","""",
  INDEX(FILTER('RE Portfolio'!C$2:C2000,'RE Portfolio'!D$2:D2000=""BUY""), INT((ROW()-2)/amortYears)+1)
  * (1 + VALUE(Assumptions!$B$11))^(D666-1)
)
"),1515320.0916730233)</f>
        <v>1515320.092</v>
      </c>
    </row>
    <row r="667">
      <c r="A667" s="15">
        <f>IFERROR(__xludf.DUMMYFUNCTION("IFERROR(INDEX(FILTER('RE Portfolio'!A$2:A2000,'RE Portfolio'!D$2:D2000=""BUY""), INT((ROW()-2)/amortYears)+1), )
"),18.0)</f>
        <v>18</v>
      </c>
      <c r="B667" s="15">
        <f>IFERROR(__xludf.DUMMYFUNCTION("IFERROR(INDEX(FILTER('RE Portfolio'!B$2:B2000,'RE Portfolio'!D$2:D2000=""BUY""), INT((ROW()-2)/amortYears)+1), )
"),61.0)</f>
        <v>61</v>
      </c>
      <c r="C667" s="15">
        <f>IFERROR(__xludf.DUMMYFUNCTION("IFERROR(INDEX(FILTER('RE Portfolio'!G$2:G2000,'RE Portfolio'!D$2:D2000=""BUY""), INT((ROW()-2)/amortYears)+1), )
"),561003.457187439)</f>
        <v>561003.4572</v>
      </c>
      <c r="D667" s="15">
        <f>MOD(ROW()-2, amortYears)+1</f>
        <v>20</v>
      </c>
      <c r="E667" s="15">
        <f t="shared" si="1"/>
        <v>80</v>
      </c>
      <c r="F667" s="16">
        <f t="shared" si="2"/>
        <v>333772.7026</v>
      </c>
      <c r="G667" s="16">
        <f>IF(D667&lt;=mortTerm, -PMT(mortRate/12, mortTerm*12, C667)*12, 0)
</f>
        <v>42551.08156</v>
      </c>
      <c r="H667" s="16">
        <f>IF(D667&lt;=mortTerm, G667 - I667, 0)
</f>
        <v>21062.53857</v>
      </c>
      <c r="I667" s="16">
        <f>IF(D667&lt;=mortTerm, F667 - J667, 0)
</f>
        <v>21488.54299</v>
      </c>
      <c r="J667" s="16">
        <f>IF(D667&lt;=mortTerm,
   F667*(1+mortRate/12)^12 - (-PMT(mortRate/12, mortTerm*12, C667))*(((1+mortRate/12)^12 - 1)/(mortRate/12)),
   0
)
</f>
        <v>312284.1596</v>
      </c>
      <c r="K667" s="13">
        <f>IFERROR(__xludf.DUMMYFUNCTION("IF(A667="""","""",
   IF(F667&gt;0,
      INDEX(FILTER('RE Portfolio'!L$2:L2000,'RE Portfolio'!D$2:D2000=""BUY""), INT((ROW()-2)/amortYears)+1) - G667,
      INDEX(FILTER('RE Portfolio'!L$2:L2000,'RE Portfolio'!D$2:D2000=""BUY""), INT((ROW()-2)/amortYears)+1"&amp;")
   )
)
"),13100.461390131757)</f>
        <v>13100.46139</v>
      </c>
      <c r="L667" s="15">
        <f>IFERROR(__xludf.DUMMYFUNCTION("IF(A667="""","""",
  INDEX(FILTER('RE Portfolio'!C$2:C2000,'RE Portfolio'!D$2:D2000=""BUY""), INT((ROW()-2)/amortYears)+1)
  * (1 + VALUE(Assumptions!$B$11))^(D667-1)
)
"),1575932.8953399442)</f>
        <v>1575932.895</v>
      </c>
    </row>
    <row r="668">
      <c r="A668" s="15">
        <f>IFERROR(__xludf.DUMMYFUNCTION("IFERROR(INDEX(FILTER('RE Portfolio'!A$2:A2000,'RE Portfolio'!D$2:D2000=""BUY""), INT((ROW()-2)/amortYears)+1), )
"),18.0)</f>
        <v>18</v>
      </c>
      <c r="B668" s="15">
        <f>IFERROR(__xludf.DUMMYFUNCTION("IFERROR(INDEX(FILTER('RE Portfolio'!B$2:B2000,'RE Portfolio'!D$2:D2000=""BUY""), INT((ROW()-2)/amortYears)+1), )
"),61.0)</f>
        <v>61</v>
      </c>
      <c r="C668" s="15">
        <f>IFERROR(__xludf.DUMMYFUNCTION("IFERROR(INDEX(FILTER('RE Portfolio'!G$2:G2000,'RE Portfolio'!D$2:D2000=""BUY""), INT((ROW()-2)/amortYears)+1), )
"),561003.457187439)</f>
        <v>561003.4572</v>
      </c>
      <c r="D668" s="15">
        <f>MOD(ROW()-2, amortYears)+1</f>
        <v>21</v>
      </c>
      <c r="E668" s="15">
        <f t="shared" si="1"/>
        <v>81</v>
      </c>
      <c r="F668" s="16">
        <f t="shared" si="2"/>
        <v>312284.1596</v>
      </c>
      <c r="G668" s="16">
        <f>IF(D668&lt;=mortTerm, -PMT(mortRate/12, mortTerm*12, C668)*12, 0)
</f>
        <v>42551.08156</v>
      </c>
      <c r="H668" s="16">
        <f>IF(D668&lt;=mortTerm, G668 - I668, 0)
</f>
        <v>19623.41105</v>
      </c>
      <c r="I668" s="16">
        <f>IF(D668&lt;=mortTerm, F668 - J668, 0)
</f>
        <v>22927.67051</v>
      </c>
      <c r="J668" s="16">
        <f>IF(D668&lt;=mortTerm,
   F668*(1+mortRate/12)^12 - (-PMT(mortRate/12, mortTerm*12, C668))*(((1+mortRate/12)^12 - 1)/(mortRate/12)),
   0
)
</f>
        <v>289356.489</v>
      </c>
      <c r="K668" s="13">
        <f>IFERROR(__xludf.DUMMYFUNCTION("IF(A668="""","""",
   IF(F668&gt;0,
      INDEX(FILTER('RE Portfolio'!L$2:L2000,'RE Portfolio'!D$2:D2000=""BUY""), INT((ROW()-2)/amortYears)+1) - G668,
      INDEX(FILTER('RE Portfolio'!L$2:L2000,'RE Portfolio'!D$2:D2000=""BUY""), INT((ROW()-2)/amortYears)+1"&amp;")
   )
)
"),13100.461390131757)</f>
        <v>13100.46139</v>
      </c>
      <c r="L668" s="15">
        <f>IFERROR(__xludf.DUMMYFUNCTION("IF(A668="""","""",
  INDEX(FILTER('RE Portfolio'!C$2:C2000,'RE Portfolio'!D$2:D2000=""BUY""), INT((ROW()-2)/amortYears)+1)
  * (1 + VALUE(Assumptions!$B$11))^(D668-1)
)
"),1638970.211153542)</f>
        <v>1638970.211</v>
      </c>
    </row>
    <row r="669">
      <c r="A669" s="15">
        <f>IFERROR(__xludf.DUMMYFUNCTION("IFERROR(INDEX(FILTER('RE Portfolio'!A$2:A2000,'RE Portfolio'!D$2:D2000=""BUY""), INT((ROW()-2)/amortYears)+1), )
"),18.0)</f>
        <v>18</v>
      </c>
      <c r="B669" s="15">
        <f>IFERROR(__xludf.DUMMYFUNCTION("IFERROR(INDEX(FILTER('RE Portfolio'!B$2:B2000,'RE Portfolio'!D$2:D2000=""BUY""), INT((ROW()-2)/amortYears)+1), )
"),61.0)</f>
        <v>61</v>
      </c>
      <c r="C669" s="15">
        <f>IFERROR(__xludf.DUMMYFUNCTION("IFERROR(INDEX(FILTER('RE Portfolio'!G$2:G2000,'RE Portfolio'!D$2:D2000=""BUY""), INT((ROW()-2)/amortYears)+1), )
"),561003.457187439)</f>
        <v>561003.4572</v>
      </c>
      <c r="D669" s="15">
        <f>MOD(ROW()-2, amortYears)+1</f>
        <v>22</v>
      </c>
      <c r="E669" s="15">
        <f t="shared" si="1"/>
        <v>82</v>
      </c>
      <c r="F669" s="16">
        <f t="shared" si="2"/>
        <v>289356.489</v>
      </c>
      <c r="G669" s="16">
        <f>IF(D669&lt;=mortTerm, -PMT(mortRate/12, mortTerm*12, C669)*12, 0)
</f>
        <v>42551.08156</v>
      </c>
      <c r="H669" s="16">
        <f>IF(D669&lt;=mortTerm, G669 - I669, 0)
</f>
        <v>18087.90249</v>
      </c>
      <c r="I669" s="16">
        <f>IF(D669&lt;=mortTerm, F669 - J669, 0)
</f>
        <v>24463.17907</v>
      </c>
      <c r="J669" s="16">
        <f>IF(D669&lt;=mortTerm,
   F669*(1+mortRate/12)^12 - (-PMT(mortRate/12, mortTerm*12, C669))*(((1+mortRate/12)^12 - 1)/(mortRate/12)),
   0
)
</f>
        <v>264893.31</v>
      </c>
      <c r="K669" s="13">
        <f>IFERROR(__xludf.DUMMYFUNCTION("IF(A669="""","""",
   IF(F669&gt;0,
      INDEX(FILTER('RE Portfolio'!L$2:L2000,'RE Portfolio'!D$2:D2000=""BUY""), INT((ROW()-2)/amortYears)+1) - G669,
      INDEX(FILTER('RE Portfolio'!L$2:L2000,'RE Portfolio'!D$2:D2000=""BUY""), INT((ROW()-2)/amortYears)+1"&amp;")
   )
)
"),13100.461390131757)</f>
        <v>13100.46139</v>
      </c>
      <c r="L669" s="15">
        <f>IFERROR(__xludf.DUMMYFUNCTION("IF(A669="""","""",
  INDEX(FILTER('RE Portfolio'!C$2:C2000,'RE Portfolio'!D$2:D2000=""BUY""), INT((ROW()-2)/amortYears)+1)
  * (1 + VALUE(Assumptions!$B$11))^(D669-1)
)
"),1704529.0195996838)</f>
        <v>1704529.02</v>
      </c>
    </row>
    <row r="670">
      <c r="A670" s="15">
        <f>IFERROR(__xludf.DUMMYFUNCTION("IFERROR(INDEX(FILTER('RE Portfolio'!A$2:A2000,'RE Portfolio'!D$2:D2000=""BUY""), INT((ROW()-2)/amortYears)+1), )
"),18.0)</f>
        <v>18</v>
      </c>
      <c r="B670" s="15">
        <f>IFERROR(__xludf.DUMMYFUNCTION("IFERROR(INDEX(FILTER('RE Portfolio'!B$2:B2000,'RE Portfolio'!D$2:D2000=""BUY""), INT((ROW()-2)/amortYears)+1), )
"),61.0)</f>
        <v>61</v>
      </c>
      <c r="C670" s="15">
        <f>IFERROR(__xludf.DUMMYFUNCTION("IFERROR(INDEX(FILTER('RE Portfolio'!G$2:G2000,'RE Portfolio'!D$2:D2000=""BUY""), INT((ROW()-2)/amortYears)+1), )
"),561003.457187439)</f>
        <v>561003.4572</v>
      </c>
      <c r="D670" s="15">
        <f>MOD(ROW()-2, amortYears)+1</f>
        <v>23</v>
      </c>
      <c r="E670" s="15">
        <f t="shared" si="1"/>
        <v>83</v>
      </c>
      <c r="F670" s="16">
        <f t="shared" si="2"/>
        <v>264893.31</v>
      </c>
      <c r="G670" s="16">
        <f>IF(D670&lt;=mortTerm, -PMT(mortRate/12, mortTerm*12, C670)*12, 0)
</f>
        <v>42551.08156</v>
      </c>
      <c r="H670" s="16">
        <f>IF(D670&lt;=mortTerm, G670 - I670, 0)
</f>
        <v>16449.55808</v>
      </c>
      <c r="I670" s="16">
        <f>IF(D670&lt;=mortTerm, F670 - J670, 0)
</f>
        <v>26101.52348</v>
      </c>
      <c r="J670" s="16">
        <f>IF(D670&lt;=mortTerm,
   F670*(1+mortRate/12)^12 - (-PMT(mortRate/12, mortTerm*12, C670))*(((1+mortRate/12)^12 - 1)/(mortRate/12)),
   0
)
</f>
        <v>238791.7865</v>
      </c>
      <c r="K670" s="13">
        <f>IFERROR(__xludf.DUMMYFUNCTION("IF(A670="""","""",
   IF(F670&gt;0,
      INDEX(FILTER('RE Portfolio'!L$2:L2000,'RE Portfolio'!D$2:D2000=""BUY""), INT((ROW()-2)/amortYears)+1) - G670,
      INDEX(FILTER('RE Portfolio'!L$2:L2000,'RE Portfolio'!D$2:D2000=""BUY""), INT((ROW()-2)/amortYears)+1"&amp;")
   )
)
"),13100.461390131757)</f>
        <v>13100.46139</v>
      </c>
      <c r="L670" s="15">
        <f>IFERROR(__xludf.DUMMYFUNCTION("IF(A670="""","""",
  INDEX(FILTER('RE Portfolio'!C$2:C2000,'RE Portfolio'!D$2:D2000=""BUY""), INT((ROW()-2)/amortYears)+1)
  * (1 + VALUE(Assumptions!$B$11))^(D670-1)
)
"),1772710.180383671)</f>
        <v>1772710.18</v>
      </c>
    </row>
    <row r="671">
      <c r="A671" s="15">
        <f>IFERROR(__xludf.DUMMYFUNCTION("IFERROR(INDEX(FILTER('RE Portfolio'!A$2:A2000,'RE Portfolio'!D$2:D2000=""BUY""), INT((ROW()-2)/amortYears)+1), )
"),18.0)</f>
        <v>18</v>
      </c>
      <c r="B671" s="15">
        <f>IFERROR(__xludf.DUMMYFUNCTION("IFERROR(INDEX(FILTER('RE Portfolio'!B$2:B2000,'RE Portfolio'!D$2:D2000=""BUY""), INT((ROW()-2)/amortYears)+1), )
"),61.0)</f>
        <v>61</v>
      </c>
      <c r="C671" s="15">
        <f>IFERROR(__xludf.DUMMYFUNCTION("IFERROR(INDEX(FILTER('RE Portfolio'!G$2:G2000,'RE Portfolio'!D$2:D2000=""BUY""), INT((ROW()-2)/amortYears)+1), )
"),561003.457187439)</f>
        <v>561003.4572</v>
      </c>
      <c r="D671" s="15">
        <f>MOD(ROW()-2, amortYears)+1</f>
        <v>24</v>
      </c>
      <c r="E671" s="15">
        <f t="shared" si="1"/>
        <v>84</v>
      </c>
      <c r="F671" s="16">
        <f t="shared" si="2"/>
        <v>238791.7865</v>
      </c>
      <c r="G671" s="16">
        <f>IF(D671&lt;=mortTerm, -PMT(mortRate/12, mortTerm*12, C671)*12, 0)
</f>
        <v>42551.08156</v>
      </c>
      <c r="H671" s="16">
        <f>IF(D671&lt;=mortTerm, G671 - I671, 0)
</f>
        <v>14701.49072</v>
      </c>
      <c r="I671" s="16">
        <f>IF(D671&lt;=mortTerm, F671 - J671, 0)
</f>
        <v>27849.59085</v>
      </c>
      <c r="J671" s="16">
        <f>IF(D671&lt;=mortTerm,
   F671*(1+mortRate/12)^12 - (-PMT(mortRate/12, mortTerm*12, C671))*(((1+mortRate/12)^12 - 1)/(mortRate/12)),
   0
)
</f>
        <v>210942.1957</v>
      </c>
      <c r="K671" s="13">
        <f>IFERROR(__xludf.DUMMYFUNCTION("IF(A671="""","""",
   IF(F671&gt;0,
      INDEX(FILTER('RE Portfolio'!L$2:L2000,'RE Portfolio'!D$2:D2000=""BUY""), INT((ROW()-2)/amortYears)+1) - G671,
      INDEX(FILTER('RE Portfolio'!L$2:L2000,'RE Portfolio'!D$2:D2000=""BUY""), INT((ROW()-2)/amortYears)+1"&amp;")
   )
)
"),13100.461390131757)</f>
        <v>13100.46139</v>
      </c>
      <c r="L671" s="15">
        <f>IFERROR(__xludf.DUMMYFUNCTION("IF(A671="""","""",
  INDEX(FILTER('RE Portfolio'!C$2:C2000,'RE Portfolio'!D$2:D2000=""BUY""), INT((ROW()-2)/amortYears)+1)
  * (1 + VALUE(Assumptions!$B$11))^(D671-1)
)
"),1843618.5875990181)</f>
        <v>1843618.588</v>
      </c>
    </row>
    <row r="672">
      <c r="A672" s="15">
        <f>IFERROR(__xludf.DUMMYFUNCTION("IFERROR(INDEX(FILTER('RE Portfolio'!A$2:A2000,'RE Portfolio'!D$2:D2000=""BUY""), INT((ROW()-2)/amortYears)+1), )
"),18.0)</f>
        <v>18</v>
      </c>
      <c r="B672" s="15">
        <f>IFERROR(__xludf.DUMMYFUNCTION("IFERROR(INDEX(FILTER('RE Portfolio'!B$2:B2000,'RE Portfolio'!D$2:D2000=""BUY""), INT((ROW()-2)/amortYears)+1), )
"),61.0)</f>
        <v>61</v>
      </c>
      <c r="C672" s="15">
        <f>IFERROR(__xludf.DUMMYFUNCTION("IFERROR(INDEX(FILTER('RE Portfolio'!G$2:G2000,'RE Portfolio'!D$2:D2000=""BUY""), INT((ROW()-2)/amortYears)+1), )
"),561003.457187439)</f>
        <v>561003.4572</v>
      </c>
      <c r="D672" s="15">
        <f>MOD(ROW()-2, amortYears)+1</f>
        <v>25</v>
      </c>
      <c r="E672" s="15">
        <f t="shared" si="1"/>
        <v>85</v>
      </c>
      <c r="F672" s="16">
        <f t="shared" si="2"/>
        <v>210942.1957</v>
      </c>
      <c r="G672" s="16">
        <f>IF(D672&lt;=mortTerm, -PMT(mortRate/12, mortTerm*12, C672)*12, 0)
</f>
        <v>42551.08156</v>
      </c>
      <c r="H672" s="16">
        <f>IF(D672&lt;=mortTerm, G672 - I672, 0)
</f>
        <v>12836.35204</v>
      </c>
      <c r="I672" s="16">
        <f>IF(D672&lt;=mortTerm, F672 - J672, 0)
</f>
        <v>29714.72952</v>
      </c>
      <c r="J672" s="16">
        <f>IF(D672&lt;=mortTerm,
   F672*(1+mortRate/12)^12 - (-PMT(mortRate/12, mortTerm*12, C672))*(((1+mortRate/12)^12 - 1)/(mortRate/12)),
   0
)
</f>
        <v>181227.4661</v>
      </c>
      <c r="K672" s="13">
        <f>IFERROR(__xludf.DUMMYFUNCTION("IF(A672="""","""",
   IF(F672&gt;0,
      INDEX(FILTER('RE Portfolio'!L$2:L2000,'RE Portfolio'!D$2:D2000=""BUY""), INT((ROW()-2)/amortYears)+1) - G672,
      INDEX(FILTER('RE Portfolio'!L$2:L2000,'RE Portfolio'!D$2:D2000=""BUY""), INT((ROW()-2)/amortYears)+1"&amp;")
   )
)
"),13100.461390131757)</f>
        <v>13100.46139</v>
      </c>
      <c r="L672" s="15">
        <f>IFERROR(__xludf.DUMMYFUNCTION("IF(A672="""","""",
  INDEX(FILTER('RE Portfolio'!C$2:C2000,'RE Portfolio'!D$2:D2000=""BUY""), INT((ROW()-2)/amortYears)+1)
  * (1 + VALUE(Assumptions!$B$11))^(D672-1)
)
"),1917363.331102979)</f>
        <v>1917363.331</v>
      </c>
    </row>
    <row r="673">
      <c r="A673" s="15">
        <f>IFERROR(__xludf.DUMMYFUNCTION("IFERROR(INDEX(FILTER('RE Portfolio'!A$2:A2000,'RE Portfolio'!D$2:D2000=""BUY""), INT((ROW()-2)/amortYears)+1), )
"),18.0)</f>
        <v>18</v>
      </c>
      <c r="B673" s="15">
        <f>IFERROR(__xludf.DUMMYFUNCTION("IFERROR(INDEX(FILTER('RE Portfolio'!B$2:B2000,'RE Portfolio'!D$2:D2000=""BUY""), INT((ROW()-2)/amortYears)+1), )
"),61.0)</f>
        <v>61</v>
      </c>
      <c r="C673" s="15">
        <f>IFERROR(__xludf.DUMMYFUNCTION("IFERROR(INDEX(FILTER('RE Portfolio'!G$2:G2000,'RE Portfolio'!D$2:D2000=""BUY""), INT((ROW()-2)/amortYears)+1), )
"),561003.457187439)</f>
        <v>561003.4572</v>
      </c>
      <c r="D673" s="15">
        <f>MOD(ROW()-2, amortYears)+1</f>
        <v>26</v>
      </c>
      <c r="E673" s="15">
        <f t="shared" si="1"/>
        <v>86</v>
      </c>
      <c r="F673" s="16">
        <f t="shared" si="2"/>
        <v>181227.4661</v>
      </c>
      <c r="G673" s="16">
        <f>IF(D673&lt;=mortTerm, -PMT(mortRate/12, mortTerm*12, C673)*12, 0)
</f>
        <v>42551.08156</v>
      </c>
      <c r="H673" s="16">
        <f>IF(D673&lt;=mortTerm, G673 - I673, 0)
</f>
        <v>10846.30157</v>
      </c>
      <c r="I673" s="16">
        <f>IF(D673&lt;=mortTerm, F673 - J673, 0)
</f>
        <v>31704.77999</v>
      </c>
      <c r="J673" s="16">
        <f>IF(D673&lt;=mortTerm,
   F673*(1+mortRate/12)^12 - (-PMT(mortRate/12, mortTerm*12, C673))*(((1+mortRate/12)^12 - 1)/(mortRate/12)),
   0
)
</f>
        <v>149522.6861</v>
      </c>
      <c r="K673" s="13">
        <f>IFERROR(__xludf.DUMMYFUNCTION("IF(A673="""","""",
   IF(F673&gt;0,
      INDEX(FILTER('RE Portfolio'!L$2:L2000,'RE Portfolio'!D$2:D2000=""BUY""), INT((ROW()-2)/amortYears)+1) - G673,
      INDEX(FILTER('RE Portfolio'!L$2:L2000,'RE Portfolio'!D$2:D2000=""BUY""), INT((ROW()-2)/amortYears)+1"&amp;")
   )
)
"),13100.461390131757)</f>
        <v>13100.46139</v>
      </c>
      <c r="L673" s="15">
        <f>IFERROR(__xludf.DUMMYFUNCTION("IF(A673="""","""",
  INDEX(FILTER('RE Portfolio'!C$2:C2000,'RE Portfolio'!D$2:D2000=""BUY""), INT((ROW()-2)/amortYears)+1)
  * (1 + VALUE(Assumptions!$B$11))^(D673-1)
)
"),1994057.864347098)</f>
        <v>1994057.864</v>
      </c>
    </row>
    <row r="674">
      <c r="A674" s="15">
        <f>IFERROR(__xludf.DUMMYFUNCTION("IFERROR(INDEX(FILTER('RE Portfolio'!A$2:A2000,'RE Portfolio'!D$2:D2000=""BUY""), INT((ROW()-2)/amortYears)+1), )
"),18.0)</f>
        <v>18</v>
      </c>
      <c r="B674" s="15">
        <f>IFERROR(__xludf.DUMMYFUNCTION("IFERROR(INDEX(FILTER('RE Portfolio'!B$2:B2000,'RE Portfolio'!D$2:D2000=""BUY""), INT((ROW()-2)/amortYears)+1), )
"),61.0)</f>
        <v>61</v>
      </c>
      <c r="C674" s="15">
        <f>IFERROR(__xludf.DUMMYFUNCTION("IFERROR(INDEX(FILTER('RE Portfolio'!G$2:G2000,'RE Portfolio'!D$2:D2000=""BUY""), INT((ROW()-2)/amortYears)+1), )
"),561003.457187439)</f>
        <v>561003.4572</v>
      </c>
      <c r="D674" s="15">
        <f>MOD(ROW()-2, amortYears)+1</f>
        <v>27</v>
      </c>
      <c r="E674" s="15">
        <f t="shared" si="1"/>
        <v>87</v>
      </c>
      <c r="F674" s="16">
        <f t="shared" si="2"/>
        <v>149522.6861</v>
      </c>
      <c r="G674" s="16">
        <f>IF(D674&lt;=mortTerm, -PMT(mortRate/12, mortTerm*12, C674)*12, 0)
</f>
        <v>42551.08156</v>
      </c>
      <c r="H674" s="16">
        <f>IF(D674&lt;=mortTerm, G674 - I674, 0)
</f>
        <v>8722.97374</v>
      </c>
      <c r="I674" s="16">
        <f>IF(D674&lt;=mortTerm, F674 - J674, 0)
</f>
        <v>33828.10782</v>
      </c>
      <c r="J674" s="16">
        <f>IF(D674&lt;=mortTerm,
   F674*(1+mortRate/12)^12 - (-PMT(mortRate/12, mortTerm*12, C674))*(((1+mortRate/12)^12 - 1)/(mortRate/12)),
   0
)
</f>
        <v>115694.5783</v>
      </c>
      <c r="K674" s="13">
        <f>IFERROR(__xludf.DUMMYFUNCTION("IF(A674="""","""",
   IF(F674&gt;0,
      INDEX(FILTER('RE Portfolio'!L$2:L2000,'RE Portfolio'!D$2:D2000=""BUY""), INT((ROW()-2)/amortYears)+1) - G674,
      INDEX(FILTER('RE Portfolio'!L$2:L2000,'RE Portfolio'!D$2:D2000=""BUY""), INT((ROW()-2)/amortYears)+1"&amp;")
   )
)
"),13100.461390131757)</f>
        <v>13100.46139</v>
      </c>
      <c r="L674" s="15">
        <f>IFERROR(__xludf.DUMMYFUNCTION("IF(A674="""","""",
  INDEX(FILTER('RE Portfolio'!C$2:C2000,'RE Portfolio'!D$2:D2000=""BUY""), INT((ROW()-2)/amortYears)+1)
  * (1 + VALUE(Assumptions!$B$11))^(D674-1)
)
"),2073820.178920982)</f>
        <v>2073820.179</v>
      </c>
    </row>
    <row r="675">
      <c r="A675" s="15">
        <f>IFERROR(__xludf.DUMMYFUNCTION("IFERROR(INDEX(FILTER('RE Portfolio'!A$2:A2000,'RE Portfolio'!D$2:D2000=""BUY""), INT((ROW()-2)/amortYears)+1), )
"),18.0)</f>
        <v>18</v>
      </c>
      <c r="B675" s="15">
        <f>IFERROR(__xludf.DUMMYFUNCTION("IFERROR(INDEX(FILTER('RE Portfolio'!B$2:B2000,'RE Portfolio'!D$2:D2000=""BUY""), INT((ROW()-2)/amortYears)+1), )
"),61.0)</f>
        <v>61</v>
      </c>
      <c r="C675" s="15">
        <f>IFERROR(__xludf.DUMMYFUNCTION("IFERROR(INDEX(FILTER('RE Portfolio'!G$2:G2000,'RE Portfolio'!D$2:D2000=""BUY""), INT((ROW()-2)/amortYears)+1), )
"),561003.457187439)</f>
        <v>561003.4572</v>
      </c>
      <c r="D675" s="15">
        <f>MOD(ROW()-2, amortYears)+1</f>
        <v>28</v>
      </c>
      <c r="E675" s="15">
        <f t="shared" si="1"/>
        <v>88</v>
      </c>
      <c r="F675" s="16">
        <f t="shared" si="2"/>
        <v>115694.5783</v>
      </c>
      <c r="G675" s="16">
        <f>IF(D675&lt;=mortTerm, -PMT(mortRate/12, mortTerm*12, C675)*12, 0)
</f>
        <v>42551.08156</v>
      </c>
      <c r="H675" s="16">
        <f>IF(D675&lt;=mortTerm, G675 - I675, 0)
</f>
        <v>6457.442709</v>
      </c>
      <c r="I675" s="16">
        <f>IF(D675&lt;=mortTerm, F675 - J675, 0)
</f>
        <v>36093.63885</v>
      </c>
      <c r="J675" s="16">
        <f>IF(D675&lt;=mortTerm,
   F675*(1+mortRate/12)^12 - (-PMT(mortRate/12, mortTerm*12, C675))*(((1+mortRate/12)^12 - 1)/(mortRate/12)),
   0
)
</f>
        <v>79600.93946</v>
      </c>
      <c r="K675" s="13">
        <f>IFERROR(__xludf.DUMMYFUNCTION("IF(A675="""","""",
   IF(F675&gt;0,
      INDEX(FILTER('RE Portfolio'!L$2:L2000,'RE Portfolio'!D$2:D2000=""BUY""), INT((ROW()-2)/amortYears)+1) - G675,
      INDEX(FILTER('RE Portfolio'!L$2:L2000,'RE Portfolio'!D$2:D2000=""BUY""), INT((ROW()-2)/amortYears)+1"&amp;")
   )
)
"),13100.461390131757)</f>
        <v>13100.46139</v>
      </c>
      <c r="L675" s="15">
        <f>IFERROR(__xludf.DUMMYFUNCTION("IF(A675="""","""",
  INDEX(FILTER('RE Portfolio'!C$2:C2000,'RE Portfolio'!D$2:D2000=""BUY""), INT((ROW()-2)/amortYears)+1)
  * (1 + VALUE(Assumptions!$B$11))^(D675-1)
)
"),2156772.9860778213)</f>
        <v>2156772.986</v>
      </c>
    </row>
    <row r="676">
      <c r="A676" s="15">
        <f>IFERROR(__xludf.DUMMYFUNCTION("IFERROR(INDEX(FILTER('RE Portfolio'!A$2:A2000,'RE Portfolio'!D$2:D2000=""BUY""), INT((ROW()-2)/amortYears)+1), )
"),18.0)</f>
        <v>18</v>
      </c>
      <c r="B676" s="15">
        <f>IFERROR(__xludf.DUMMYFUNCTION("IFERROR(INDEX(FILTER('RE Portfolio'!B$2:B2000,'RE Portfolio'!D$2:D2000=""BUY""), INT((ROW()-2)/amortYears)+1), )
"),61.0)</f>
        <v>61</v>
      </c>
      <c r="C676" s="15">
        <f>IFERROR(__xludf.DUMMYFUNCTION("IFERROR(INDEX(FILTER('RE Portfolio'!G$2:G2000,'RE Portfolio'!D$2:D2000=""BUY""), INT((ROW()-2)/amortYears)+1), )
"),561003.457187439)</f>
        <v>561003.4572</v>
      </c>
      <c r="D676" s="15">
        <f>MOD(ROW()-2, amortYears)+1</f>
        <v>29</v>
      </c>
      <c r="E676" s="15">
        <f t="shared" si="1"/>
        <v>89</v>
      </c>
      <c r="F676" s="16">
        <f t="shared" si="2"/>
        <v>79600.93946</v>
      </c>
      <c r="G676" s="16">
        <f>IF(D676&lt;=mortTerm, -PMT(mortRate/12, mortTerm*12, C676)*12, 0)
</f>
        <v>42551.08156</v>
      </c>
      <c r="H676" s="16">
        <f>IF(D676&lt;=mortTerm, G676 - I676, 0)
</f>
        <v>4040.184869</v>
      </c>
      <c r="I676" s="16">
        <f>IF(D676&lt;=mortTerm, F676 - J676, 0)
</f>
        <v>38510.89669</v>
      </c>
      <c r="J676" s="16">
        <f>IF(D676&lt;=mortTerm,
   F676*(1+mortRate/12)^12 - (-PMT(mortRate/12, mortTerm*12, C676))*(((1+mortRate/12)^12 - 1)/(mortRate/12)),
   0
)
</f>
        <v>41090.04277</v>
      </c>
      <c r="K676" s="13">
        <f>IFERROR(__xludf.DUMMYFUNCTION("IF(A676="""","""",
   IF(F676&gt;0,
      INDEX(FILTER('RE Portfolio'!L$2:L2000,'RE Portfolio'!D$2:D2000=""BUY""), INT((ROW()-2)/amortYears)+1) - G676,
      INDEX(FILTER('RE Portfolio'!L$2:L2000,'RE Portfolio'!D$2:D2000=""BUY""), INT((ROW()-2)/amortYears)+1"&amp;")
   )
)
"),13100.461390131757)</f>
        <v>13100.46139</v>
      </c>
      <c r="L676" s="15">
        <f>IFERROR(__xludf.DUMMYFUNCTION("IF(A676="""","""",
  INDEX(FILTER('RE Portfolio'!C$2:C2000,'RE Portfolio'!D$2:D2000=""BUY""), INT((ROW()-2)/amortYears)+1)
  * (1 + VALUE(Assumptions!$B$11))^(D676-1)
)
"),2243043.905520934)</f>
        <v>2243043.906</v>
      </c>
    </row>
    <row r="677">
      <c r="A677" s="15">
        <f>IFERROR(__xludf.DUMMYFUNCTION("IFERROR(INDEX(FILTER('RE Portfolio'!A$2:A2000,'RE Portfolio'!D$2:D2000=""BUY""), INT((ROW()-2)/amortYears)+1), )
"),18.0)</f>
        <v>18</v>
      </c>
      <c r="B677" s="15">
        <f>IFERROR(__xludf.DUMMYFUNCTION("IFERROR(INDEX(FILTER('RE Portfolio'!B$2:B2000,'RE Portfolio'!D$2:D2000=""BUY""), INT((ROW()-2)/amortYears)+1), )
"),61.0)</f>
        <v>61</v>
      </c>
      <c r="C677" s="15">
        <f>IFERROR(__xludf.DUMMYFUNCTION("IFERROR(INDEX(FILTER('RE Portfolio'!G$2:G2000,'RE Portfolio'!D$2:D2000=""BUY""), INT((ROW()-2)/amortYears)+1), )
"),561003.457187439)</f>
        <v>561003.4572</v>
      </c>
      <c r="D677" s="15">
        <f>MOD(ROW()-2, amortYears)+1</f>
        <v>30</v>
      </c>
      <c r="E677" s="15">
        <f t="shared" si="1"/>
        <v>90</v>
      </c>
      <c r="F677" s="16">
        <f t="shared" si="2"/>
        <v>41090.04277</v>
      </c>
      <c r="G677" s="16">
        <f>IF(D677&lt;=mortTerm, -PMT(mortRate/12, mortTerm*12, C677)*12, 0)
</f>
        <v>42551.08156</v>
      </c>
      <c r="H677" s="16">
        <f>IF(D677&lt;=mortTerm, G677 - I677, 0)
</f>
        <v>1461.038795</v>
      </c>
      <c r="I677" s="16">
        <f>IF(D677&lt;=mortTerm, F677 - J677, 0)
</f>
        <v>41090.04277</v>
      </c>
      <c r="J677" s="16">
        <f>IF(D677&lt;=mortTerm,
   F677*(1+mortRate/12)^12 - (-PMT(mortRate/12, mortTerm*12, C677))*(((1+mortRate/12)^12 - 1)/(mortRate/12)),
   0
)
</f>
        <v>-0.000000002029992174</v>
      </c>
      <c r="K677" s="13">
        <f>IFERROR(__xludf.DUMMYFUNCTION("IF(A677="""","""",
   IF(F677&gt;0,
      INDEX(FILTER('RE Portfolio'!L$2:L2000,'RE Portfolio'!D$2:D2000=""BUY""), INT((ROW()-2)/amortYears)+1) - G677,
      INDEX(FILTER('RE Portfolio'!L$2:L2000,'RE Portfolio'!D$2:D2000=""BUY""), INT((ROW()-2)/amortYears)+1"&amp;")
   )
)
"),13100.461390131757)</f>
        <v>13100.46139</v>
      </c>
      <c r="L677" s="15">
        <f>IFERROR(__xludf.DUMMYFUNCTION("IF(A677="""","""",
  INDEX(FILTER('RE Portfolio'!C$2:C2000,'RE Portfolio'!D$2:D2000=""BUY""), INT((ROW()-2)/amortYears)+1)
  * (1 + VALUE(Assumptions!$B$11))^(D677-1)
)
"),2332765.6617417717)</f>
        <v>2332765.662</v>
      </c>
    </row>
    <row r="678">
      <c r="A678" s="15">
        <f>IFERROR(__xludf.DUMMYFUNCTION("IFERROR(INDEX(FILTER('RE Portfolio'!A$2:A2000,'RE Portfolio'!D$2:D2000=""BUY""), INT((ROW()-2)/amortYears)+1), )
"),18.0)</f>
        <v>18</v>
      </c>
      <c r="B678" s="15">
        <f>IFERROR(__xludf.DUMMYFUNCTION("IFERROR(INDEX(FILTER('RE Portfolio'!B$2:B2000,'RE Portfolio'!D$2:D2000=""BUY""), INT((ROW()-2)/amortYears)+1), )
"),61.0)</f>
        <v>61</v>
      </c>
      <c r="C678" s="15">
        <f>IFERROR(__xludf.DUMMYFUNCTION("IFERROR(INDEX(FILTER('RE Portfolio'!G$2:G2000,'RE Portfolio'!D$2:D2000=""BUY""), INT((ROW()-2)/amortYears)+1), )
"),561003.457187439)</f>
        <v>561003.4572</v>
      </c>
      <c r="D678" s="15">
        <f>MOD(ROW()-2, amortYears)+1</f>
        <v>31</v>
      </c>
      <c r="E678" s="15">
        <f t="shared" si="1"/>
        <v>91</v>
      </c>
      <c r="F678" s="16">
        <f t="shared" si="2"/>
        <v>-0.000000002029992174</v>
      </c>
      <c r="G678" s="15">
        <f>IF(D678&lt;=mortTerm, -PMT(mortRate/12, mortTerm*12, C678)*12, 0)
</f>
        <v>0</v>
      </c>
      <c r="H678" s="15">
        <f>IF(D678&lt;=mortTerm, G678 - I678, 0)
</f>
        <v>0</v>
      </c>
      <c r="I678" s="15">
        <f>IF(D678&lt;=mortTerm, F678 - J678, 0)
</f>
        <v>0</v>
      </c>
      <c r="J678" s="15">
        <f>IF(D678&lt;=mortTerm,
   F678*(1+mortRate/12)^12 - (-PMT(mortRate/12, mortTerm*12, C678))*(((1+mortRate/12)^12 - 1)/(mortRate/12)),
   0
)
</f>
        <v>0</v>
      </c>
      <c r="K678" s="13">
        <f>IFERROR(__xludf.DUMMYFUNCTION("IF(A678="""","""",
   IF(F678&gt;0,
      INDEX(FILTER('RE Portfolio'!L$2:L2000,'RE Portfolio'!D$2:D2000=""BUY""), INT((ROW()-2)/amortYears)+1) - G678,
      INDEX(FILTER('RE Portfolio'!L$2:L2000,'RE Portfolio'!D$2:D2000=""BUY""), INT((ROW()-2)/amortYears)+1"&amp;")
   )
)
"),55651.54295299396)</f>
        <v>55651.54295</v>
      </c>
      <c r="L678" s="15">
        <f>IFERROR(__xludf.DUMMYFUNCTION("IF(A678="""","""",
  INDEX(FILTER('RE Portfolio'!C$2:C2000,'RE Portfolio'!D$2:D2000=""BUY""), INT((ROW()-2)/amortYears)+1)
  * (1 + VALUE(Assumptions!$B$11))^(D678-1)
)
"),2426076.2882114425)</f>
        <v>2426076.288</v>
      </c>
    </row>
    <row r="679">
      <c r="A679" s="15">
        <f>IFERROR(__xludf.DUMMYFUNCTION("IFERROR(INDEX(FILTER('RE Portfolio'!A$2:A2000,'RE Portfolio'!D$2:D2000=""BUY""), INT((ROW()-2)/amortYears)+1), )
"),18.0)</f>
        <v>18</v>
      </c>
      <c r="B679" s="15">
        <f>IFERROR(__xludf.DUMMYFUNCTION("IFERROR(INDEX(FILTER('RE Portfolio'!B$2:B2000,'RE Portfolio'!D$2:D2000=""BUY""), INT((ROW()-2)/amortYears)+1), )
"),61.0)</f>
        <v>61</v>
      </c>
      <c r="C679" s="15">
        <f>IFERROR(__xludf.DUMMYFUNCTION("IFERROR(INDEX(FILTER('RE Portfolio'!G$2:G2000,'RE Portfolio'!D$2:D2000=""BUY""), INT((ROW()-2)/amortYears)+1), )
"),561003.457187439)</f>
        <v>561003.4572</v>
      </c>
      <c r="D679" s="15">
        <f>MOD(ROW()-2, amortYears)+1</f>
        <v>32</v>
      </c>
      <c r="E679" s="15">
        <f t="shared" si="1"/>
        <v>92</v>
      </c>
      <c r="F679" s="15">
        <f t="shared" si="2"/>
        <v>0</v>
      </c>
      <c r="G679" s="15">
        <f>IF(D679&lt;=mortTerm, -PMT(mortRate/12, mortTerm*12, C679)*12, 0)
</f>
        <v>0</v>
      </c>
      <c r="H679" s="15">
        <f>IF(D679&lt;=mortTerm, G679 - I679, 0)
</f>
        <v>0</v>
      </c>
      <c r="I679" s="15">
        <f>IF(D679&lt;=mortTerm, F679 - J679, 0)
</f>
        <v>0</v>
      </c>
      <c r="J679" s="15">
        <f>IF(D679&lt;=mortTerm,
   F679*(1+mortRate/12)^12 - (-PMT(mortRate/12, mortTerm*12, C679))*(((1+mortRate/12)^12 - 1)/(mortRate/12)),
   0
)
</f>
        <v>0</v>
      </c>
      <c r="K679" s="13">
        <f>IFERROR(__xludf.DUMMYFUNCTION("IF(A679="""","""",
   IF(F679&gt;0,
      INDEX(FILTER('RE Portfolio'!L$2:L2000,'RE Portfolio'!D$2:D2000=""BUY""), INT((ROW()-2)/amortYears)+1) - G679,
      INDEX(FILTER('RE Portfolio'!L$2:L2000,'RE Portfolio'!D$2:D2000=""BUY""), INT((ROW()-2)/amortYears)+1"&amp;")
   )
)
"),55651.54295299396)</f>
        <v>55651.54295</v>
      </c>
      <c r="L679" s="15">
        <f>IFERROR(__xludf.DUMMYFUNCTION("IF(A679="""","""",
  INDEX(FILTER('RE Portfolio'!C$2:C2000,'RE Portfolio'!D$2:D2000=""BUY""), INT((ROW()-2)/amortYears)+1)
  * (1 + VALUE(Assumptions!$B$11))^(D679-1)
)
"),2523119.3397399005)</f>
        <v>2523119.34</v>
      </c>
    </row>
    <row r="680">
      <c r="A680" s="15">
        <f>IFERROR(__xludf.DUMMYFUNCTION("IFERROR(INDEX(FILTER('RE Portfolio'!A$2:A2000,'RE Portfolio'!D$2:D2000=""BUY""), INT((ROW()-2)/amortYears)+1), )
"),18.0)</f>
        <v>18</v>
      </c>
      <c r="B680" s="15">
        <f>IFERROR(__xludf.DUMMYFUNCTION("IFERROR(INDEX(FILTER('RE Portfolio'!B$2:B2000,'RE Portfolio'!D$2:D2000=""BUY""), INT((ROW()-2)/amortYears)+1), )
"),61.0)</f>
        <v>61</v>
      </c>
      <c r="C680" s="15">
        <f>IFERROR(__xludf.DUMMYFUNCTION("IFERROR(INDEX(FILTER('RE Portfolio'!G$2:G2000,'RE Portfolio'!D$2:D2000=""BUY""), INT((ROW()-2)/amortYears)+1), )
"),561003.457187439)</f>
        <v>561003.4572</v>
      </c>
      <c r="D680" s="15">
        <f>MOD(ROW()-2, amortYears)+1</f>
        <v>33</v>
      </c>
      <c r="E680" s="15">
        <f t="shared" si="1"/>
        <v>93</v>
      </c>
      <c r="F680" s="15">
        <f t="shared" si="2"/>
        <v>0</v>
      </c>
      <c r="G680" s="15">
        <f>IF(D680&lt;=mortTerm, -PMT(mortRate/12, mortTerm*12, C680)*12, 0)
</f>
        <v>0</v>
      </c>
      <c r="H680" s="15">
        <f>IF(D680&lt;=mortTerm, G680 - I680, 0)
</f>
        <v>0</v>
      </c>
      <c r="I680" s="15">
        <f>IF(D680&lt;=mortTerm, F680 - J680, 0)
</f>
        <v>0</v>
      </c>
      <c r="J680" s="15">
        <f>IF(D680&lt;=mortTerm,
   F680*(1+mortRate/12)^12 - (-PMT(mortRate/12, mortTerm*12, C680))*(((1+mortRate/12)^12 - 1)/(mortRate/12)),
   0
)
</f>
        <v>0</v>
      </c>
      <c r="K680" s="13">
        <f>IFERROR(__xludf.DUMMYFUNCTION("IF(A680="""","""",
   IF(F680&gt;0,
      INDEX(FILTER('RE Portfolio'!L$2:L2000,'RE Portfolio'!D$2:D2000=""BUY""), INT((ROW()-2)/amortYears)+1) - G680,
      INDEX(FILTER('RE Portfolio'!L$2:L2000,'RE Portfolio'!D$2:D2000=""BUY""), INT((ROW()-2)/amortYears)+1"&amp;")
   )
)
"),55651.54295299396)</f>
        <v>55651.54295</v>
      </c>
      <c r="L680" s="15">
        <f>IFERROR(__xludf.DUMMYFUNCTION("IF(A680="""","""",
  INDEX(FILTER('RE Portfolio'!C$2:C2000,'RE Portfolio'!D$2:D2000=""BUY""), INT((ROW()-2)/amortYears)+1)
  * (1 + VALUE(Assumptions!$B$11))^(D680-1)
)
"),2624044.1133294967)</f>
        <v>2624044.113</v>
      </c>
    </row>
    <row r="681">
      <c r="A681" s="15">
        <f>IFERROR(__xludf.DUMMYFUNCTION("IFERROR(INDEX(FILTER('RE Portfolio'!A$2:A2000,'RE Portfolio'!D$2:D2000=""BUY""), INT((ROW()-2)/amortYears)+1), )
"),18.0)</f>
        <v>18</v>
      </c>
      <c r="B681" s="15">
        <f>IFERROR(__xludf.DUMMYFUNCTION("IFERROR(INDEX(FILTER('RE Portfolio'!B$2:B2000,'RE Portfolio'!D$2:D2000=""BUY""), INT((ROW()-2)/amortYears)+1), )
"),61.0)</f>
        <v>61</v>
      </c>
      <c r="C681" s="15">
        <f>IFERROR(__xludf.DUMMYFUNCTION("IFERROR(INDEX(FILTER('RE Portfolio'!G$2:G2000,'RE Portfolio'!D$2:D2000=""BUY""), INT((ROW()-2)/amortYears)+1), )
"),561003.457187439)</f>
        <v>561003.4572</v>
      </c>
      <c r="D681" s="15">
        <f>MOD(ROW()-2, amortYears)+1</f>
        <v>34</v>
      </c>
      <c r="E681" s="15">
        <f t="shared" si="1"/>
        <v>94</v>
      </c>
      <c r="F681" s="15">
        <f t="shared" si="2"/>
        <v>0</v>
      </c>
      <c r="G681" s="15">
        <f>IF(D681&lt;=mortTerm, -PMT(mortRate/12, mortTerm*12, C681)*12, 0)
</f>
        <v>0</v>
      </c>
      <c r="H681" s="15">
        <f>IF(D681&lt;=mortTerm, G681 - I681, 0)
</f>
        <v>0</v>
      </c>
      <c r="I681" s="15">
        <f>IF(D681&lt;=mortTerm, F681 - J681, 0)
</f>
        <v>0</v>
      </c>
      <c r="J681" s="15">
        <f>IF(D681&lt;=mortTerm,
   F681*(1+mortRate/12)^12 - (-PMT(mortRate/12, mortTerm*12, C681))*(((1+mortRate/12)^12 - 1)/(mortRate/12)),
   0
)
</f>
        <v>0</v>
      </c>
      <c r="K681" s="13">
        <f>IFERROR(__xludf.DUMMYFUNCTION("IF(A681="""","""",
   IF(F681&gt;0,
      INDEX(FILTER('RE Portfolio'!L$2:L2000,'RE Portfolio'!D$2:D2000=""BUY""), INT((ROW()-2)/amortYears)+1) - G681,
      INDEX(FILTER('RE Portfolio'!L$2:L2000,'RE Portfolio'!D$2:D2000=""BUY""), INT((ROW()-2)/amortYears)+1"&amp;")
   )
)
"),55651.54295299396)</f>
        <v>55651.54295</v>
      </c>
      <c r="L681" s="15">
        <f>IFERROR(__xludf.DUMMYFUNCTION("IF(A681="""","""",
  INDEX(FILTER('RE Portfolio'!C$2:C2000,'RE Portfolio'!D$2:D2000=""BUY""), INT((ROW()-2)/amortYears)+1)
  * (1 + VALUE(Assumptions!$B$11))^(D681-1)
)
"),2729005.8778626765)</f>
        <v>2729005.878</v>
      </c>
    </row>
    <row r="682">
      <c r="A682" s="15">
        <f>IFERROR(__xludf.DUMMYFUNCTION("IFERROR(INDEX(FILTER('RE Portfolio'!A$2:A2000,'RE Portfolio'!D$2:D2000=""BUY""), INT((ROW()-2)/amortYears)+1), )
"),18.0)</f>
        <v>18</v>
      </c>
      <c r="B682" s="15">
        <f>IFERROR(__xludf.DUMMYFUNCTION("IFERROR(INDEX(FILTER('RE Portfolio'!B$2:B2000,'RE Portfolio'!D$2:D2000=""BUY""), INT((ROW()-2)/amortYears)+1), )
"),61.0)</f>
        <v>61</v>
      </c>
      <c r="C682" s="15">
        <f>IFERROR(__xludf.DUMMYFUNCTION("IFERROR(INDEX(FILTER('RE Portfolio'!G$2:G2000,'RE Portfolio'!D$2:D2000=""BUY""), INT((ROW()-2)/amortYears)+1), )
"),561003.457187439)</f>
        <v>561003.4572</v>
      </c>
      <c r="D682" s="15">
        <f>MOD(ROW()-2, amortYears)+1</f>
        <v>35</v>
      </c>
      <c r="E682" s="15">
        <f t="shared" si="1"/>
        <v>95</v>
      </c>
      <c r="F682" s="15">
        <f t="shared" si="2"/>
        <v>0</v>
      </c>
      <c r="G682" s="15">
        <f>IF(D682&lt;=mortTerm, -PMT(mortRate/12, mortTerm*12, C682)*12, 0)
</f>
        <v>0</v>
      </c>
      <c r="H682" s="15">
        <f>IF(D682&lt;=mortTerm, G682 - I682, 0)
</f>
        <v>0</v>
      </c>
      <c r="I682" s="15">
        <f>IF(D682&lt;=mortTerm, F682 - J682, 0)
</f>
        <v>0</v>
      </c>
      <c r="J682" s="15">
        <f>IF(D682&lt;=mortTerm,
   F682*(1+mortRate/12)^12 - (-PMT(mortRate/12, mortTerm*12, C682))*(((1+mortRate/12)^12 - 1)/(mortRate/12)),
   0
)
</f>
        <v>0</v>
      </c>
      <c r="K682" s="13">
        <f>IFERROR(__xludf.DUMMYFUNCTION("IF(A682="""","""",
   IF(F682&gt;0,
      INDEX(FILTER('RE Portfolio'!L$2:L2000,'RE Portfolio'!D$2:D2000=""BUY""), INT((ROW()-2)/amortYears)+1) - G682,
      INDEX(FILTER('RE Portfolio'!L$2:L2000,'RE Portfolio'!D$2:D2000=""BUY""), INT((ROW()-2)/amortYears)+1"&amp;")
   )
)
"),55651.54295299396)</f>
        <v>55651.54295</v>
      </c>
      <c r="L682" s="15">
        <f>IFERROR(__xludf.DUMMYFUNCTION("IF(A682="""","""",
  INDEX(FILTER('RE Portfolio'!C$2:C2000,'RE Portfolio'!D$2:D2000=""BUY""), INT((ROW()-2)/amortYears)+1)
  * (1 + VALUE(Assumptions!$B$11))^(D682-1)
)
"),2838166.112977184)</f>
        <v>2838166.113</v>
      </c>
    </row>
    <row r="683">
      <c r="A683" s="15">
        <f>IFERROR(__xludf.DUMMYFUNCTION("IFERROR(INDEX(FILTER('RE Portfolio'!A$2:A2000,'RE Portfolio'!D$2:D2000=""BUY""), INT((ROW()-2)/amortYears)+1), )
"),18.0)</f>
        <v>18</v>
      </c>
      <c r="B683" s="15">
        <f>IFERROR(__xludf.DUMMYFUNCTION("IFERROR(INDEX(FILTER('RE Portfolio'!B$2:B2000,'RE Portfolio'!D$2:D2000=""BUY""), INT((ROW()-2)/amortYears)+1), )
"),61.0)</f>
        <v>61</v>
      </c>
      <c r="C683" s="15">
        <f>IFERROR(__xludf.DUMMYFUNCTION("IFERROR(INDEX(FILTER('RE Portfolio'!G$2:G2000,'RE Portfolio'!D$2:D2000=""BUY""), INT((ROW()-2)/amortYears)+1), )
"),561003.457187439)</f>
        <v>561003.4572</v>
      </c>
      <c r="D683" s="15">
        <f>MOD(ROW()-2, amortYears)+1</f>
        <v>36</v>
      </c>
      <c r="E683" s="15">
        <f t="shared" si="1"/>
        <v>96</v>
      </c>
      <c r="F683" s="15">
        <f t="shared" si="2"/>
        <v>0</v>
      </c>
      <c r="G683" s="15">
        <f>IF(D683&lt;=mortTerm, -PMT(mortRate/12, mortTerm*12, C683)*12, 0)
</f>
        <v>0</v>
      </c>
      <c r="H683" s="15">
        <f>IF(D683&lt;=mortTerm, G683 - I683, 0)
</f>
        <v>0</v>
      </c>
      <c r="I683" s="15">
        <f>IF(D683&lt;=mortTerm, F683 - J683, 0)
</f>
        <v>0</v>
      </c>
      <c r="J683" s="15">
        <f>IF(D683&lt;=mortTerm,
   F683*(1+mortRate/12)^12 - (-PMT(mortRate/12, mortTerm*12, C683))*(((1+mortRate/12)^12 - 1)/(mortRate/12)),
   0
)
</f>
        <v>0</v>
      </c>
      <c r="K683" s="13">
        <f>IFERROR(__xludf.DUMMYFUNCTION("IF(A683="""","""",
   IF(F683&gt;0,
      INDEX(FILTER('RE Portfolio'!L$2:L2000,'RE Portfolio'!D$2:D2000=""BUY""), INT((ROW()-2)/amortYears)+1) - G683,
      INDEX(FILTER('RE Portfolio'!L$2:L2000,'RE Portfolio'!D$2:D2000=""BUY""), INT((ROW()-2)/amortYears)+1"&amp;")
   )
)
"),55651.54295299396)</f>
        <v>55651.54295</v>
      </c>
      <c r="L683" s="15">
        <f>IFERROR(__xludf.DUMMYFUNCTION("IF(A683="""","""",
  INDEX(FILTER('RE Portfolio'!C$2:C2000,'RE Portfolio'!D$2:D2000=""BUY""), INT((ROW()-2)/amortYears)+1)
  * (1 + VALUE(Assumptions!$B$11))^(D683-1)
)
"),2951692.7574962713)</f>
        <v>2951692.757</v>
      </c>
    </row>
    <row r="684">
      <c r="A684" s="15">
        <f>IFERROR(__xludf.DUMMYFUNCTION("IFERROR(INDEX(FILTER('RE Portfolio'!A$2:A2000,'RE Portfolio'!D$2:D2000=""BUY""), INT((ROW()-2)/amortYears)+1), )
"),18.0)</f>
        <v>18</v>
      </c>
      <c r="B684" s="15">
        <f>IFERROR(__xludf.DUMMYFUNCTION("IFERROR(INDEX(FILTER('RE Portfolio'!B$2:B2000,'RE Portfolio'!D$2:D2000=""BUY""), INT((ROW()-2)/amortYears)+1), )
"),61.0)</f>
        <v>61</v>
      </c>
      <c r="C684" s="15">
        <f>IFERROR(__xludf.DUMMYFUNCTION("IFERROR(INDEX(FILTER('RE Portfolio'!G$2:G2000,'RE Portfolio'!D$2:D2000=""BUY""), INT((ROW()-2)/amortYears)+1), )
"),561003.457187439)</f>
        <v>561003.4572</v>
      </c>
      <c r="D684" s="15">
        <f>MOD(ROW()-2, amortYears)+1</f>
        <v>37</v>
      </c>
      <c r="E684" s="15">
        <f t="shared" si="1"/>
        <v>97</v>
      </c>
      <c r="F684" s="15">
        <f t="shared" si="2"/>
        <v>0</v>
      </c>
      <c r="G684" s="15">
        <f>IF(D684&lt;=mortTerm, -PMT(mortRate/12, mortTerm*12, C684)*12, 0)
</f>
        <v>0</v>
      </c>
      <c r="H684" s="15">
        <f>IF(D684&lt;=mortTerm, G684 - I684, 0)
</f>
        <v>0</v>
      </c>
      <c r="I684" s="15">
        <f>IF(D684&lt;=mortTerm, F684 - J684, 0)
</f>
        <v>0</v>
      </c>
      <c r="J684" s="15">
        <f>IF(D684&lt;=mortTerm,
   F684*(1+mortRate/12)^12 - (-PMT(mortRate/12, mortTerm*12, C684))*(((1+mortRate/12)^12 - 1)/(mortRate/12)),
   0
)
</f>
        <v>0</v>
      </c>
      <c r="K684" s="13">
        <f>IFERROR(__xludf.DUMMYFUNCTION("IF(A684="""","""",
   IF(F684&gt;0,
      INDEX(FILTER('RE Portfolio'!L$2:L2000,'RE Portfolio'!D$2:D2000=""BUY""), INT((ROW()-2)/amortYears)+1) - G684,
      INDEX(FILTER('RE Portfolio'!L$2:L2000,'RE Portfolio'!D$2:D2000=""BUY""), INT((ROW()-2)/amortYears)+1"&amp;")
   )
)
"),55651.54295299396)</f>
        <v>55651.54295</v>
      </c>
      <c r="L684" s="15">
        <f>IFERROR(__xludf.DUMMYFUNCTION("IF(A684="""","""",
  INDEX(FILTER('RE Portfolio'!C$2:C2000,'RE Portfolio'!D$2:D2000=""BUY""), INT((ROW()-2)/amortYears)+1)
  * (1 + VALUE(Assumptions!$B$11))^(D684-1)
)
"),3069760.467796122)</f>
        <v>3069760.468</v>
      </c>
    </row>
    <row r="685">
      <c r="A685" s="15">
        <f>IFERROR(__xludf.DUMMYFUNCTION("IFERROR(INDEX(FILTER('RE Portfolio'!A$2:A2000,'RE Portfolio'!D$2:D2000=""BUY""), INT((ROW()-2)/amortYears)+1), )
"),18.0)</f>
        <v>18</v>
      </c>
      <c r="B685" s="15">
        <f>IFERROR(__xludf.DUMMYFUNCTION("IFERROR(INDEX(FILTER('RE Portfolio'!B$2:B2000,'RE Portfolio'!D$2:D2000=""BUY""), INT((ROW()-2)/amortYears)+1), )
"),61.0)</f>
        <v>61</v>
      </c>
      <c r="C685" s="15">
        <f>IFERROR(__xludf.DUMMYFUNCTION("IFERROR(INDEX(FILTER('RE Portfolio'!G$2:G2000,'RE Portfolio'!D$2:D2000=""BUY""), INT((ROW()-2)/amortYears)+1), )
"),561003.457187439)</f>
        <v>561003.4572</v>
      </c>
      <c r="D685" s="15">
        <f>MOD(ROW()-2, amortYears)+1</f>
        <v>38</v>
      </c>
      <c r="E685" s="15">
        <f t="shared" si="1"/>
        <v>98</v>
      </c>
      <c r="F685" s="15">
        <f t="shared" si="2"/>
        <v>0</v>
      </c>
      <c r="G685" s="15">
        <f>IF(D685&lt;=mortTerm, -PMT(mortRate/12, mortTerm*12, C685)*12, 0)
</f>
        <v>0</v>
      </c>
      <c r="H685" s="15">
        <f>IF(D685&lt;=mortTerm, G685 - I685, 0)
</f>
        <v>0</v>
      </c>
      <c r="I685" s="15">
        <f>IF(D685&lt;=mortTerm, F685 - J685, 0)
</f>
        <v>0</v>
      </c>
      <c r="J685" s="15">
        <f>IF(D685&lt;=mortTerm,
   F685*(1+mortRate/12)^12 - (-PMT(mortRate/12, mortTerm*12, C685))*(((1+mortRate/12)^12 - 1)/(mortRate/12)),
   0
)
</f>
        <v>0</v>
      </c>
      <c r="K685" s="13">
        <f>IFERROR(__xludf.DUMMYFUNCTION("IF(A685="""","""",
   IF(F685&gt;0,
      INDEX(FILTER('RE Portfolio'!L$2:L2000,'RE Portfolio'!D$2:D2000=""BUY""), INT((ROW()-2)/amortYears)+1) - G685,
      INDEX(FILTER('RE Portfolio'!L$2:L2000,'RE Portfolio'!D$2:D2000=""BUY""), INT((ROW()-2)/amortYears)+1"&amp;")
   )
)
"),55651.54295299396)</f>
        <v>55651.54295</v>
      </c>
      <c r="L685" s="15">
        <f>IFERROR(__xludf.DUMMYFUNCTION("IF(A685="""","""",
  INDEX(FILTER('RE Portfolio'!C$2:C2000,'RE Portfolio'!D$2:D2000=""BUY""), INT((ROW()-2)/amortYears)+1)
  * (1 + VALUE(Assumptions!$B$11))^(D685-1)
)
"),3192550.886507967)</f>
        <v>3192550.887</v>
      </c>
    </row>
    <row r="686">
      <c r="A686" s="15">
        <f>IFERROR(__xludf.DUMMYFUNCTION("IFERROR(INDEX(FILTER('RE Portfolio'!A$2:A2000,'RE Portfolio'!D$2:D2000=""BUY""), INT((ROW()-2)/amortYears)+1), )
"),19.0)</f>
        <v>19</v>
      </c>
      <c r="B686" s="15">
        <f>IFERROR(__xludf.DUMMYFUNCTION("IFERROR(INDEX(FILTER('RE Portfolio'!B$2:B2000,'RE Portfolio'!D$2:D2000=""BUY""), INT((ROW()-2)/amortYears)+1), )
"),63.0)</f>
        <v>63</v>
      </c>
      <c r="C686" s="15">
        <f>IFERROR(__xludf.DUMMYFUNCTION("IFERROR(INDEX(FILTER('RE Portfolio'!G$2:G2000,'RE Portfolio'!D$2:D2000=""BUY""), INT((ROW()-2)/amortYears)+1), )
"),589404.257207553)</f>
        <v>589404.2572</v>
      </c>
      <c r="D686" s="15">
        <f>MOD(ROW()-2, amortYears)+1</f>
        <v>1</v>
      </c>
      <c r="E686" s="15">
        <f t="shared" si="1"/>
        <v>63</v>
      </c>
      <c r="F686" s="15">
        <f t="shared" si="2"/>
        <v>589404.2572</v>
      </c>
      <c r="G686" s="16">
        <f>IF(D686&lt;=mortTerm, -PMT(mortRate/12, mortTerm*12, C686)*12, 0)
</f>
        <v>44705.23007</v>
      </c>
      <c r="H686" s="16">
        <f>IF(D686&lt;=mortTerm, G686 - I686, 0)
</f>
        <v>38117.30857</v>
      </c>
      <c r="I686" s="16">
        <f>IF(D686&lt;=mortTerm, F686 - J686, 0)
</f>
        <v>6587.921498</v>
      </c>
      <c r="J686" s="16">
        <f>IF(D686&lt;=mortTerm,
   F686*(1+mortRate/12)^12 - (-PMT(mortRate/12, mortTerm*12, C686))*(((1+mortRate/12)^12 - 1)/(mortRate/12)),
   0
)
</f>
        <v>582816.3357</v>
      </c>
      <c r="K686" s="13">
        <f>IFERROR(__xludf.DUMMYFUNCTION("IF(A686="""","""",
   IF(F686&gt;0,
      INDEX(FILTER('RE Portfolio'!L$2:L2000,'RE Portfolio'!D$2:D2000=""BUY""), INT((ROW()-2)/amortYears)+1) - G686,
      INDEX(FILTER('RE Portfolio'!L$2:L2000,'RE Portfolio'!D$2:D2000=""BUY""), INT((ROW()-2)/amortYears)+1"&amp;")
   )
)
"),13763.67224800717)</f>
        <v>13763.67225</v>
      </c>
      <c r="L686" s="15">
        <f>IFERROR(__xludf.DUMMYFUNCTION("IF(A686="""","""",
  INDEX(FILTER('RE Portfolio'!C$2:C2000,'RE Portfolio'!D$2:D2000=""BUY""), INT((ROW()-2)/amortYears)+1)
  * (1 + VALUE(Assumptions!$B$11))^(D686-1)
)
"),785872.342943404)</f>
        <v>785872.3429</v>
      </c>
    </row>
    <row r="687">
      <c r="A687" s="15">
        <f>IFERROR(__xludf.DUMMYFUNCTION("IFERROR(INDEX(FILTER('RE Portfolio'!A$2:A2000,'RE Portfolio'!D$2:D2000=""BUY""), INT((ROW()-2)/amortYears)+1), )
"),19.0)</f>
        <v>19</v>
      </c>
      <c r="B687" s="15">
        <f>IFERROR(__xludf.DUMMYFUNCTION("IFERROR(INDEX(FILTER('RE Portfolio'!B$2:B2000,'RE Portfolio'!D$2:D2000=""BUY""), INT((ROW()-2)/amortYears)+1), )
"),63.0)</f>
        <v>63</v>
      </c>
      <c r="C687" s="15">
        <f>IFERROR(__xludf.DUMMYFUNCTION("IFERROR(INDEX(FILTER('RE Portfolio'!G$2:G2000,'RE Portfolio'!D$2:D2000=""BUY""), INT((ROW()-2)/amortYears)+1), )
"),589404.257207553)</f>
        <v>589404.2572</v>
      </c>
      <c r="D687" s="15">
        <f>MOD(ROW()-2, amortYears)+1</f>
        <v>2</v>
      </c>
      <c r="E687" s="15">
        <f t="shared" si="1"/>
        <v>64</v>
      </c>
      <c r="F687" s="16">
        <f t="shared" si="2"/>
        <v>582816.3357</v>
      </c>
      <c r="G687" s="16">
        <f>IF(D687&lt;=mortTerm, -PMT(mortRate/12, mortTerm*12, C687)*12, 0)
</f>
        <v>44705.23007</v>
      </c>
      <c r="H687" s="16">
        <f>IF(D687&lt;=mortTerm, G687 - I687, 0)
</f>
        <v>37676.10327</v>
      </c>
      <c r="I687" s="16">
        <f>IF(D687&lt;=mortTerm, F687 - J687, 0)
</f>
        <v>7029.126802</v>
      </c>
      <c r="J687" s="16">
        <f>IF(D687&lt;=mortTerm,
   F687*(1+mortRate/12)^12 - (-PMT(mortRate/12, mortTerm*12, C687))*(((1+mortRate/12)^12 - 1)/(mortRate/12)),
   0
)
</f>
        <v>575787.2089</v>
      </c>
      <c r="K687" s="13">
        <f>IFERROR(__xludf.DUMMYFUNCTION("IF(A687="""","""",
   IF(F687&gt;0,
      INDEX(FILTER('RE Portfolio'!L$2:L2000,'RE Portfolio'!D$2:D2000=""BUY""), INT((ROW()-2)/amortYears)+1) - G687,
      INDEX(FILTER('RE Portfolio'!L$2:L2000,'RE Portfolio'!D$2:D2000=""BUY""), INT((ROW()-2)/amortYears)+1"&amp;")
   )
)
"),13763.67224800717)</f>
        <v>13763.67225</v>
      </c>
      <c r="L687" s="15">
        <f>IFERROR(__xludf.DUMMYFUNCTION("IF(A687="""","""",
  INDEX(FILTER('RE Portfolio'!C$2:C2000,'RE Portfolio'!D$2:D2000=""BUY""), INT((ROW()-2)/amortYears)+1)
  * (1 + VALUE(Assumptions!$B$11))^(D687-1)
)
"),817307.2366611402)</f>
        <v>817307.2367</v>
      </c>
    </row>
    <row r="688">
      <c r="A688" s="15">
        <f>IFERROR(__xludf.DUMMYFUNCTION("IFERROR(INDEX(FILTER('RE Portfolio'!A$2:A2000,'RE Portfolio'!D$2:D2000=""BUY""), INT((ROW()-2)/amortYears)+1), )
"),19.0)</f>
        <v>19</v>
      </c>
      <c r="B688" s="15">
        <f>IFERROR(__xludf.DUMMYFUNCTION("IFERROR(INDEX(FILTER('RE Portfolio'!B$2:B2000,'RE Portfolio'!D$2:D2000=""BUY""), INT((ROW()-2)/amortYears)+1), )
"),63.0)</f>
        <v>63</v>
      </c>
      <c r="C688" s="15">
        <f>IFERROR(__xludf.DUMMYFUNCTION("IFERROR(INDEX(FILTER('RE Portfolio'!G$2:G2000,'RE Portfolio'!D$2:D2000=""BUY""), INT((ROW()-2)/amortYears)+1), )
"),589404.257207553)</f>
        <v>589404.2572</v>
      </c>
      <c r="D688" s="15">
        <f>MOD(ROW()-2, amortYears)+1</f>
        <v>3</v>
      </c>
      <c r="E688" s="15">
        <f t="shared" si="1"/>
        <v>65</v>
      </c>
      <c r="F688" s="16">
        <f t="shared" si="2"/>
        <v>575787.2089</v>
      </c>
      <c r="G688" s="16">
        <f>IF(D688&lt;=mortTerm, -PMT(mortRate/12, mortTerm*12, C688)*12, 0)
</f>
        <v>44705.23007</v>
      </c>
      <c r="H688" s="16">
        <f>IF(D688&lt;=mortTerm, G688 - I688, 0)
</f>
        <v>37205.34963</v>
      </c>
      <c r="I688" s="16">
        <f>IF(D688&lt;=mortTerm, F688 - J688, 0)
</f>
        <v>7499.880441</v>
      </c>
      <c r="J688" s="16">
        <f>IF(D688&lt;=mortTerm,
   F688*(1+mortRate/12)^12 - (-PMT(mortRate/12, mortTerm*12, C688))*(((1+mortRate/12)^12 - 1)/(mortRate/12)),
   0
)
</f>
        <v>568287.3285</v>
      </c>
      <c r="K688" s="13">
        <f>IFERROR(__xludf.DUMMYFUNCTION("IF(A688="""","""",
   IF(F688&gt;0,
      INDEX(FILTER('RE Portfolio'!L$2:L2000,'RE Portfolio'!D$2:D2000=""BUY""), INT((ROW()-2)/amortYears)+1) - G688,
      INDEX(FILTER('RE Portfolio'!L$2:L2000,'RE Portfolio'!D$2:D2000=""BUY""), INT((ROW()-2)/amortYears)+1"&amp;")
   )
)
"),13763.67224800717)</f>
        <v>13763.67225</v>
      </c>
      <c r="L688" s="15">
        <f>IFERROR(__xludf.DUMMYFUNCTION("IF(A688="""","""",
  INDEX(FILTER('RE Portfolio'!C$2:C2000,'RE Portfolio'!D$2:D2000=""BUY""), INT((ROW()-2)/amortYears)+1)
  * (1 + VALUE(Assumptions!$B$11))^(D688-1)
)
"),849999.5261275858)</f>
        <v>849999.5261</v>
      </c>
    </row>
    <row r="689">
      <c r="A689" s="15">
        <f>IFERROR(__xludf.DUMMYFUNCTION("IFERROR(INDEX(FILTER('RE Portfolio'!A$2:A2000,'RE Portfolio'!D$2:D2000=""BUY""), INT((ROW()-2)/amortYears)+1), )
"),19.0)</f>
        <v>19</v>
      </c>
      <c r="B689" s="15">
        <f>IFERROR(__xludf.DUMMYFUNCTION("IFERROR(INDEX(FILTER('RE Portfolio'!B$2:B2000,'RE Portfolio'!D$2:D2000=""BUY""), INT((ROW()-2)/amortYears)+1), )
"),63.0)</f>
        <v>63</v>
      </c>
      <c r="C689" s="15">
        <f>IFERROR(__xludf.DUMMYFUNCTION("IFERROR(INDEX(FILTER('RE Portfolio'!G$2:G2000,'RE Portfolio'!D$2:D2000=""BUY""), INT((ROW()-2)/amortYears)+1), )
"),589404.257207553)</f>
        <v>589404.2572</v>
      </c>
      <c r="D689" s="15">
        <f>MOD(ROW()-2, amortYears)+1</f>
        <v>4</v>
      </c>
      <c r="E689" s="15">
        <f t="shared" si="1"/>
        <v>66</v>
      </c>
      <c r="F689" s="16">
        <f t="shared" si="2"/>
        <v>568287.3285</v>
      </c>
      <c r="G689" s="16">
        <f>IF(D689&lt;=mortTerm, -PMT(mortRate/12, mortTerm*12, C689)*12, 0)
</f>
        <v>44705.23007</v>
      </c>
      <c r="H689" s="16">
        <f>IF(D689&lt;=mortTerm, G689 - I689, 0)
</f>
        <v>36703.06874</v>
      </c>
      <c r="I689" s="16">
        <f>IF(D689&lt;=mortTerm, F689 - J689, 0)
</f>
        <v>8002.161324</v>
      </c>
      <c r="J689" s="16">
        <f>IF(D689&lt;=mortTerm,
   F689*(1+mortRate/12)^12 - (-PMT(mortRate/12, mortTerm*12, C689))*(((1+mortRate/12)^12 - 1)/(mortRate/12)),
   0
)
</f>
        <v>560285.1671</v>
      </c>
      <c r="K689" s="13">
        <f>IFERROR(__xludf.DUMMYFUNCTION("IF(A689="""","""",
   IF(F689&gt;0,
      INDEX(FILTER('RE Portfolio'!L$2:L2000,'RE Portfolio'!D$2:D2000=""BUY""), INT((ROW()-2)/amortYears)+1) - G689,
      INDEX(FILTER('RE Portfolio'!L$2:L2000,'RE Portfolio'!D$2:D2000=""BUY""), INT((ROW()-2)/amortYears)+1"&amp;")
   )
)
"),13763.67224800717)</f>
        <v>13763.67225</v>
      </c>
      <c r="L689" s="15">
        <f>IFERROR(__xludf.DUMMYFUNCTION("IF(A689="""","""",
  INDEX(FILTER('RE Portfolio'!C$2:C2000,'RE Portfolio'!D$2:D2000=""BUY""), INT((ROW()-2)/amortYears)+1)
  * (1 + VALUE(Assumptions!$B$11))^(D689-1)
)
"),883999.5071726892)</f>
        <v>883999.5072</v>
      </c>
    </row>
    <row r="690">
      <c r="A690" s="15">
        <f>IFERROR(__xludf.DUMMYFUNCTION("IFERROR(INDEX(FILTER('RE Portfolio'!A$2:A2000,'RE Portfolio'!D$2:D2000=""BUY""), INT((ROW()-2)/amortYears)+1), )
"),19.0)</f>
        <v>19</v>
      </c>
      <c r="B690" s="15">
        <f>IFERROR(__xludf.DUMMYFUNCTION("IFERROR(INDEX(FILTER('RE Portfolio'!B$2:B2000,'RE Portfolio'!D$2:D2000=""BUY""), INT((ROW()-2)/amortYears)+1), )
"),63.0)</f>
        <v>63</v>
      </c>
      <c r="C690" s="15">
        <f>IFERROR(__xludf.DUMMYFUNCTION("IFERROR(INDEX(FILTER('RE Portfolio'!G$2:G2000,'RE Portfolio'!D$2:D2000=""BUY""), INT((ROW()-2)/amortYears)+1), )
"),589404.257207553)</f>
        <v>589404.2572</v>
      </c>
      <c r="D690" s="15">
        <f>MOD(ROW()-2, amortYears)+1</f>
        <v>5</v>
      </c>
      <c r="E690" s="15">
        <f t="shared" si="1"/>
        <v>67</v>
      </c>
      <c r="F690" s="16">
        <f t="shared" si="2"/>
        <v>560285.1671</v>
      </c>
      <c r="G690" s="16">
        <f>IF(D690&lt;=mortTerm, -PMT(mortRate/12, mortTerm*12, C690)*12, 0)
</f>
        <v>44705.23007</v>
      </c>
      <c r="H690" s="16">
        <f>IF(D690&lt;=mortTerm, G690 - I690, 0)
</f>
        <v>36167.14918</v>
      </c>
      <c r="I690" s="16">
        <f>IF(D690&lt;=mortTerm, F690 - J690, 0)
</f>
        <v>8538.080888</v>
      </c>
      <c r="J690" s="16">
        <f>IF(D690&lt;=mortTerm,
   F690*(1+mortRate/12)^12 - (-PMT(mortRate/12, mortTerm*12, C690))*(((1+mortRate/12)^12 - 1)/(mortRate/12)),
   0
)
</f>
        <v>551747.0863</v>
      </c>
      <c r="K690" s="13">
        <f>IFERROR(__xludf.DUMMYFUNCTION("IF(A690="""","""",
   IF(F690&gt;0,
      INDEX(FILTER('RE Portfolio'!L$2:L2000,'RE Portfolio'!D$2:D2000=""BUY""), INT((ROW()-2)/amortYears)+1) - G690,
      INDEX(FILTER('RE Portfolio'!L$2:L2000,'RE Portfolio'!D$2:D2000=""BUY""), INT((ROW()-2)/amortYears)+1"&amp;")
   )
)
"),13763.67224800717)</f>
        <v>13763.67225</v>
      </c>
      <c r="L690" s="15">
        <f>IFERROR(__xludf.DUMMYFUNCTION("IF(A690="""","""",
  INDEX(FILTER('RE Portfolio'!C$2:C2000,'RE Portfolio'!D$2:D2000=""BUY""), INT((ROW()-2)/amortYears)+1)
  * (1 + VALUE(Assumptions!$B$11))^(D690-1)
)
"),919359.487459597)</f>
        <v>919359.4875</v>
      </c>
    </row>
    <row r="691">
      <c r="A691" s="15">
        <f>IFERROR(__xludf.DUMMYFUNCTION("IFERROR(INDEX(FILTER('RE Portfolio'!A$2:A2000,'RE Portfolio'!D$2:D2000=""BUY""), INT((ROW()-2)/amortYears)+1), )
"),19.0)</f>
        <v>19</v>
      </c>
      <c r="B691" s="15">
        <f>IFERROR(__xludf.DUMMYFUNCTION("IFERROR(INDEX(FILTER('RE Portfolio'!B$2:B2000,'RE Portfolio'!D$2:D2000=""BUY""), INT((ROW()-2)/amortYears)+1), )
"),63.0)</f>
        <v>63</v>
      </c>
      <c r="C691" s="15">
        <f>IFERROR(__xludf.DUMMYFUNCTION("IFERROR(INDEX(FILTER('RE Portfolio'!G$2:G2000,'RE Portfolio'!D$2:D2000=""BUY""), INT((ROW()-2)/amortYears)+1), )
"),589404.257207553)</f>
        <v>589404.2572</v>
      </c>
      <c r="D691" s="15">
        <f>MOD(ROW()-2, amortYears)+1</f>
        <v>6</v>
      </c>
      <c r="E691" s="15">
        <f t="shared" si="1"/>
        <v>68</v>
      </c>
      <c r="F691" s="16">
        <f t="shared" si="2"/>
        <v>551747.0863</v>
      </c>
      <c r="G691" s="16">
        <f>IF(D691&lt;=mortTerm, -PMT(mortRate/12, mortTerm*12, C691)*12, 0)
</f>
        <v>44705.23007</v>
      </c>
      <c r="H691" s="16">
        <f>IF(D691&lt;=mortTerm, G691 - I691, 0)
</f>
        <v>35595.33809</v>
      </c>
      <c r="I691" s="16">
        <f>IF(D691&lt;=mortTerm, F691 - J691, 0)
</f>
        <v>9109.891978</v>
      </c>
      <c r="J691" s="16">
        <f>IF(D691&lt;=mortTerm,
   F691*(1+mortRate/12)^12 - (-PMT(mortRate/12, mortTerm*12, C691))*(((1+mortRate/12)^12 - 1)/(mortRate/12)),
   0
)
</f>
        <v>542637.1943</v>
      </c>
      <c r="K691" s="13">
        <f>IFERROR(__xludf.DUMMYFUNCTION("IF(A691="""","""",
   IF(F691&gt;0,
      INDEX(FILTER('RE Portfolio'!L$2:L2000,'RE Portfolio'!D$2:D2000=""BUY""), INT((ROW()-2)/amortYears)+1) - G691,
      INDEX(FILTER('RE Portfolio'!L$2:L2000,'RE Portfolio'!D$2:D2000=""BUY""), INT((ROW()-2)/amortYears)+1"&amp;")
   )
)
"),13763.67224800717)</f>
        <v>13763.67225</v>
      </c>
      <c r="L691" s="15">
        <f>IFERROR(__xludf.DUMMYFUNCTION("IF(A691="""","""",
  INDEX(FILTER('RE Portfolio'!C$2:C2000,'RE Portfolio'!D$2:D2000=""BUY""), INT((ROW()-2)/amortYears)+1)
  * (1 + VALUE(Assumptions!$B$11))^(D691-1)
)
"),956133.8669579807)</f>
        <v>956133.867</v>
      </c>
    </row>
    <row r="692">
      <c r="A692" s="15">
        <f>IFERROR(__xludf.DUMMYFUNCTION("IFERROR(INDEX(FILTER('RE Portfolio'!A$2:A2000,'RE Portfolio'!D$2:D2000=""BUY""), INT((ROW()-2)/amortYears)+1), )
"),19.0)</f>
        <v>19</v>
      </c>
      <c r="B692" s="15">
        <f>IFERROR(__xludf.DUMMYFUNCTION("IFERROR(INDEX(FILTER('RE Portfolio'!B$2:B2000,'RE Portfolio'!D$2:D2000=""BUY""), INT((ROW()-2)/amortYears)+1), )
"),63.0)</f>
        <v>63</v>
      </c>
      <c r="C692" s="15">
        <f>IFERROR(__xludf.DUMMYFUNCTION("IFERROR(INDEX(FILTER('RE Portfolio'!G$2:G2000,'RE Portfolio'!D$2:D2000=""BUY""), INT((ROW()-2)/amortYears)+1), )
"),589404.257207553)</f>
        <v>589404.2572</v>
      </c>
      <c r="D692" s="15">
        <f>MOD(ROW()-2, amortYears)+1</f>
        <v>7</v>
      </c>
      <c r="E692" s="15">
        <f t="shared" si="1"/>
        <v>69</v>
      </c>
      <c r="F692" s="16">
        <f t="shared" si="2"/>
        <v>542637.1943</v>
      </c>
      <c r="G692" s="16">
        <f>IF(D692&lt;=mortTerm, -PMT(mortRate/12, mortTerm*12, C692)*12, 0)
</f>
        <v>44705.23007</v>
      </c>
      <c r="H692" s="16">
        <f>IF(D692&lt;=mortTerm, G692 - I692, 0)
</f>
        <v>34985.23175</v>
      </c>
      <c r="I692" s="16">
        <f>IF(D692&lt;=mortTerm, F692 - J692, 0)
</f>
        <v>9719.998315</v>
      </c>
      <c r="J692" s="16">
        <f>IF(D692&lt;=mortTerm,
   F692*(1+mortRate/12)^12 - (-PMT(mortRate/12, mortTerm*12, C692))*(((1+mortRate/12)^12 - 1)/(mortRate/12)),
   0
)
</f>
        <v>532917.196</v>
      </c>
      <c r="K692" s="13">
        <f>IFERROR(__xludf.DUMMYFUNCTION("IF(A692="""","""",
   IF(F692&gt;0,
      INDEX(FILTER('RE Portfolio'!L$2:L2000,'RE Portfolio'!D$2:D2000=""BUY""), INT((ROW()-2)/amortYears)+1) - G692,
      INDEX(FILTER('RE Portfolio'!L$2:L2000,'RE Portfolio'!D$2:D2000=""BUY""), INT((ROW()-2)/amortYears)+1"&amp;")
   )
)
"),13763.67224800717)</f>
        <v>13763.67225</v>
      </c>
      <c r="L692" s="15">
        <f>IFERROR(__xludf.DUMMYFUNCTION("IF(A692="""","""",
  INDEX(FILTER('RE Portfolio'!C$2:C2000,'RE Portfolio'!D$2:D2000=""BUY""), INT((ROW()-2)/amortYears)+1)
  * (1 + VALUE(Assumptions!$B$11))^(D692-1)
)
"),994379.2216363001)</f>
        <v>994379.2216</v>
      </c>
    </row>
    <row r="693">
      <c r="A693" s="15">
        <f>IFERROR(__xludf.DUMMYFUNCTION("IFERROR(INDEX(FILTER('RE Portfolio'!A$2:A2000,'RE Portfolio'!D$2:D2000=""BUY""), INT((ROW()-2)/amortYears)+1), )
"),19.0)</f>
        <v>19</v>
      </c>
      <c r="B693" s="15">
        <f>IFERROR(__xludf.DUMMYFUNCTION("IFERROR(INDEX(FILTER('RE Portfolio'!B$2:B2000,'RE Portfolio'!D$2:D2000=""BUY""), INT((ROW()-2)/amortYears)+1), )
"),63.0)</f>
        <v>63</v>
      </c>
      <c r="C693" s="15">
        <f>IFERROR(__xludf.DUMMYFUNCTION("IFERROR(INDEX(FILTER('RE Portfolio'!G$2:G2000,'RE Portfolio'!D$2:D2000=""BUY""), INT((ROW()-2)/amortYears)+1), )
"),589404.257207553)</f>
        <v>589404.2572</v>
      </c>
      <c r="D693" s="15">
        <f>MOD(ROW()-2, amortYears)+1</f>
        <v>8</v>
      </c>
      <c r="E693" s="15">
        <f t="shared" si="1"/>
        <v>70</v>
      </c>
      <c r="F693" s="16">
        <f t="shared" si="2"/>
        <v>532917.196</v>
      </c>
      <c r="G693" s="16">
        <f>IF(D693&lt;=mortTerm, -PMT(mortRate/12, mortTerm*12, C693)*12, 0)
</f>
        <v>44705.23007</v>
      </c>
      <c r="H693" s="16">
        <f>IF(D693&lt;=mortTerm, G693 - I693, 0)
</f>
        <v>34334.26546</v>
      </c>
      <c r="I693" s="16">
        <f>IF(D693&lt;=mortTerm, F693 - J693, 0)
</f>
        <v>10370.9646</v>
      </c>
      <c r="J693" s="16">
        <f>IF(D693&lt;=mortTerm,
   F693*(1+mortRate/12)^12 - (-PMT(mortRate/12, mortTerm*12, C693))*(((1+mortRate/12)^12 - 1)/(mortRate/12)),
   0
)
</f>
        <v>522546.2314</v>
      </c>
      <c r="K693" s="13">
        <f>IFERROR(__xludf.DUMMYFUNCTION("IF(A693="""","""",
   IF(F693&gt;0,
      INDEX(FILTER('RE Portfolio'!L$2:L2000,'RE Portfolio'!D$2:D2000=""BUY""), INT((ROW()-2)/amortYears)+1) - G693,
      INDEX(FILTER('RE Portfolio'!L$2:L2000,'RE Portfolio'!D$2:D2000=""BUY""), INT((ROW()-2)/amortYears)+1"&amp;")
   )
)
"),13763.67224800717)</f>
        <v>13763.67225</v>
      </c>
      <c r="L693" s="15">
        <f>IFERROR(__xludf.DUMMYFUNCTION("IF(A693="""","""",
  INDEX(FILTER('RE Portfolio'!C$2:C2000,'RE Portfolio'!D$2:D2000=""BUY""), INT((ROW()-2)/amortYears)+1)
  * (1 + VALUE(Assumptions!$B$11))^(D693-1)
)
"),1034154.390501752)</f>
        <v>1034154.391</v>
      </c>
    </row>
    <row r="694">
      <c r="A694" s="15">
        <f>IFERROR(__xludf.DUMMYFUNCTION("IFERROR(INDEX(FILTER('RE Portfolio'!A$2:A2000,'RE Portfolio'!D$2:D2000=""BUY""), INT((ROW()-2)/amortYears)+1), )
"),19.0)</f>
        <v>19</v>
      </c>
      <c r="B694" s="15">
        <f>IFERROR(__xludf.DUMMYFUNCTION("IFERROR(INDEX(FILTER('RE Portfolio'!B$2:B2000,'RE Portfolio'!D$2:D2000=""BUY""), INT((ROW()-2)/amortYears)+1), )
"),63.0)</f>
        <v>63</v>
      </c>
      <c r="C694" s="15">
        <f>IFERROR(__xludf.DUMMYFUNCTION("IFERROR(INDEX(FILTER('RE Portfolio'!G$2:G2000,'RE Portfolio'!D$2:D2000=""BUY""), INT((ROW()-2)/amortYears)+1), )
"),589404.257207553)</f>
        <v>589404.2572</v>
      </c>
      <c r="D694" s="15">
        <f>MOD(ROW()-2, amortYears)+1</f>
        <v>9</v>
      </c>
      <c r="E694" s="15">
        <f t="shared" si="1"/>
        <v>71</v>
      </c>
      <c r="F694" s="16">
        <f t="shared" si="2"/>
        <v>522546.2314</v>
      </c>
      <c r="G694" s="16">
        <f>IF(D694&lt;=mortTerm, -PMT(mortRate/12, mortTerm*12, C694)*12, 0)
</f>
        <v>44705.23007</v>
      </c>
      <c r="H694" s="16">
        <f>IF(D694&lt;=mortTerm, G694 - I694, 0)
</f>
        <v>33639.70276</v>
      </c>
      <c r="I694" s="16">
        <f>IF(D694&lt;=mortTerm, F694 - J694, 0)
</f>
        <v>11065.52731</v>
      </c>
      <c r="J694" s="16">
        <f>IF(D694&lt;=mortTerm,
   F694*(1+mortRate/12)^12 - (-PMT(mortRate/12, mortTerm*12, C694))*(((1+mortRate/12)^12 - 1)/(mortRate/12)),
   0
)
</f>
        <v>511480.704</v>
      </c>
      <c r="K694" s="13">
        <f>IFERROR(__xludf.DUMMYFUNCTION("IF(A694="""","""",
   IF(F694&gt;0,
      INDEX(FILTER('RE Portfolio'!L$2:L2000,'RE Portfolio'!D$2:D2000=""BUY""), INT((ROW()-2)/amortYears)+1) - G694,
      INDEX(FILTER('RE Portfolio'!L$2:L2000,'RE Portfolio'!D$2:D2000=""BUY""), INT((ROW()-2)/amortYears)+1"&amp;")
   )
)
"),13763.67224800717)</f>
        <v>13763.67225</v>
      </c>
      <c r="L694" s="15">
        <f>IFERROR(__xludf.DUMMYFUNCTION("IF(A694="""","""",
  INDEX(FILTER('RE Portfolio'!C$2:C2000,'RE Portfolio'!D$2:D2000=""BUY""), INT((ROW()-2)/amortYears)+1)
  * (1 + VALUE(Assumptions!$B$11))^(D694-1)
)
"),1075520.5661218222)</f>
        <v>1075520.566</v>
      </c>
    </row>
    <row r="695">
      <c r="A695" s="15">
        <f>IFERROR(__xludf.DUMMYFUNCTION("IFERROR(INDEX(FILTER('RE Portfolio'!A$2:A2000,'RE Portfolio'!D$2:D2000=""BUY""), INT((ROW()-2)/amortYears)+1), )
"),19.0)</f>
        <v>19</v>
      </c>
      <c r="B695" s="15">
        <f>IFERROR(__xludf.DUMMYFUNCTION("IFERROR(INDEX(FILTER('RE Portfolio'!B$2:B2000,'RE Portfolio'!D$2:D2000=""BUY""), INT((ROW()-2)/amortYears)+1), )
"),63.0)</f>
        <v>63</v>
      </c>
      <c r="C695" s="15">
        <f>IFERROR(__xludf.DUMMYFUNCTION("IFERROR(INDEX(FILTER('RE Portfolio'!G$2:G2000,'RE Portfolio'!D$2:D2000=""BUY""), INT((ROW()-2)/amortYears)+1), )
"),589404.257207553)</f>
        <v>589404.2572</v>
      </c>
      <c r="D695" s="15">
        <f>MOD(ROW()-2, amortYears)+1</f>
        <v>10</v>
      </c>
      <c r="E695" s="15">
        <f t="shared" si="1"/>
        <v>72</v>
      </c>
      <c r="F695" s="16">
        <f t="shared" si="2"/>
        <v>511480.704</v>
      </c>
      <c r="G695" s="16">
        <f>IF(D695&lt;=mortTerm, -PMT(mortRate/12, mortTerm*12, C695)*12, 0)
</f>
        <v>44705.23007</v>
      </c>
      <c r="H695" s="16">
        <f>IF(D695&lt;=mortTerm, G695 - I695, 0)
</f>
        <v>32898.6239</v>
      </c>
      <c r="I695" s="16">
        <f>IF(D695&lt;=mortTerm, F695 - J695, 0)
</f>
        <v>11806.60617</v>
      </c>
      <c r="J695" s="16">
        <f>IF(D695&lt;=mortTerm,
   F695*(1+mortRate/12)^12 - (-PMT(mortRate/12, mortTerm*12, C695))*(((1+mortRate/12)^12 - 1)/(mortRate/12)),
   0
)
</f>
        <v>499674.0979</v>
      </c>
      <c r="K695" s="13">
        <f>IFERROR(__xludf.DUMMYFUNCTION("IF(A695="""","""",
   IF(F695&gt;0,
      INDEX(FILTER('RE Portfolio'!L$2:L2000,'RE Portfolio'!D$2:D2000=""BUY""), INT((ROW()-2)/amortYears)+1) - G695,
      INDEX(FILTER('RE Portfolio'!L$2:L2000,'RE Portfolio'!D$2:D2000=""BUY""), INT((ROW()-2)/amortYears)+1"&amp;")
   )
)
"),13763.67224800717)</f>
        <v>13763.67225</v>
      </c>
      <c r="L695" s="15">
        <f>IFERROR(__xludf.DUMMYFUNCTION("IF(A695="""","""",
  INDEX(FILTER('RE Portfolio'!C$2:C2000,'RE Portfolio'!D$2:D2000=""BUY""), INT((ROW()-2)/amortYears)+1)
  * (1 + VALUE(Assumptions!$B$11))^(D695-1)
)
"),1118541.388766695)</f>
        <v>1118541.389</v>
      </c>
    </row>
    <row r="696">
      <c r="A696" s="15">
        <f>IFERROR(__xludf.DUMMYFUNCTION("IFERROR(INDEX(FILTER('RE Portfolio'!A$2:A2000,'RE Portfolio'!D$2:D2000=""BUY""), INT((ROW()-2)/amortYears)+1), )
"),19.0)</f>
        <v>19</v>
      </c>
      <c r="B696" s="15">
        <f>IFERROR(__xludf.DUMMYFUNCTION("IFERROR(INDEX(FILTER('RE Portfolio'!B$2:B2000,'RE Portfolio'!D$2:D2000=""BUY""), INT((ROW()-2)/amortYears)+1), )
"),63.0)</f>
        <v>63</v>
      </c>
      <c r="C696" s="15">
        <f>IFERROR(__xludf.DUMMYFUNCTION("IFERROR(INDEX(FILTER('RE Portfolio'!G$2:G2000,'RE Portfolio'!D$2:D2000=""BUY""), INT((ROW()-2)/amortYears)+1), )
"),589404.257207553)</f>
        <v>589404.2572</v>
      </c>
      <c r="D696" s="15">
        <f>MOD(ROW()-2, amortYears)+1</f>
        <v>11</v>
      </c>
      <c r="E696" s="15">
        <f t="shared" si="1"/>
        <v>73</v>
      </c>
      <c r="F696" s="16">
        <f t="shared" si="2"/>
        <v>499674.0979</v>
      </c>
      <c r="G696" s="16">
        <f>IF(D696&lt;=mortTerm, -PMT(mortRate/12, mortTerm*12, C696)*12, 0)
</f>
        <v>44705.23007</v>
      </c>
      <c r="H696" s="16">
        <f>IF(D696&lt;=mortTerm, G696 - I696, 0)
</f>
        <v>32107.91362</v>
      </c>
      <c r="I696" s="16">
        <f>IF(D696&lt;=mortTerm, F696 - J696, 0)
</f>
        <v>12597.31645</v>
      </c>
      <c r="J696" s="16">
        <f>IF(D696&lt;=mortTerm,
   F696*(1+mortRate/12)^12 - (-PMT(mortRate/12, mortTerm*12, C696))*(((1+mortRate/12)^12 - 1)/(mortRate/12)),
   0
)
</f>
        <v>487076.7814</v>
      </c>
      <c r="K696" s="13">
        <f>IFERROR(__xludf.DUMMYFUNCTION("IF(A696="""","""",
   IF(F696&gt;0,
      INDEX(FILTER('RE Portfolio'!L$2:L2000,'RE Portfolio'!D$2:D2000=""BUY""), INT((ROW()-2)/amortYears)+1) - G696,
      INDEX(FILTER('RE Portfolio'!L$2:L2000,'RE Portfolio'!D$2:D2000=""BUY""), INT((ROW()-2)/amortYears)+1"&amp;")
   )
)
"),13763.67224800717)</f>
        <v>13763.67225</v>
      </c>
      <c r="L696" s="15">
        <f>IFERROR(__xludf.DUMMYFUNCTION("IF(A696="""","""",
  INDEX(FILTER('RE Portfolio'!C$2:C2000,'RE Portfolio'!D$2:D2000=""BUY""), INT((ROW()-2)/amortYears)+1)
  * (1 + VALUE(Assumptions!$B$11))^(D696-1)
)
"),1163283.0443173628)</f>
        <v>1163283.044</v>
      </c>
    </row>
    <row r="697">
      <c r="A697" s="15">
        <f>IFERROR(__xludf.DUMMYFUNCTION("IFERROR(INDEX(FILTER('RE Portfolio'!A$2:A2000,'RE Portfolio'!D$2:D2000=""BUY""), INT((ROW()-2)/amortYears)+1), )
"),19.0)</f>
        <v>19</v>
      </c>
      <c r="B697" s="15">
        <f>IFERROR(__xludf.DUMMYFUNCTION("IFERROR(INDEX(FILTER('RE Portfolio'!B$2:B2000,'RE Portfolio'!D$2:D2000=""BUY""), INT((ROW()-2)/amortYears)+1), )
"),63.0)</f>
        <v>63</v>
      </c>
      <c r="C697" s="15">
        <f>IFERROR(__xludf.DUMMYFUNCTION("IFERROR(INDEX(FILTER('RE Portfolio'!G$2:G2000,'RE Portfolio'!D$2:D2000=""BUY""), INT((ROW()-2)/amortYears)+1), )
"),589404.257207553)</f>
        <v>589404.2572</v>
      </c>
      <c r="D697" s="15">
        <f>MOD(ROW()-2, amortYears)+1</f>
        <v>12</v>
      </c>
      <c r="E697" s="15">
        <f t="shared" si="1"/>
        <v>74</v>
      </c>
      <c r="F697" s="16">
        <f t="shared" si="2"/>
        <v>487076.7814</v>
      </c>
      <c r="G697" s="16">
        <f>IF(D697&lt;=mortTerm, -PMT(mortRate/12, mortTerm*12, C697)*12, 0)
</f>
        <v>44705.23007</v>
      </c>
      <c r="H697" s="16">
        <f>IF(D697&lt;=mortTerm, G697 - I697, 0)
</f>
        <v>31264.24801</v>
      </c>
      <c r="I697" s="16">
        <f>IF(D697&lt;=mortTerm, F697 - J697, 0)
</f>
        <v>13440.98206</v>
      </c>
      <c r="J697" s="16">
        <f>IF(D697&lt;=mortTerm,
   F697*(1+mortRate/12)^12 - (-PMT(mortRate/12, mortTerm*12, C697))*(((1+mortRate/12)^12 - 1)/(mortRate/12)),
   0
)
</f>
        <v>473635.7994</v>
      </c>
      <c r="K697" s="13">
        <f>IFERROR(__xludf.DUMMYFUNCTION("IF(A697="""","""",
   IF(F697&gt;0,
      INDEX(FILTER('RE Portfolio'!L$2:L2000,'RE Portfolio'!D$2:D2000=""BUY""), INT((ROW()-2)/amortYears)+1) - G697,
      INDEX(FILTER('RE Portfolio'!L$2:L2000,'RE Portfolio'!D$2:D2000=""BUY""), INT((ROW()-2)/amortYears)+1"&amp;")
   )
)
"),13763.67224800717)</f>
        <v>13763.67225</v>
      </c>
      <c r="L697" s="15">
        <f>IFERROR(__xludf.DUMMYFUNCTION("IF(A697="""","""",
  INDEX(FILTER('RE Portfolio'!C$2:C2000,'RE Portfolio'!D$2:D2000=""BUY""), INT((ROW()-2)/amortYears)+1)
  * (1 + VALUE(Assumptions!$B$11))^(D697-1)
)
"),1209814.3660900574)</f>
        <v>1209814.366</v>
      </c>
    </row>
    <row r="698">
      <c r="A698" s="15">
        <f>IFERROR(__xludf.DUMMYFUNCTION("IFERROR(INDEX(FILTER('RE Portfolio'!A$2:A2000,'RE Portfolio'!D$2:D2000=""BUY""), INT((ROW()-2)/amortYears)+1), )
"),19.0)</f>
        <v>19</v>
      </c>
      <c r="B698" s="15">
        <f>IFERROR(__xludf.DUMMYFUNCTION("IFERROR(INDEX(FILTER('RE Portfolio'!B$2:B2000,'RE Portfolio'!D$2:D2000=""BUY""), INT((ROW()-2)/amortYears)+1), )
"),63.0)</f>
        <v>63</v>
      </c>
      <c r="C698" s="15">
        <f>IFERROR(__xludf.DUMMYFUNCTION("IFERROR(INDEX(FILTER('RE Portfolio'!G$2:G2000,'RE Portfolio'!D$2:D2000=""BUY""), INT((ROW()-2)/amortYears)+1), )
"),589404.257207553)</f>
        <v>589404.2572</v>
      </c>
      <c r="D698" s="15">
        <f>MOD(ROW()-2, amortYears)+1</f>
        <v>13</v>
      </c>
      <c r="E698" s="15">
        <f t="shared" si="1"/>
        <v>75</v>
      </c>
      <c r="F698" s="16">
        <f t="shared" si="2"/>
        <v>473635.7994</v>
      </c>
      <c r="G698" s="16">
        <f>IF(D698&lt;=mortTerm, -PMT(mortRate/12, mortTerm*12, C698)*12, 0)
</f>
        <v>44705.23007</v>
      </c>
      <c r="H698" s="16">
        <f>IF(D698&lt;=mortTerm, G698 - I698, 0)
</f>
        <v>30364.08054</v>
      </c>
      <c r="I698" s="16">
        <f>IF(D698&lt;=mortTerm, F698 - J698, 0)
</f>
        <v>14341.14952</v>
      </c>
      <c r="J698" s="16">
        <f>IF(D698&lt;=mortTerm,
   F698*(1+mortRate/12)^12 - (-PMT(mortRate/12, mortTerm*12, C698))*(((1+mortRate/12)^12 - 1)/(mortRate/12)),
   0
)
</f>
        <v>459294.6498</v>
      </c>
      <c r="K698" s="13">
        <f>IFERROR(__xludf.DUMMYFUNCTION("IF(A698="""","""",
   IF(F698&gt;0,
      INDEX(FILTER('RE Portfolio'!L$2:L2000,'RE Portfolio'!D$2:D2000=""BUY""), INT((ROW()-2)/amortYears)+1) - G698,
      INDEX(FILTER('RE Portfolio'!L$2:L2000,'RE Portfolio'!D$2:D2000=""BUY""), INT((ROW()-2)/amortYears)+1"&amp;")
   )
)
"),13763.67224800717)</f>
        <v>13763.67225</v>
      </c>
      <c r="L698" s="15">
        <f>IFERROR(__xludf.DUMMYFUNCTION("IF(A698="""","""",
  INDEX(FILTER('RE Portfolio'!C$2:C2000,'RE Portfolio'!D$2:D2000=""BUY""), INT((ROW()-2)/amortYears)+1)
  * (1 + VALUE(Assumptions!$B$11))^(D698-1)
)
"),1258206.94073366)</f>
        <v>1258206.941</v>
      </c>
    </row>
    <row r="699">
      <c r="A699" s="15">
        <f>IFERROR(__xludf.DUMMYFUNCTION("IFERROR(INDEX(FILTER('RE Portfolio'!A$2:A2000,'RE Portfolio'!D$2:D2000=""BUY""), INT((ROW()-2)/amortYears)+1), )
"),19.0)</f>
        <v>19</v>
      </c>
      <c r="B699" s="15">
        <f>IFERROR(__xludf.DUMMYFUNCTION("IFERROR(INDEX(FILTER('RE Portfolio'!B$2:B2000,'RE Portfolio'!D$2:D2000=""BUY""), INT((ROW()-2)/amortYears)+1), )
"),63.0)</f>
        <v>63</v>
      </c>
      <c r="C699" s="15">
        <f>IFERROR(__xludf.DUMMYFUNCTION("IFERROR(INDEX(FILTER('RE Portfolio'!G$2:G2000,'RE Portfolio'!D$2:D2000=""BUY""), INT((ROW()-2)/amortYears)+1), )
"),589404.257207553)</f>
        <v>589404.2572</v>
      </c>
      <c r="D699" s="15">
        <f>MOD(ROW()-2, amortYears)+1</f>
        <v>14</v>
      </c>
      <c r="E699" s="15">
        <f t="shared" si="1"/>
        <v>76</v>
      </c>
      <c r="F699" s="16">
        <f t="shared" si="2"/>
        <v>459294.6498</v>
      </c>
      <c r="G699" s="16">
        <f>IF(D699&lt;=mortTerm, -PMT(mortRate/12, mortTerm*12, C699)*12, 0)
</f>
        <v>44705.23007</v>
      </c>
      <c r="H699" s="16">
        <f>IF(D699&lt;=mortTerm, G699 - I699, 0)
</f>
        <v>29403.6272</v>
      </c>
      <c r="I699" s="16">
        <f>IF(D699&lt;=mortTerm, F699 - J699, 0)
</f>
        <v>15301.60287</v>
      </c>
      <c r="J699" s="16">
        <f>IF(D699&lt;=mortTerm,
   F699*(1+mortRate/12)^12 - (-PMT(mortRate/12, mortTerm*12, C699))*(((1+mortRate/12)^12 - 1)/(mortRate/12)),
   0
)
</f>
        <v>443993.047</v>
      </c>
      <c r="K699" s="13">
        <f>IFERROR(__xludf.DUMMYFUNCTION("IF(A699="""","""",
   IF(F699&gt;0,
      INDEX(FILTER('RE Portfolio'!L$2:L2000,'RE Portfolio'!D$2:D2000=""BUY""), INT((ROW()-2)/amortYears)+1) - G699,
      INDEX(FILTER('RE Portfolio'!L$2:L2000,'RE Portfolio'!D$2:D2000=""BUY""), INT((ROW()-2)/amortYears)+1"&amp;")
   )
)
"),13763.67224800717)</f>
        <v>13763.67225</v>
      </c>
      <c r="L699" s="15">
        <f>IFERROR(__xludf.DUMMYFUNCTION("IF(A699="""","""",
  INDEX(FILTER('RE Portfolio'!C$2:C2000,'RE Portfolio'!D$2:D2000=""BUY""), INT((ROW()-2)/amortYears)+1)
  * (1 + VALUE(Assumptions!$B$11))^(D699-1)
)
"),1308535.2183630064)</f>
        <v>1308535.218</v>
      </c>
    </row>
    <row r="700">
      <c r="A700" s="15">
        <f>IFERROR(__xludf.DUMMYFUNCTION("IFERROR(INDEX(FILTER('RE Portfolio'!A$2:A2000,'RE Portfolio'!D$2:D2000=""BUY""), INT((ROW()-2)/amortYears)+1), )
"),19.0)</f>
        <v>19</v>
      </c>
      <c r="B700" s="15">
        <f>IFERROR(__xludf.DUMMYFUNCTION("IFERROR(INDEX(FILTER('RE Portfolio'!B$2:B2000,'RE Portfolio'!D$2:D2000=""BUY""), INT((ROW()-2)/amortYears)+1), )
"),63.0)</f>
        <v>63</v>
      </c>
      <c r="C700" s="15">
        <f>IFERROR(__xludf.DUMMYFUNCTION("IFERROR(INDEX(FILTER('RE Portfolio'!G$2:G2000,'RE Portfolio'!D$2:D2000=""BUY""), INT((ROW()-2)/amortYears)+1), )
"),589404.257207553)</f>
        <v>589404.2572</v>
      </c>
      <c r="D700" s="15">
        <f>MOD(ROW()-2, amortYears)+1</f>
        <v>15</v>
      </c>
      <c r="E700" s="15">
        <f t="shared" si="1"/>
        <v>77</v>
      </c>
      <c r="F700" s="16">
        <f t="shared" si="2"/>
        <v>443993.047</v>
      </c>
      <c r="G700" s="16">
        <f>IF(D700&lt;=mortTerm, -PMT(mortRate/12, mortTerm*12, C700)*12, 0)
</f>
        <v>44705.23007</v>
      </c>
      <c r="H700" s="16">
        <f>IF(D700&lt;=mortTerm, G700 - I700, 0)
</f>
        <v>28378.85052</v>
      </c>
      <c r="I700" s="16">
        <f>IF(D700&lt;=mortTerm, F700 - J700, 0)
</f>
        <v>16326.37955</v>
      </c>
      <c r="J700" s="16">
        <f>IF(D700&lt;=mortTerm,
   F700*(1+mortRate/12)^12 - (-PMT(mortRate/12, mortTerm*12, C700))*(((1+mortRate/12)^12 - 1)/(mortRate/12)),
   0
)
</f>
        <v>427666.6674</v>
      </c>
      <c r="K700" s="13">
        <f>IFERROR(__xludf.DUMMYFUNCTION("IF(A700="""","""",
   IF(F700&gt;0,
      INDEX(FILTER('RE Portfolio'!L$2:L2000,'RE Portfolio'!D$2:D2000=""BUY""), INT((ROW()-2)/amortYears)+1) - G700,
      INDEX(FILTER('RE Portfolio'!L$2:L2000,'RE Portfolio'!D$2:D2000=""BUY""), INT((ROW()-2)/amortYears)+1"&amp;")
   )
)
"),13763.67224800717)</f>
        <v>13763.67225</v>
      </c>
      <c r="L700" s="15">
        <f>IFERROR(__xludf.DUMMYFUNCTION("IF(A700="""","""",
  INDEX(FILTER('RE Portfolio'!C$2:C2000,'RE Portfolio'!D$2:D2000=""BUY""), INT((ROW()-2)/amortYears)+1)
  * (1 + VALUE(Assumptions!$B$11))^(D700-1)
)
"),1360876.6270975266)</f>
        <v>1360876.627</v>
      </c>
    </row>
    <row r="701">
      <c r="A701" s="15">
        <f>IFERROR(__xludf.DUMMYFUNCTION("IFERROR(INDEX(FILTER('RE Portfolio'!A$2:A2000,'RE Portfolio'!D$2:D2000=""BUY""), INT((ROW()-2)/amortYears)+1), )
"),19.0)</f>
        <v>19</v>
      </c>
      <c r="B701" s="15">
        <f>IFERROR(__xludf.DUMMYFUNCTION("IFERROR(INDEX(FILTER('RE Portfolio'!B$2:B2000,'RE Portfolio'!D$2:D2000=""BUY""), INT((ROW()-2)/amortYears)+1), )
"),63.0)</f>
        <v>63</v>
      </c>
      <c r="C701" s="15">
        <f>IFERROR(__xludf.DUMMYFUNCTION("IFERROR(INDEX(FILTER('RE Portfolio'!G$2:G2000,'RE Portfolio'!D$2:D2000=""BUY""), INT((ROW()-2)/amortYears)+1), )
"),589404.257207553)</f>
        <v>589404.2572</v>
      </c>
      <c r="D701" s="15">
        <f>MOD(ROW()-2, amortYears)+1</f>
        <v>16</v>
      </c>
      <c r="E701" s="15">
        <f t="shared" si="1"/>
        <v>78</v>
      </c>
      <c r="F701" s="16">
        <f t="shared" si="2"/>
        <v>427666.6674</v>
      </c>
      <c r="G701" s="16">
        <f>IF(D701&lt;=mortTerm, -PMT(mortRate/12, mortTerm*12, C701)*12, 0)
</f>
        <v>44705.23007</v>
      </c>
      <c r="H701" s="16">
        <f>IF(D701&lt;=mortTerm, G701 - I701, 0)
</f>
        <v>27285.44264</v>
      </c>
      <c r="I701" s="16">
        <f>IF(D701&lt;=mortTerm, F701 - J701, 0)
</f>
        <v>17419.78742</v>
      </c>
      <c r="J701" s="16">
        <f>IF(D701&lt;=mortTerm,
   F701*(1+mortRate/12)^12 - (-PMT(mortRate/12, mortTerm*12, C701))*(((1+mortRate/12)^12 - 1)/(mortRate/12)),
   0
)
</f>
        <v>410246.88</v>
      </c>
      <c r="K701" s="13">
        <f>IFERROR(__xludf.DUMMYFUNCTION("IF(A701="""","""",
   IF(F701&gt;0,
      INDEX(FILTER('RE Portfolio'!L$2:L2000,'RE Portfolio'!D$2:D2000=""BUY""), INT((ROW()-2)/amortYears)+1) - G701,
      INDEX(FILTER('RE Portfolio'!L$2:L2000,'RE Portfolio'!D$2:D2000=""BUY""), INT((ROW()-2)/amortYears)+1"&amp;")
   )
)
"),13763.67224800717)</f>
        <v>13763.67225</v>
      </c>
      <c r="L701" s="15">
        <f>IFERROR(__xludf.DUMMYFUNCTION("IF(A701="""","""",
  INDEX(FILTER('RE Portfolio'!C$2:C2000,'RE Portfolio'!D$2:D2000=""BUY""), INT((ROW()-2)/amortYears)+1)
  * (1 + VALUE(Assumptions!$B$11))^(D701-1)
)
"),1415311.6921814277)</f>
        <v>1415311.692</v>
      </c>
    </row>
    <row r="702">
      <c r="A702" s="15">
        <f>IFERROR(__xludf.DUMMYFUNCTION("IFERROR(INDEX(FILTER('RE Portfolio'!A$2:A2000,'RE Portfolio'!D$2:D2000=""BUY""), INT((ROW()-2)/amortYears)+1), )
"),19.0)</f>
        <v>19</v>
      </c>
      <c r="B702" s="15">
        <f>IFERROR(__xludf.DUMMYFUNCTION("IFERROR(INDEX(FILTER('RE Portfolio'!B$2:B2000,'RE Portfolio'!D$2:D2000=""BUY""), INT((ROW()-2)/amortYears)+1), )
"),63.0)</f>
        <v>63</v>
      </c>
      <c r="C702" s="15">
        <f>IFERROR(__xludf.DUMMYFUNCTION("IFERROR(INDEX(FILTER('RE Portfolio'!G$2:G2000,'RE Portfolio'!D$2:D2000=""BUY""), INT((ROW()-2)/amortYears)+1), )
"),589404.257207553)</f>
        <v>589404.2572</v>
      </c>
      <c r="D702" s="15">
        <f>MOD(ROW()-2, amortYears)+1</f>
        <v>17</v>
      </c>
      <c r="E702" s="15">
        <f t="shared" si="1"/>
        <v>79</v>
      </c>
      <c r="F702" s="16">
        <f t="shared" si="2"/>
        <v>410246.88</v>
      </c>
      <c r="G702" s="16">
        <f>IF(D702&lt;=mortTerm, -PMT(mortRate/12, mortTerm*12, C702)*12, 0)
</f>
        <v>44705.23007</v>
      </c>
      <c r="H702" s="16">
        <f>IF(D702&lt;=mortTerm, G702 - I702, 0)
</f>
        <v>26118.80722</v>
      </c>
      <c r="I702" s="16">
        <f>IF(D702&lt;=mortTerm, F702 - J702, 0)
</f>
        <v>18586.42285</v>
      </c>
      <c r="J702" s="16">
        <f>IF(D702&lt;=mortTerm,
   F702*(1+mortRate/12)^12 - (-PMT(mortRate/12, mortTerm*12, C702))*(((1+mortRate/12)^12 - 1)/(mortRate/12)),
   0
)
</f>
        <v>391660.4572</v>
      </c>
      <c r="K702" s="13">
        <f>IFERROR(__xludf.DUMMYFUNCTION("IF(A702="""","""",
   IF(F702&gt;0,
      INDEX(FILTER('RE Portfolio'!L$2:L2000,'RE Portfolio'!D$2:D2000=""BUY""), INT((ROW()-2)/amortYears)+1) - G702,
      INDEX(FILTER('RE Portfolio'!L$2:L2000,'RE Portfolio'!D$2:D2000=""BUY""), INT((ROW()-2)/amortYears)+1"&amp;")
   )
)
"),13763.67224800717)</f>
        <v>13763.67225</v>
      </c>
      <c r="L702" s="15">
        <f>IFERROR(__xludf.DUMMYFUNCTION("IF(A702="""","""",
  INDEX(FILTER('RE Portfolio'!C$2:C2000,'RE Portfolio'!D$2:D2000=""BUY""), INT((ROW()-2)/amortYears)+1)
  * (1 + VALUE(Assumptions!$B$11))^(D702-1)
)
"),1471924.1598686848)</f>
        <v>1471924.16</v>
      </c>
    </row>
    <row r="703">
      <c r="A703" s="15">
        <f>IFERROR(__xludf.DUMMYFUNCTION("IFERROR(INDEX(FILTER('RE Portfolio'!A$2:A2000,'RE Portfolio'!D$2:D2000=""BUY""), INT((ROW()-2)/amortYears)+1), )
"),19.0)</f>
        <v>19</v>
      </c>
      <c r="B703" s="15">
        <f>IFERROR(__xludf.DUMMYFUNCTION("IFERROR(INDEX(FILTER('RE Portfolio'!B$2:B2000,'RE Portfolio'!D$2:D2000=""BUY""), INT((ROW()-2)/amortYears)+1), )
"),63.0)</f>
        <v>63</v>
      </c>
      <c r="C703" s="15">
        <f>IFERROR(__xludf.DUMMYFUNCTION("IFERROR(INDEX(FILTER('RE Portfolio'!G$2:G2000,'RE Portfolio'!D$2:D2000=""BUY""), INT((ROW()-2)/amortYears)+1), )
"),589404.257207553)</f>
        <v>589404.2572</v>
      </c>
      <c r="D703" s="15">
        <f>MOD(ROW()-2, amortYears)+1</f>
        <v>18</v>
      </c>
      <c r="E703" s="15">
        <f t="shared" si="1"/>
        <v>80</v>
      </c>
      <c r="F703" s="16">
        <f t="shared" si="2"/>
        <v>391660.4572</v>
      </c>
      <c r="G703" s="16">
        <f>IF(D703&lt;=mortTerm, -PMT(mortRate/12, mortTerm*12, C703)*12, 0)
</f>
        <v>44705.23007</v>
      </c>
      <c r="H703" s="16">
        <f>IF(D703&lt;=mortTerm, G703 - I703, 0)
</f>
        <v>24874.04006</v>
      </c>
      <c r="I703" s="16">
        <f>IF(D703&lt;=mortTerm, F703 - J703, 0)
</f>
        <v>19831.19001</v>
      </c>
      <c r="J703" s="16">
        <f>IF(D703&lt;=mortTerm,
   F703*(1+mortRate/12)^12 - (-PMT(mortRate/12, mortTerm*12, C703))*(((1+mortRate/12)^12 - 1)/(mortRate/12)),
   0
)
</f>
        <v>371829.2671</v>
      </c>
      <c r="K703" s="13">
        <f>IFERROR(__xludf.DUMMYFUNCTION("IF(A703="""","""",
   IF(F703&gt;0,
      INDEX(FILTER('RE Portfolio'!L$2:L2000,'RE Portfolio'!D$2:D2000=""BUY""), INT((ROW()-2)/amortYears)+1) - G703,
      INDEX(FILTER('RE Portfolio'!L$2:L2000,'RE Portfolio'!D$2:D2000=""BUY""), INT((ROW()-2)/amortYears)+1"&amp;")
   )
)
"),13763.67224800717)</f>
        <v>13763.67225</v>
      </c>
      <c r="L703" s="15">
        <f>IFERROR(__xludf.DUMMYFUNCTION("IF(A703="""","""",
  INDEX(FILTER('RE Portfolio'!C$2:C2000,'RE Portfolio'!D$2:D2000=""BUY""), INT((ROW()-2)/amortYears)+1)
  * (1 + VALUE(Assumptions!$B$11))^(D703-1)
)
"),1530801.1262634322)</f>
        <v>1530801.126</v>
      </c>
    </row>
    <row r="704">
      <c r="A704" s="15">
        <f>IFERROR(__xludf.DUMMYFUNCTION("IFERROR(INDEX(FILTER('RE Portfolio'!A$2:A2000,'RE Portfolio'!D$2:D2000=""BUY""), INT((ROW()-2)/amortYears)+1), )
"),19.0)</f>
        <v>19</v>
      </c>
      <c r="B704" s="15">
        <f>IFERROR(__xludf.DUMMYFUNCTION("IFERROR(INDEX(FILTER('RE Portfolio'!B$2:B2000,'RE Portfolio'!D$2:D2000=""BUY""), INT((ROW()-2)/amortYears)+1), )
"),63.0)</f>
        <v>63</v>
      </c>
      <c r="C704" s="15">
        <f>IFERROR(__xludf.DUMMYFUNCTION("IFERROR(INDEX(FILTER('RE Portfolio'!G$2:G2000,'RE Portfolio'!D$2:D2000=""BUY""), INT((ROW()-2)/amortYears)+1), )
"),589404.257207553)</f>
        <v>589404.2572</v>
      </c>
      <c r="D704" s="15">
        <f>MOD(ROW()-2, amortYears)+1</f>
        <v>19</v>
      </c>
      <c r="E704" s="15">
        <f t="shared" si="1"/>
        <v>81</v>
      </c>
      <c r="F704" s="16">
        <f t="shared" si="2"/>
        <v>371829.2671</v>
      </c>
      <c r="G704" s="16">
        <f>IF(D704&lt;=mortTerm, -PMT(mortRate/12, mortTerm*12, C704)*12, 0)
</f>
        <v>44705.23007</v>
      </c>
      <c r="H704" s="16">
        <f>IF(D704&lt;=mortTerm, G704 - I704, 0)
</f>
        <v>23545.90854</v>
      </c>
      <c r="I704" s="16">
        <f>IF(D704&lt;=mortTerm, F704 - J704, 0)
</f>
        <v>21159.32153</v>
      </c>
      <c r="J704" s="16">
        <f>IF(D704&lt;=mortTerm,
   F704*(1+mortRate/12)^12 - (-PMT(mortRate/12, mortTerm*12, C704))*(((1+mortRate/12)^12 - 1)/(mortRate/12)),
   0
)
</f>
        <v>350669.9456</v>
      </c>
      <c r="K704" s="13">
        <f>IFERROR(__xludf.DUMMYFUNCTION("IF(A704="""","""",
   IF(F704&gt;0,
      INDEX(FILTER('RE Portfolio'!L$2:L2000,'RE Portfolio'!D$2:D2000=""BUY""), INT((ROW()-2)/amortYears)+1) - G704,
      INDEX(FILTER('RE Portfolio'!L$2:L2000,'RE Portfolio'!D$2:D2000=""BUY""), INT((ROW()-2)/amortYears)+1"&amp;")
   )
)
"),13763.67224800717)</f>
        <v>13763.67225</v>
      </c>
      <c r="L704" s="15">
        <f>IFERROR(__xludf.DUMMYFUNCTION("IF(A704="""","""",
  INDEX(FILTER('RE Portfolio'!C$2:C2000,'RE Portfolio'!D$2:D2000=""BUY""), INT((ROW()-2)/amortYears)+1)
  * (1 + VALUE(Assumptions!$B$11))^(D704-1)
)
"),1592033.17131397)</f>
        <v>1592033.171</v>
      </c>
    </row>
    <row r="705">
      <c r="A705" s="15">
        <f>IFERROR(__xludf.DUMMYFUNCTION("IFERROR(INDEX(FILTER('RE Portfolio'!A$2:A2000,'RE Portfolio'!D$2:D2000=""BUY""), INT((ROW()-2)/amortYears)+1), )
"),19.0)</f>
        <v>19</v>
      </c>
      <c r="B705" s="15">
        <f>IFERROR(__xludf.DUMMYFUNCTION("IFERROR(INDEX(FILTER('RE Portfolio'!B$2:B2000,'RE Portfolio'!D$2:D2000=""BUY""), INT((ROW()-2)/amortYears)+1), )
"),63.0)</f>
        <v>63</v>
      </c>
      <c r="C705" s="15">
        <f>IFERROR(__xludf.DUMMYFUNCTION("IFERROR(INDEX(FILTER('RE Portfolio'!G$2:G2000,'RE Portfolio'!D$2:D2000=""BUY""), INT((ROW()-2)/amortYears)+1), )
"),589404.257207553)</f>
        <v>589404.2572</v>
      </c>
      <c r="D705" s="15">
        <f>MOD(ROW()-2, amortYears)+1</f>
        <v>20</v>
      </c>
      <c r="E705" s="15">
        <f t="shared" si="1"/>
        <v>82</v>
      </c>
      <c r="F705" s="16">
        <f t="shared" si="2"/>
        <v>350669.9456</v>
      </c>
      <c r="G705" s="16">
        <f>IF(D705&lt;=mortTerm, -PMT(mortRate/12, mortTerm*12, C705)*12, 0)
</f>
        <v>44705.23007</v>
      </c>
      <c r="H705" s="16">
        <f>IF(D705&lt;=mortTerm, G705 - I705, 0)
</f>
        <v>22128.82959</v>
      </c>
      <c r="I705" s="16">
        <f>IF(D705&lt;=mortTerm, F705 - J705, 0)
</f>
        <v>22576.40048</v>
      </c>
      <c r="J705" s="16">
        <f>IF(D705&lt;=mortTerm,
   F705*(1+mortRate/12)^12 - (-PMT(mortRate/12, mortTerm*12, C705))*(((1+mortRate/12)^12 - 1)/(mortRate/12)),
   0
)
</f>
        <v>328093.5451</v>
      </c>
      <c r="K705" s="13">
        <f>IFERROR(__xludf.DUMMYFUNCTION("IF(A705="""","""",
   IF(F705&gt;0,
      INDEX(FILTER('RE Portfolio'!L$2:L2000,'RE Portfolio'!D$2:D2000=""BUY""), INT((ROW()-2)/amortYears)+1) - G705,
      INDEX(FILTER('RE Portfolio'!L$2:L2000,'RE Portfolio'!D$2:D2000=""BUY""), INT((ROW()-2)/amortYears)+1"&amp;")
   )
)
"),13763.67224800717)</f>
        <v>13763.67225</v>
      </c>
      <c r="L705" s="15">
        <f>IFERROR(__xludf.DUMMYFUNCTION("IF(A705="""","""",
  INDEX(FILTER('RE Portfolio'!C$2:C2000,'RE Portfolio'!D$2:D2000=""BUY""), INT((ROW()-2)/amortYears)+1)
  * (1 + VALUE(Assumptions!$B$11))^(D705-1)
)
"),1655714.4981665285)</f>
        <v>1655714.498</v>
      </c>
    </row>
    <row r="706">
      <c r="A706" s="15">
        <f>IFERROR(__xludf.DUMMYFUNCTION("IFERROR(INDEX(FILTER('RE Portfolio'!A$2:A2000,'RE Portfolio'!D$2:D2000=""BUY""), INT((ROW()-2)/amortYears)+1), )
"),19.0)</f>
        <v>19</v>
      </c>
      <c r="B706" s="15">
        <f>IFERROR(__xludf.DUMMYFUNCTION("IFERROR(INDEX(FILTER('RE Portfolio'!B$2:B2000,'RE Portfolio'!D$2:D2000=""BUY""), INT((ROW()-2)/amortYears)+1), )
"),63.0)</f>
        <v>63</v>
      </c>
      <c r="C706" s="15">
        <f>IFERROR(__xludf.DUMMYFUNCTION("IFERROR(INDEX(FILTER('RE Portfolio'!G$2:G2000,'RE Portfolio'!D$2:D2000=""BUY""), INT((ROW()-2)/amortYears)+1), )
"),589404.257207553)</f>
        <v>589404.2572</v>
      </c>
      <c r="D706" s="15">
        <f>MOD(ROW()-2, amortYears)+1</f>
        <v>21</v>
      </c>
      <c r="E706" s="15">
        <f t="shared" si="1"/>
        <v>83</v>
      </c>
      <c r="F706" s="16">
        <f t="shared" si="2"/>
        <v>328093.5451</v>
      </c>
      <c r="G706" s="16">
        <f>IF(D706&lt;=mortTerm, -PMT(mortRate/12, mortTerm*12, C706)*12, 0)
</f>
        <v>44705.23007</v>
      </c>
      <c r="H706" s="16">
        <f>IF(D706&lt;=mortTerm, G706 - I706, 0)
</f>
        <v>20616.84623</v>
      </c>
      <c r="I706" s="16">
        <f>IF(D706&lt;=mortTerm, F706 - J706, 0)
</f>
        <v>24088.38383</v>
      </c>
      <c r="J706" s="16">
        <f>IF(D706&lt;=mortTerm,
   F706*(1+mortRate/12)^12 - (-PMT(mortRate/12, mortTerm*12, C706))*(((1+mortRate/12)^12 - 1)/(mortRate/12)),
   0
)
</f>
        <v>304005.1613</v>
      </c>
      <c r="K706" s="13">
        <f>IFERROR(__xludf.DUMMYFUNCTION("IF(A706="""","""",
   IF(F706&gt;0,
      INDEX(FILTER('RE Portfolio'!L$2:L2000,'RE Portfolio'!D$2:D2000=""BUY""), INT((ROW()-2)/amortYears)+1) - G706,
      INDEX(FILTER('RE Portfolio'!L$2:L2000,'RE Portfolio'!D$2:D2000=""BUY""), INT((ROW()-2)/amortYears)+1"&amp;")
   )
)
"),13763.67224800717)</f>
        <v>13763.67225</v>
      </c>
      <c r="L706" s="15">
        <f>IFERROR(__xludf.DUMMYFUNCTION("IF(A706="""","""",
  INDEX(FILTER('RE Portfolio'!C$2:C2000,'RE Portfolio'!D$2:D2000=""BUY""), INT((ROW()-2)/amortYears)+1)
  * (1 + VALUE(Assumptions!$B$11))^(D706-1)
)
"),1721943.0780931897)</f>
        <v>1721943.078</v>
      </c>
    </row>
    <row r="707">
      <c r="A707" s="15">
        <f>IFERROR(__xludf.DUMMYFUNCTION("IFERROR(INDEX(FILTER('RE Portfolio'!A$2:A2000,'RE Portfolio'!D$2:D2000=""BUY""), INT((ROW()-2)/amortYears)+1), )
"),19.0)</f>
        <v>19</v>
      </c>
      <c r="B707" s="15">
        <f>IFERROR(__xludf.DUMMYFUNCTION("IFERROR(INDEX(FILTER('RE Portfolio'!B$2:B2000,'RE Portfolio'!D$2:D2000=""BUY""), INT((ROW()-2)/amortYears)+1), )
"),63.0)</f>
        <v>63</v>
      </c>
      <c r="C707" s="15">
        <f>IFERROR(__xludf.DUMMYFUNCTION("IFERROR(INDEX(FILTER('RE Portfolio'!G$2:G2000,'RE Portfolio'!D$2:D2000=""BUY""), INT((ROW()-2)/amortYears)+1), )
"),589404.257207553)</f>
        <v>589404.2572</v>
      </c>
      <c r="D707" s="15">
        <f>MOD(ROW()-2, amortYears)+1</f>
        <v>22</v>
      </c>
      <c r="E707" s="15">
        <f t="shared" si="1"/>
        <v>84</v>
      </c>
      <c r="F707" s="16">
        <f t="shared" si="2"/>
        <v>304005.1613</v>
      </c>
      <c r="G707" s="16">
        <f>IF(D707&lt;=mortTerm, -PMT(mortRate/12, mortTerm*12, C707)*12, 0)
</f>
        <v>44705.23007</v>
      </c>
      <c r="H707" s="16">
        <f>IF(D707&lt;=mortTerm, G707 - I707, 0)
</f>
        <v>19003.60256</v>
      </c>
      <c r="I707" s="16">
        <f>IF(D707&lt;=mortTerm, F707 - J707, 0)
</f>
        <v>25701.62751</v>
      </c>
      <c r="J707" s="16">
        <f>IF(D707&lt;=mortTerm,
   F707*(1+mortRate/12)^12 - (-PMT(mortRate/12, mortTerm*12, C707))*(((1+mortRate/12)^12 - 1)/(mortRate/12)),
   0
)
</f>
        <v>278303.5338</v>
      </c>
      <c r="K707" s="13">
        <f>IFERROR(__xludf.DUMMYFUNCTION("IF(A707="""","""",
   IF(F707&gt;0,
      INDEX(FILTER('RE Portfolio'!L$2:L2000,'RE Portfolio'!D$2:D2000=""BUY""), INT((ROW()-2)/amortYears)+1) - G707,
      INDEX(FILTER('RE Portfolio'!L$2:L2000,'RE Portfolio'!D$2:D2000=""BUY""), INT((ROW()-2)/amortYears)+1"&amp;")
   )
)
"),13763.67224800717)</f>
        <v>13763.67225</v>
      </c>
      <c r="L707" s="15">
        <f>IFERROR(__xludf.DUMMYFUNCTION("IF(A707="""","""",
  INDEX(FILTER('RE Portfolio'!C$2:C2000,'RE Portfolio'!D$2:D2000=""BUY""), INT((ROW()-2)/amortYears)+1)
  * (1 + VALUE(Assumptions!$B$11))^(D707-1)
)
"),1790820.8012169173)</f>
        <v>1790820.801</v>
      </c>
    </row>
    <row r="708">
      <c r="A708" s="15">
        <f>IFERROR(__xludf.DUMMYFUNCTION("IFERROR(INDEX(FILTER('RE Portfolio'!A$2:A2000,'RE Portfolio'!D$2:D2000=""BUY""), INT((ROW()-2)/amortYears)+1), )
"),19.0)</f>
        <v>19</v>
      </c>
      <c r="B708" s="15">
        <f>IFERROR(__xludf.DUMMYFUNCTION("IFERROR(INDEX(FILTER('RE Portfolio'!B$2:B2000,'RE Portfolio'!D$2:D2000=""BUY""), INT((ROW()-2)/amortYears)+1), )
"),63.0)</f>
        <v>63</v>
      </c>
      <c r="C708" s="15">
        <f>IFERROR(__xludf.DUMMYFUNCTION("IFERROR(INDEX(FILTER('RE Portfolio'!G$2:G2000,'RE Portfolio'!D$2:D2000=""BUY""), INT((ROW()-2)/amortYears)+1), )
"),589404.257207553)</f>
        <v>589404.2572</v>
      </c>
      <c r="D708" s="15">
        <f>MOD(ROW()-2, amortYears)+1</f>
        <v>23</v>
      </c>
      <c r="E708" s="15">
        <f t="shared" si="1"/>
        <v>85</v>
      </c>
      <c r="F708" s="16">
        <f t="shared" si="2"/>
        <v>278303.5338</v>
      </c>
      <c r="G708" s="16">
        <f>IF(D708&lt;=mortTerm, -PMT(mortRate/12, mortTerm*12, C708)*12, 0)
</f>
        <v>44705.23007</v>
      </c>
      <c r="H708" s="16">
        <f>IF(D708&lt;=mortTerm, G708 - I708, 0)
</f>
        <v>17282.31696</v>
      </c>
      <c r="I708" s="16">
        <f>IF(D708&lt;=mortTerm, F708 - J708, 0)
</f>
        <v>27422.9131</v>
      </c>
      <c r="J708" s="16">
        <f>IF(D708&lt;=mortTerm,
   F708*(1+mortRate/12)^12 - (-PMT(mortRate/12, mortTerm*12, C708))*(((1+mortRate/12)^12 - 1)/(mortRate/12)),
   0
)
</f>
        <v>250880.6207</v>
      </c>
      <c r="K708" s="13">
        <f>IFERROR(__xludf.DUMMYFUNCTION("IF(A708="""","""",
   IF(F708&gt;0,
      INDEX(FILTER('RE Portfolio'!L$2:L2000,'RE Portfolio'!D$2:D2000=""BUY""), INT((ROW()-2)/amortYears)+1) - G708,
      INDEX(FILTER('RE Portfolio'!L$2:L2000,'RE Portfolio'!D$2:D2000=""BUY""), INT((ROW()-2)/amortYears)+1"&amp;")
   )
)
"),13763.67224800717)</f>
        <v>13763.67225</v>
      </c>
      <c r="L708" s="15">
        <f>IFERROR(__xludf.DUMMYFUNCTION("IF(A708="""","""",
  INDEX(FILTER('RE Portfolio'!C$2:C2000,'RE Portfolio'!D$2:D2000=""BUY""), INT((ROW()-2)/amortYears)+1)
  * (1 + VALUE(Assumptions!$B$11))^(D708-1)
)
"),1862453.633265594)</f>
        <v>1862453.633</v>
      </c>
    </row>
    <row r="709">
      <c r="A709" s="15">
        <f>IFERROR(__xludf.DUMMYFUNCTION("IFERROR(INDEX(FILTER('RE Portfolio'!A$2:A2000,'RE Portfolio'!D$2:D2000=""BUY""), INT((ROW()-2)/amortYears)+1), )
"),19.0)</f>
        <v>19</v>
      </c>
      <c r="B709" s="15">
        <f>IFERROR(__xludf.DUMMYFUNCTION("IFERROR(INDEX(FILTER('RE Portfolio'!B$2:B2000,'RE Portfolio'!D$2:D2000=""BUY""), INT((ROW()-2)/amortYears)+1), )
"),63.0)</f>
        <v>63</v>
      </c>
      <c r="C709" s="15">
        <f>IFERROR(__xludf.DUMMYFUNCTION("IFERROR(INDEX(FILTER('RE Portfolio'!G$2:G2000,'RE Portfolio'!D$2:D2000=""BUY""), INT((ROW()-2)/amortYears)+1), )
"),589404.257207553)</f>
        <v>589404.2572</v>
      </c>
      <c r="D709" s="15">
        <f>MOD(ROW()-2, amortYears)+1</f>
        <v>24</v>
      </c>
      <c r="E709" s="15">
        <f t="shared" si="1"/>
        <v>86</v>
      </c>
      <c r="F709" s="16">
        <f t="shared" si="2"/>
        <v>250880.6207</v>
      </c>
      <c r="G709" s="16">
        <f>IF(D709&lt;=mortTerm, -PMT(mortRate/12, mortTerm*12, C709)*12, 0)
</f>
        <v>44705.23007</v>
      </c>
      <c r="H709" s="16">
        <f>IF(D709&lt;=mortTerm, G709 - I709, 0)
</f>
        <v>15445.75368</v>
      </c>
      <c r="I709" s="16">
        <f>IF(D709&lt;=mortTerm, F709 - J709, 0)
</f>
        <v>29259.47638</v>
      </c>
      <c r="J709" s="16">
        <f>IF(D709&lt;=mortTerm,
   F709*(1+mortRate/12)^12 - (-PMT(mortRate/12, mortTerm*12, C709))*(((1+mortRate/12)^12 - 1)/(mortRate/12)),
   0
)
</f>
        <v>221621.1443</v>
      </c>
      <c r="K709" s="13">
        <f>IFERROR(__xludf.DUMMYFUNCTION("IF(A709="""","""",
   IF(F709&gt;0,
      INDEX(FILTER('RE Portfolio'!L$2:L2000,'RE Portfolio'!D$2:D2000=""BUY""), INT((ROW()-2)/amortYears)+1) - G709,
      INDEX(FILTER('RE Portfolio'!L$2:L2000,'RE Portfolio'!D$2:D2000=""BUY""), INT((ROW()-2)/amortYears)+1"&amp;")
   )
)
"),13763.67224800717)</f>
        <v>13763.67225</v>
      </c>
      <c r="L709" s="15">
        <f>IFERROR(__xludf.DUMMYFUNCTION("IF(A709="""","""",
  INDEX(FILTER('RE Portfolio'!C$2:C2000,'RE Portfolio'!D$2:D2000=""BUY""), INT((ROW()-2)/amortYears)+1)
  * (1 + VALUE(Assumptions!$B$11))^(D709-1)
)
"),1936951.778596218)</f>
        <v>1936951.779</v>
      </c>
    </row>
    <row r="710">
      <c r="A710" s="15">
        <f>IFERROR(__xludf.DUMMYFUNCTION("IFERROR(INDEX(FILTER('RE Portfolio'!A$2:A2000,'RE Portfolio'!D$2:D2000=""BUY""), INT((ROW()-2)/amortYears)+1), )
"),19.0)</f>
        <v>19</v>
      </c>
      <c r="B710" s="15">
        <f>IFERROR(__xludf.DUMMYFUNCTION("IFERROR(INDEX(FILTER('RE Portfolio'!B$2:B2000,'RE Portfolio'!D$2:D2000=""BUY""), INT((ROW()-2)/amortYears)+1), )
"),63.0)</f>
        <v>63</v>
      </c>
      <c r="C710" s="15">
        <f>IFERROR(__xludf.DUMMYFUNCTION("IFERROR(INDEX(FILTER('RE Portfolio'!G$2:G2000,'RE Portfolio'!D$2:D2000=""BUY""), INT((ROW()-2)/amortYears)+1), )
"),589404.257207553)</f>
        <v>589404.2572</v>
      </c>
      <c r="D710" s="15">
        <f>MOD(ROW()-2, amortYears)+1</f>
        <v>25</v>
      </c>
      <c r="E710" s="15">
        <f t="shared" si="1"/>
        <v>87</v>
      </c>
      <c r="F710" s="16">
        <f t="shared" si="2"/>
        <v>221621.1443</v>
      </c>
      <c r="G710" s="16">
        <f>IF(D710&lt;=mortTerm, -PMT(mortRate/12, mortTerm*12, C710)*12, 0)
</f>
        <v>44705.23007</v>
      </c>
      <c r="H710" s="16">
        <f>IF(D710&lt;=mortTerm, G710 - I710, 0)
</f>
        <v>13486.19236</v>
      </c>
      <c r="I710" s="16">
        <f>IF(D710&lt;=mortTerm, F710 - J710, 0)
</f>
        <v>31219.0377</v>
      </c>
      <c r="J710" s="16">
        <f>IF(D710&lt;=mortTerm,
   F710*(1+mortRate/12)^12 - (-PMT(mortRate/12, mortTerm*12, C710))*(((1+mortRate/12)^12 - 1)/(mortRate/12)),
   0
)
</f>
        <v>190402.1066</v>
      </c>
      <c r="K710" s="13">
        <f>IFERROR(__xludf.DUMMYFUNCTION("IF(A710="""","""",
   IF(F710&gt;0,
      INDEX(FILTER('RE Portfolio'!L$2:L2000,'RE Portfolio'!D$2:D2000=""BUY""), INT((ROW()-2)/amortYears)+1) - G710,
      INDEX(FILTER('RE Portfolio'!L$2:L2000,'RE Portfolio'!D$2:D2000=""BUY""), INT((ROW()-2)/amortYears)+1"&amp;")
   )
)
"),13763.67224800717)</f>
        <v>13763.67225</v>
      </c>
      <c r="L710" s="15">
        <f>IFERROR(__xludf.DUMMYFUNCTION("IF(A710="""","""",
  INDEX(FILTER('RE Portfolio'!C$2:C2000,'RE Portfolio'!D$2:D2000=""BUY""), INT((ROW()-2)/amortYears)+1)
  * (1 + VALUE(Assumptions!$B$11))^(D710-1)
)
"),2014429.8497400668)</f>
        <v>2014429.85</v>
      </c>
    </row>
    <row r="711">
      <c r="A711" s="15">
        <f>IFERROR(__xludf.DUMMYFUNCTION("IFERROR(INDEX(FILTER('RE Portfolio'!A$2:A2000,'RE Portfolio'!D$2:D2000=""BUY""), INT((ROW()-2)/amortYears)+1), )
"),19.0)</f>
        <v>19</v>
      </c>
      <c r="B711" s="15">
        <f>IFERROR(__xludf.DUMMYFUNCTION("IFERROR(INDEX(FILTER('RE Portfolio'!B$2:B2000,'RE Portfolio'!D$2:D2000=""BUY""), INT((ROW()-2)/amortYears)+1), )
"),63.0)</f>
        <v>63</v>
      </c>
      <c r="C711" s="15">
        <f>IFERROR(__xludf.DUMMYFUNCTION("IFERROR(INDEX(FILTER('RE Portfolio'!G$2:G2000,'RE Portfolio'!D$2:D2000=""BUY""), INT((ROW()-2)/amortYears)+1), )
"),589404.257207553)</f>
        <v>589404.2572</v>
      </c>
      <c r="D711" s="15">
        <f>MOD(ROW()-2, amortYears)+1</f>
        <v>26</v>
      </c>
      <c r="E711" s="15">
        <f t="shared" si="1"/>
        <v>88</v>
      </c>
      <c r="F711" s="16">
        <f t="shared" si="2"/>
        <v>190402.1066</v>
      </c>
      <c r="G711" s="16">
        <f>IF(D711&lt;=mortTerm, -PMT(mortRate/12, mortTerm*12, C711)*12, 0)
</f>
        <v>44705.23007</v>
      </c>
      <c r="H711" s="16">
        <f>IF(D711&lt;=mortTerm, G711 - I711, 0)
</f>
        <v>11395.39559</v>
      </c>
      <c r="I711" s="16">
        <f>IF(D711&lt;=mortTerm, F711 - J711, 0)
</f>
        <v>33309.83448</v>
      </c>
      <c r="J711" s="16">
        <f>IF(D711&lt;=mortTerm,
   F711*(1+mortRate/12)^12 - (-PMT(mortRate/12, mortTerm*12, C711))*(((1+mortRate/12)^12 - 1)/(mortRate/12)),
   0
)
</f>
        <v>157092.2721</v>
      </c>
      <c r="K711" s="13">
        <f>IFERROR(__xludf.DUMMYFUNCTION("IF(A711="""","""",
   IF(F711&gt;0,
      INDEX(FILTER('RE Portfolio'!L$2:L2000,'RE Portfolio'!D$2:D2000=""BUY""), INT((ROW()-2)/amortYears)+1) - G711,
      INDEX(FILTER('RE Portfolio'!L$2:L2000,'RE Portfolio'!D$2:D2000=""BUY""), INT((ROW()-2)/amortYears)+1"&amp;")
   )
)
"),13763.67224800717)</f>
        <v>13763.67225</v>
      </c>
      <c r="L711" s="15">
        <f>IFERROR(__xludf.DUMMYFUNCTION("IF(A711="""","""",
  INDEX(FILTER('RE Portfolio'!C$2:C2000,'RE Portfolio'!D$2:D2000=""BUY""), INT((ROW()-2)/amortYears)+1)
  * (1 + VALUE(Assumptions!$B$11))^(D711-1)
)
"),2095007.0437296694)</f>
        <v>2095007.044</v>
      </c>
    </row>
    <row r="712">
      <c r="A712" s="15">
        <f>IFERROR(__xludf.DUMMYFUNCTION("IFERROR(INDEX(FILTER('RE Portfolio'!A$2:A2000,'RE Portfolio'!D$2:D2000=""BUY""), INT((ROW()-2)/amortYears)+1), )
"),19.0)</f>
        <v>19</v>
      </c>
      <c r="B712" s="15">
        <f>IFERROR(__xludf.DUMMYFUNCTION("IFERROR(INDEX(FILTER('RE Portfolio'!B$2:B2000,'RE Portfolio'!D$2:D2000=""BUY""), INT((ROW()-2)/amortYears)+1), )
"),63.0)</f>
        <v>63</v>
      </c>
      <c r="C712" s="15">
        <f>IFERROR(__xludf.DUMMYFUNCTION("IFERROR(INDEX(FILTER('RE Portfolio'!G$2:G2000,'RE Portfolio'!D$2:D2000=""BUY""), INT((ROW()-2)/amortYears)+1), )
"),589404.257207553)</f>
        <v>589404.2572</v>
      </c>
      <c r="D712" s="15">
        <f>MOD(ROW()-2, amortYears)+1</f>
        <v>27</v>
      </c>
      <c r="E712" s="15">
        <f t="shared" si="1"/>
        <v>89</v>
      </c>
      <c r="F712" s="16">
        <f t="shared" si="2"/>
        <v>157092.2721</v>
      </c>
      <c r="G712" s="16">
        <f>IF(D712&lt;=mortTerm, -PMT(mortRate/12, mortTerm*12, C712)*12, 0)
</f>
        <v>44705.23007</v>
      </c>
      <c r="H712" s="16">
        <f>IF(D712&lt;=mortTerm, G712 - I712, 0)
</f>
        <v>9164.574285</v>
      </c>
      <c r="I712" s="16">
        <f>IF(D712&lt;=mortTerm, F712 - J712, 0)
</f>
        <v>35540.65578</v>
      </c>
      <c r="J712" s="16">
        <f>IF(D712&lt;=mortTerm,
   F712*(1+mortRate/12)^12 - (-PMT(mortRate/12, mortTerm*12, C712))*(((1+mortRate/12)^12 - 1)/(mortRate/12)),
   0
)
</f>
        <v>121551.6163</v>
      </c>
      <c r="K712" s="13">
        <f>IFERROR(__xludf.DUMMYFUNCTION("IF(A712="""","""",
   IF(F712&gt;0,
      INDEX(FILTER('RE Portfolio'!L$2:L2000,'RE Portfolio'!D$2:D2000=""BUY""), INT((ROW()-2)/amortYears)+1) - G712,
      INDEX(FILTER('RE Portfolio'!L$2:L2000,'RE Portfolio'!D$2:D2000=""BUY""), INT((ROW()-2)/amortYears)+1"&amp;")
   )
)
"),13763.67224800717)</f>
        <v>13763.67225</v>
      </c>
      <c r="L712" s="15">
        <f>IFERROR(__xludf.DUMMYFUNCTION("IF(A712="""","""",
  INDEX(FILTER('RE Portfolio'!C$2:C2000,'RE Portfolio'!D$2:D2000=""BUY""), INT((ROW()-2)/amortYears)+1)
  * (1 + VALUE(Assumptions!$B$11))^(D712-1)
)
"),2178807.325478856)</f>
        <v>2178807.325</v>
      </c>
    </row>
    <row r="713">
      <c r="A713" s="15">
        <f>IFERROR(__xludf.DUMMYFUNCTION("IFERROR(INDEX(FILTER('RE Portfolio'!A$2:A2000,'RE Portfolio'!D$2:D2000=""BUY""), INT((ROW()-2)/amortYears)+1), )
"),19.0)</f>
        <v>19</v>
      </c>
      <c r="B713" s="15">
        <f>IFERROR(__xludf.DUMMYFUNCTION("IFERROR(INDEX(FILTER('RE Portfolio'!B$2:B2000,'RE Portfolio'!D$2:D2000=""BUY""), INT((ROW()-2)/amortYears)+1), )
"),63.0)</f>
        <v>63</v>
      </c>
      <c r="C713" s="15">
        <f>IFERROR(__xludf.DUMMYFUNCTION("IFERROR(INDEX(FILTER('RE Portfolio'!G$2:G2000,'RE Portfolio'!D$2:D2000=""BUY""), INT((ROW()-2)/amortYears)+1), )
"),589404.257207553)</f>
        <v>589404.2572</v>
      </c>
      <c r="D713" s="15">
        <f>MOD(ROW()-2, amortYears)+1</f>
        <v>28</v>
      </c>
      <c r="E713" s="15">
        <f t="shared" si="1"/>
        <v>90</v>
      </c>
      <c r="F713" s="16">
        <f t="shared" si="2"/>
        <v>121551.6163</v>
      </c>
      <c r="G713" s="16">
        <f>IF(D713&lt;=mortTerm, -PMT(mortRate/12, mortTerm*12, C713)*12, 0)
</f>
        <v>44705.23007</v>
      </c>
      <c r="H713" s="16">
        <f>IF(D713&lt;=mortTerm, G713 - I713, 0)
</f>
        <v>6784.350746</v>
      </c>
      <c r="I713" s="16">
        <f>IF(D713&lt;=mortTerm, F713 - J713, 0)
</f>
        <v>37920.87932</v>
      </c>
      <c r="J713" s="16">
        <f>IF(D713&lt;=mortTerm,
   F713*(1+mortRate/12)^12 - (-PMT(mortRate/12, mortTerm*12, C713))*(((1+mortRate/12)^12 - 1)/(mortRate/12)),
   0
)
</f>
        <v>83630.73702</v>
      </c>
      <c r="K713" s="13">
        <f>IFERROR(__xludf.DUMMYFUNCTION("IF(A713="""","""",
   IF(F713&gt;0,
      INDEX(FILTER('RE Portfolio'!L$2:L2000,'RE Portfolio'!D$2:D2000=""BUY""), INT((ROW()-2)/amortYears)+1) - G713,
      INDEX(FILTER('RE Portfolio'!L$2:L2000,'RE Portfolio'!D$2:D2000=""BUY""), INT((ROW()-2)/amortYears)+1"&amp;")
   )
)
"),13763.67224800717)</f>
        <v>13763.67225</v>
      </c>
      <c r="L713" s="15">
        <f>IFERROR(__xludf.DUMMYFUNCTION("IF(A713="""","""",
  INDEX(FILTER('RE Portfolio'!C$2:C2000,'RE Portfolio'!D$2:D2000=""BUY""), INT((ROW()-2)/amortYears)+1)
  * (1 + VALUE(Assumptions!$B$11))^(D713-1)
)
"),2265959.6184980106)</f>
        <v>2265959.618</v>
      </c>
    </row>
    <row r="714">
      <c r="A714" s="15">
        <f>IFERROR(__xludf.DUMMYFUNCTION("IFERROR(INDEX(FILTER('RE Portfolio'!A$2:A2000,'RE Portfolio'!D$2:D2000=""BUY""), INT((ROW()-2)/amortYears)+1), )
"),19.0)</f>
        <v>19</v>
      </c>
      <c r="B714" s="15">
        <f>IFERROR(__xludf.DUMMYFUNCTION("IFERROR(INDEX(FILTER('RE Portfolio'!B$2:B2000,'RE Portfolio'!D$2:D2000=""BUY""), INT((ROW()-2)/amortYears)+1), )
"),63.0)</f>
        <v>63</v>
      </c>
      <c r="C714" s="15">
        <f>IFERROR(__xludf.DUMMYFUNCTION("IFERROR(INDEX(FILTER('RE Portfolio'!G$2:G2000,'RE Portfolio'!D$2:D2000=""BUY""), INT((ROW()-2)/amortYears)+1), )
"),589404.257207553)</f>
        <v>589404.2572</v>
      </c>
      <c r="D714" s="15">
        <f>MOD(ROW()-2, amortYears)+1</f>
        <v>29</v>
      </c>
      <c r="E714" s="15">
        <f t="shared" si="1"/>
        <v>91</v>
      </c>
      <c r="F714" s="16">
        <f t="shared" si="2"/>
        <v>83630.73702</v>
      </c>
      <c r="G714" s="16">
        <f>IF(D714&lt;=mortTerm, -PMT(mortRate/12, mortTerm*12, C714)*12, 0)
</f>
        <v>44705.23007</v>
      </c>
      <c r="H714" s="16">
        <f>IF(D714&lt;=mortTerm, G714 - I714, 0)
</f>
        <v>4244.719228</v>
      </c>
      <c r="I714" s="16">
        <f>IF(D714&lt;=mortTerm, F714 - J714, 0)
</f>
        <v>40460.51084</v>
      </c>
      <c r="J714" s="16">
        <f>IF(D714&lt;=mortTerm,
   F714*(1+mortRate/12)^12 - (-PMT(mortRate/12, mortTerm*12, C714))*(((1+mortRate/12)^12 - 1)/(mortRate/12)),
   0
)
</f>
        <v>43170.22618</v>
      </c>
      <c r="K714" s="13">
        <f>IFERROR(__xludf.DUMMYFUNCTION("IF(A714="""","""",
   IF(F714&gt;0,
      INDEX(FILTER('RE Portfolio'!L$2:L2000,'RE Portfolio'!D$2:D2000=""BUY""), INT((ROW()-2)/amortYears)+1) - G714,
      INDEX(FILTER('RE Portfolio'!L$2:L2000,'RE Portfolio'!D$2:D2000=""BUY""), INT((ROW()-2)/amortYears)+1"&amp;")
   )
)
"),13763.67224800717)</f>
        <v>13763.67225</v>
      </c>
      <c r="L714" s="15">
        <f>IFERROR(__xludf.DUMMYFUNCTION("IF(A714="""","""",
  INDEX(FILTER('RE Portfolio'!C$2:C2000,'RE Portfolio'!D$2:D2000=""BUY""), INT((ROW()-2)/amortYears)+1)
  * (1 + VALUE(Assumptions!$B$11))^(D714-1)
)
"),2356598.003237931)</f>
        <v>2356598.003</v>
      </c>
    </row>
    <row r="715">
      <c r="A715" s="15">
        <f>IFERROR(__xludf.DUMMYFUNCTION("IFERROR(INDEX(FILTER('RE Portfolio'!A$2:A2000,'RE Portfolio'!D$2:D2000=""BUY""), INT((ROW()-2)/amortYears)+1), )
"),19.0)</f>
        <v>19</v>
      </c>
      <c r="B715" s="15">
        <f>IFERROR(__xludf.DUMMYFUNCTION("IFERROR(INDEX(FILTER('RE Portfolio'!B$2:B2000,'RE Portfolio'!D$2:D2000=""BUY""), INT((ROW()-2)/amortYears)+1), )
"),63.0)</f>
        <v>63</v>
      </c>
      <c r="C715" s="15">
        <f>IFERROR(__xludf.DUMMYFUNCTION("IFERROR(INDEX(FILTER('RE Portfolio'!G$2:G2000,'RE Portfolio'!D$2:D2000=""BUY""), INT((ROW()-2)/amortYears)+1), )
"),589404.257207553)</f>
        <v>589404.2572</v>
      </c>
      <c r="D715" s="15">
        <f>MOD(ROW()-2, amortYears)+1</f>
        <v>30</v>
      </c>
      <c r="E715" s="15">
        <f t="shared" si="1"/>
        <v>92</v>
      </c>
      <c r="F715" s="16">
        <f t="shared" si="2"/>
        <v>43170.22618</v>
      </c>
      <c r="G715" s="16">
        <f>IF(D715&lt;=mortTerm, -PMT(mortRate/12, mortTerm*12, C715)*12, 0)
</f>
        <v>44705.23007</v>
      </c>
      <c r="H715" s="16">
        <f>IF(D715&lt;=mortTerm, G715 - I715, 0)
</f>
        <v>1535.003884</v>
      </c>
      <c r="I715" s="16">
        <f>IF(D715&lt;=mortTerm, F715 - J715, 0)
</f>
        <v>43170.22618</v>
      </c>
      <c r="J715" s="16">
        <f>IF(D715&lt;=mortTerm,
   F715*(1+mortRate/12)^12 - (-PMT(mortRate/12, mortTerm*12, C715))*(((1+mortRate/12)^12 - 1)/(mortRate/12)),
   0
)
</f>
        <v>0.000000001447915565</v>
      </c>
      <c r="K715" s="13">
        <f>IFERROR(__xludf.DUMMYFUNCTION("IF(A715="""","""",
   IF(F715&gt;0,
      INDEX(FILTER('RE Portfolio'!L$2:L2000,'RE Portfolio'!D$2:D2000=""BUY""), INT((ROW()-2)/amortYears)+1) - G715,
      INDEX(FILTER('RE Portfolio'!L$2:L2000,'RE Portfolio'!D$2:D2000=""BUY""), INT((ROW()-2)/amortYears)+1"&amp;")
   )
)
"),13763.67224800717)</f>
        <v>13763.67225</v>
      </c>
      <c r="L715" s="15">
        <f>IFERROR(__xludf.DUMMYFUNCTION("IF(A715="""","""",
  INDEX(FILTER('RE Portfolio'!C$2:C2000,'RE Portfolio'!D$2:D2000=""BUY""), INT((ROW()-2)/amortYears)+1)
  * (1 + VALUE(Assumptions!$B$11))^(D715-1)
)
"),2450861.9233674486)</f>
        <v>2450861.923</v>
      </c>
    </row>
    <row r="716">
      <c r="A716" s="15">
        <f>IFERROR(__xludf.DUMMYFUNCTION("IFERROR(INDEX(FILTER('RE Portfolio'!A$2:A2000,'RE Portfolio'!D$2:D2000=""BUY""), INT((ROW()-2)/amortYears)+1), )
"),19.0)</f>
        <v>19</v>
      </c>
      <c r="B716" s="15">
        <f>IFERROR(__xludf.DUMMYFUNCTION("IFERROR(INDEX(FILTER('RE Portfolio'!B$2:B2000,'RE Portfolio'!D$2:D2000=""BUY""), INT((ROW()-2)/amortYears)+1), )
"),63.0)</f>
        <v>63</v>
      </c>
      <c r="C716" s="15">
        <f>IFERROR(__xludf.DUMMYFUNCTION("IFERROR(INDEX(FILTER('RE Portfolio'!G$2:G2000,'RE Portfolio'!D$2:D2000=""BUY""), INT((ROW()-2)/amortYears)+1), )
"),589404.257207553)</f>
        <v>589404.2572</v>
      </c>
      <c r="D716" s="15">
        <f>MOD(ROW()-2, amortYears)+1</f>
        <v>31</v>
      </c>
      <c r="E716" s="15">
        <f t="shared" si="1"/>
        <v>93</v>
      </c>
      <c r="F716" s="16">
        <f t="shared" si="2"/>
        <v>0.000000001447915565</v>
      </c>
      <c r="G716" s="15">
        <f>IF(D716&lt;=mortTerm, -PMT(mortRate/12, mortTerm*12, C716)*12, 0)
</f>
        <v>0</v>
      </c>
      <c r="H716" s="15">
        <f>IF(D716&lt;=mortTerm, G716 - I716, 0)
</f>
        <v>0</v>
      </c>
      <c r="I716" s="15">
        <f>IF(D716&lt;=mortTerm, F716 - J716, 0)
</f>
        <v>0</v>
      </c>
      <c r="J716" s="15">
        <f>IF(D716&lt;=mortTerm,
   F716*(1+mortRate/12)^12 - (-PMT(mortRate/12, mortTerm*12, C716))*(((1+mortRate/12)^12 - 1)/(mortRate/12)),
   0
)
</f>
        <v>0</v>
      </c>
      <c r="K716" s="13">
        <f>IFERROR(__xludf.DUMMYFUNCTION("IF(A716="""","""",
   IF(F716&gt;0,
      INDEX(FILTER('RE Portfolio'!L$2:L2000,'RE Portfolio'!D$2:D2000=""BUY""), INT((ROW()-2)/amortYears)+1) - G716,
      INDEX(FILTER('RE Portfolio'!L$2:L2000,'RE Portfolio'!D$2:D2000=""BUY""), INT((ROW()-2)/amortYears)+1"&amp;")
   )
)
"),58468.90231498925)</f>
        <v>58468.90231</v>
      </c>
      <c r="L716" s="15">
        <f>IFERROR(__xludf.DUMMYFUNCTION("IF(A716="""","""",
  INDEX(FILTER('RE Portfolio'!C$2:C2000,'RE Portfolio'!D$2:D2000=""BUY""), INT((ROW()-2)/amortYears)+1)
  * (1 + VALUE(Assumptions!$B$11))^(D716-1)
)
"),2548896.4003021466)</f>
        <v>2548896.4</v>
      </c>
    </row>
    <row r="717">
      <c r="A717" s="15">
        <f>IFERROR(__xludf.DUMMYFUNCTION("IFERROR(INDEX(FILTER('RE Portfolio'!A$2:A2000,'RE Portfolio'!D$2:D2000=""BUY""), INT((ROW()-2)/amortYears)+1), )
"),19.0)</f>
        <v>19</v>
      </c>
      <c r="B717" s="15">
        <f>IFERROR(__xludf.DUMMYFUNCTION("IFERROR(INDEX(FILTER('RE Portfolio'!B$2:B2000,'RE Portfolio'!D$2:D2000=""BUY""), INT((ROW()-2)/amortYears)+1), )
"),63.0)</f>
        <v>63</v>
      </c>
      <c r="C717" s="15">
        <f>IFERROR(__xludf.DUMMYFUNCTION("IFERROR(INDEX(FILTER('RE Portfolio'!G$2:G2000,'RE Portfolio'!D$2:D2000=""BUY""), INT((ROW()-2)/amortYears)+1), )
"),589404.257207553)</f>
        <v>589404.2572</v>
      </c>
      <c r="D717" s="15">
        <f>MOD(ROW()-2, amortYears)+1</f>
        <v>32</v>
      </c>
      <c r="E717" s="15">
        <f t="shared" si="1"/>
        <v>94</v>
      </c>
      <c r="F717" s="15">
        <f t="shared" si="2"/>
        <v>0</v>
      </c>
      <c r="G717" s="15">
        <f>IF(D717&lt;=mortTerm, -PMT(mortRate/12, mortTerm*12, C717)*12, 0)
</f>
        <v>0</v>
      </c>
      <c r="H717" s="15">
        <f>IF(D717&lt;=mortTerm, G717 - I717, 0)
</f>
        <v>0</v>
      </c>
      <c r="I717" s="15">
        <f>IF(D717&lt;=mortTerm, F717 - J717, 0)
</f>
        <v>0</v>
      </c>
      <c r="J717" s="15">
        <f>IF(D717&lt;=mortTerm,
   F717*(1+mortRate/12)^12 - (-PMT(mortRate/12, mortTerm*12, C717))*(((1+mortRate/12)^12 - 1)/(mortRate/12)),
   0
)
</f>
        <v>0</v>
      </c>
      <c r="K717" s="13">
        <f>IFERROR(__xludf.DUMMYFUNCTION("IF(A717="""","""",
   IF(F717&gt;0,
      INDEX(FILTER('RE Portfolio'!L$2:L2000,'RE Portfolio'!D$2:D2000=""BUY""), INT((ROW()-2)/amortYears)+1) - G717,
      INDEX(FILTER('RE Portfolio'!L$2:L2000,'RE Portfolio'!D$2:D2000=""BUY""), INT((ROW()-2)/amortYears)+1"&amp;")
   )
)
"),58468.90231498925)</f>
        <v>58468.90231</v>
      </c>
      <c r="L717" s="15">
        <f>IFERROR(__xludf.DUMMYFUNCTION("IF(A717="""","""",
  INDEX(FILTER('RE Portfolio'!C$2:C2000,'RE Portfolio'!D$2:D2000=""BUY""), INT((ROW()-2)/amortYears)+1)
  * (1 + VALUE(Assumptions!$B$11))^(D717-1)
)
"),2650852.2563142325)</f>
        <v>2650852.256</v>
      </c>
    </row>
    <row r="718">
      <c r="A718" s="15">
        <f>IFERROR(__xludf.DUMMYFUNCTION("IFERROR(INDEX(FILTER('RE Portfolio'!A$2:A2000,'RE Portfolio'!D$2:D2000=""BUY""), INT((ROW()-2)/amortYears)+1), )
"),19.0)</f>
        <v>19</v>
      </c>
      <c r="B718" s="15">
        <f>IFERROR(__xludf.DUMMYFUNCTION("IFERROR(INDEX(FILTER('RE Portfolio'!B$2:B2000,'RE Portfolio'!D$2:D2000=""BUY""), INT((ROW()-2)/amortYears)+1), )
"),63.0)</f>
        <v>63</v>
      </c>
      <c r="C718" s="15">
        <f>IFERROR(__xludf.DUMMYFUNCTION("IFERROR(INDEX(FILTER('RE Portfolio'!G$2:G2000,'RE Portfolio'!D$2:D2000=""BUY""), INT((ROW()-2)/amortYears)+1), )
"),589404.257207553)</f>
        <v>589404.2572</v>
      </c>
      <c r="D718" s="15">
        <f>MOD(ROW()-2, amortYears)+1</f>
        <v>33</v>
      </c>
      <c r="E718" s="15">
        <f t="shared" si="1"/>
        <v>95</v>
      </c>
      <c r="F718" s="15">
        <f t="shared" si="2"/>
        <v>0</v>
      </c>
      <c r="G718" s="15">
        <f>IF(D718&lt;=mortTerm, -PMT(mortRate/12, mortTerm*12, C718)*12, 0)
</f>
        <v>0</v>
      </c>
      <c r="H718" s="15">
        <f>IF(D718&lt;=mortTerm, G718 - I718, 0)
</f>
        <v>0</v>
      </c>
      <c r="I718" s="15">
        <f>IF(D718&lt;=mortTerm, F718 - J718, 0)
</f>
        <v>0</v>
      </c>
      <c r="J718" s="15">
        <f>IF(D718&lt;=mortTerm,
   F718*(1+mortRate/12)^12 - (-PMT(mortRate/12, mortTerm*12, C718))*(((1+mortRate/12)^12 - 1)/(mortRate/12)),
   0
)
</f>
        <v>0</v>
      </c>
      <c r="K718" s="13">
        <f>IFERROR(__xludf.DUMMYFUNCTION("IF(A718="""","""",
   IF(F718&gt;0,
      INDEX(FILTER('RE Portfolio'!L$2:L2000,'RE Portfolio'!D$2:D2000=""BUY""), INT((ROW()-2)/amortYears)+1) - G718,
      INDEX(FILTER('RE Portfolio'!L$2:L2000,'RE Portfolio'!D$2:D2000=""BUY""), INT((ROW()-2)/amortYears)+1"&amp;")
   )
)
"),58468.90231498925)</f>
        <v>58468.90231</v>
      </c>
      <c r="L718" s="15">
        <f>IFERROR(__xludf.DUMMYFUNCTION("IF(A718="""","""",
  INDEX(FILTER('RE Portfolio'!C$2:C2000,'RE Portfolio'!D$2:D2000=""BUY""), INT((ROW()-2)/amortYears)+1)
  * (1 + VALUE(Assumptions!$B$11))^(D718-1)
)
"),2756886.346566802)</f>
        <v>2756886.347</v>
      </c>
    </row>
    <row r="719">
      <c r="A719" s="15">
        <f>IFERROR(__xludf.DUMMYFUNCTION("IFERROR(INDEX(FILTER('RE Portfolio'!A$2:A2000,'RE Portfolio'!D$2:D2000=""BUY""), INT((ROW()-2)/amortYears)+1), )
"),19.0)</f>
        <v>19</v>
      </c>
      <c r="B719" s="15">
        <f>IFERROR(__xludf.DUMMYFUNCTION("IFERROR(INDEX(FILTER('RE Portfolio'!B$2:B2000,'RE Portfolio'!D$2:D2000=""BUY""), INT((ROW()-2)/amortYears)+1), )
"),63.0)</f>
        <v>63</v>
      </c>
      <c r="C719" s="15">
        <f>IFERROR(__xludf.DUMMYFUNCTION("IFERROR(INDEX(FILTER('RE Portfolio'!G$2:G2000,'RE Portfolio'!D$2:D2000=""BUY""), INT((ROW()-2)/amortYears)+1), )
"),589404.257207553)</f>
        <v>589404.2572</v>
      </c>
      <c r="D719" s="15">
        <f>MOD(ROW()-2, amortYears)+1</f>
        <v>34</v>
      </c>
      <c r="E719" s="15">
        <f t="shared" si="1"/>
        <v>96</v>
      </c>
      <c r="F719" s="15">
        <f t="shared" si="2"/>
        <v>0</v>
      </c>
      <c r="G719" s="15">
        <f>IF(D719&lt;=mortTerm, -PMT(mortRate/12, mortTerm*12, C719)*12, 0)
</f>
        <v>0</v>
      </c>
      <c r="H719" s="15">
        <f>IF(D719&lt;=mortTerm, G719 - I719, 0)
</f>
        <v>0</v>
      </c>
      <c r="I719" s="15">
        <f>IF(D719&lt;=mortTerm, F719 - J719, 0)
</f>
        <v>0</v>
      </c>
      <c r="J719" s="15">
        <f>IF(D719&lt;=mortTerm,
   F719*(1+mortRate/12)^12 - (-PMT(mortRate/12, mortTerm*12, C719))*(((1+mortRate/12)^12 - 1)/(mortRate/12)),
   0
)
</f>
        <v>0</v>
      </c>
      <c r="K719" s="13">
        <f>IFERROR(__xludf.DUMMYFUNCTION("IF(A719="""","""",
   IF(F719&gt;0,
      INDEX(FILTER('RE Portfolio'!L$2:L2000,'RE Portfolio'!D$2:D2000=""BUY""), INT((ROW()-2)/amortYears)+1) - G719,
      INDEX(FILTER('RE Portfolio'!L$2:L2000,'RE Portfolio'!D$2:D2000=""BUY""), INT((ROW()-2)/amortYears)+1"&amp;")
   )
)
"),58468.90231498925)</f>
        <v>58468.90231</v>
      </c>
      <c r="L719" s="15">
        <f>IFERROR(__xludf.DUMMYFUNCTION("IF(A719="""","""",
  INDEX(FILTER('RE Portfolio'!C$2:C2000,'RE Portfolio'!D$2:D2000=""BUY""), INT((ROW()-2)/amortYears)+1)
  * (1 + VALUE(Assumptions!$B$11))^(D719-1)
)
"),2867161.800429474)</f>
        <v>2867161.8</v>
      </c>
    </row>
    <row r="720">
      <c r="A720" s="15">
        <f>IFERROR(__xludf.DUMMYFUNCTION("IFERROR(INDEX(FILTER('RE Portfolio'!A$2:A2000,'RE Portfolio'!D$2:D2000=""BUY""), INT((ROW()-2)/amortYears)+1), )
"),19.0)</f>
        <v>19</v>
      </c>
      <c r="B720" s="15">
        <f>IFERROR(__xludf.DUMMYFUNCTION("IFERROR(INDEX(FILTER('RE Portfolio'!B$2:B2000,'RE Portfolio'!D$2:D2000=""BUY""), INT((ROW()-2)/amortYears)+1), )
"),63.0)</f>
        <v>63</v>
      </c>
      <c r="C720" s="15">
        <f>IFERROR(__xludf.DUMMYFUNCTION("IFERROR(INDEX(FILTER('RE Portfolio'!G$2:G2000,'RE Portfolio'!D$2:D2000=""BUY""), INT((ROW()-2)/amortYears)+1), )
"),589404.257207553)</f>
        <v>589404.2572</v>
      </c>
      <c r="D720" s="15">
        <f>MOD(ROW()-2, amortYears)+1</f>
        <v>35</v>
      </c>
      <c r="E720" s="15">
        <f t="shared" si="1"/>
        <v>97</v>
      </c>
      <c r="F720" s="15">
        <f t="shared" si="2"/>
        <v>0</v>
      </c>
      <c r="G720" s="15">
        <f>IF(D720&lt;=mortTerm, -PMT(mortRate/12, mortTerm*12, C720)*12, 0)
</f>
        <v>0</v>
      </c>
      <c r="H720" s="15">
        <f>IF(D720&lt;=mortTerm, G720 - I720, 0)
</f>
        <v>0</v>
      </c>
      <c r="I720" s="15">
        <f>IF(D720&lt;=mortTerm, F720 - J720, 0)
</f>
        <v>0</v>
      </c>
      <c r="J720" s="15">
        <f>IF(D720&lt;=mortTerm,
   F720*(1+mortRate/12)^12 - (-PMT(mortRate/12, mortTerm*12, C720))*(((1+mortRate/12)^12 - 1)/(mortRate/12)),
   0
)
</f>
        <v>0</v>
      </c>
      <c r="K720" s="13">
        <f>IFERROR(__xludf.DUMMYFUNCTION("IF(A720="""","""",
   IF(F720&gt;0,
      INDEX(FILTER('RE Portfolio'!L$2:L2000,'RE Portfolio'!D$2:D2000=""BUY""), INT((ROW()-2)/amortYears)+1) - G720,
      INDEX(FILTER('RE Portfolio'!L$2:L2000,'RE Portfolio'!D$2:D2000=""BUY""), INT((ROW()-2)/amortYears)+1"&amp;")
   )
)
"),58468.90231498925)</f>
        <v>58468.90231</v>
      </c>
      <c r="L720" s="15">
        <f>IFERROR(__xludf.DUMMYFUNCTION("IF(A720="""","""",
  INDEX(FILTER('RE Portfolio'!C$2:C2000,'RE Portfolio'!D$2:D2000=""BUY""), INT((ROW()-2)/amortYears)+1)
  * (1 + VALUE(Assumptions!$B$11))^(D720-1)
)
"),2981848.2724466533)</f>
        <v>2981848.272</v>
      </c>
    </row>
    <row r="721">
      <c r="A721" s="15">
        <f>IFERROR(__xludf.DUMMYFUNCTION("IFERROR(INDEX(FILTER('RE Portfolio'!A$2:A2000,'RE Portfolio'!D$2:D2000=""BUY""), INT((ROW()-2)/amortYears)+1), )
"),19.0)</f>
        <v>19</v>
      </c>
      <c r="B721" s="15">
        <f>IFERROR(__xludf.DUMMYFUNCTION("IFERROR(INDEX(FILTER('RE Portfolio'!B$2:B2000,'RE Portfolio'!D$2:D2000=""BUY""), INT((ROW()-2)/amortYears)+1), )
"),63.0)</f>
        <v>63</v>
      </c>
      <c r="C721" s="15">
        <f>IFERROR(__xludf.DUMMYFUNCTION("IFERROR(INDEX(FILTER('RE Portfolio'!G$2:G2000,'RE Portfolio'!D$2:D2000=""BUY""), INT((ROW()-2)/amortYears)+1), )
"),589404.257207553)</f>
        <v>589404.2572</v>
      </c>
      <c r="D721" s="15">
        <f>MOD(ROW()-2, amortYears)+1</f>
        <v>36</v>
      </c>
      <c r="E721" s="15">
        <f t="shared" si="1"/>
        <v>98</v>
      </c>
      <c r="F721" s="15">
        <f t="shared" si="2"/>
        <v>0</v>
      </c>
      <c r="G721" s="15">
        <f>IF(D721&lt;=mortTerm, -PMT(mortRate/12, mortTerm*12, C721)*12, 0)
</f>
        <v>0</v>
      </c>
      <c r="H721" s="15">
        <f>IF(D721&lt;=mortTerm, G721 - I721, 0)
</f>
        <v>0</v>
      </c>
      <c r="I721" s="15">
        <f>IF(D721&lt;=mortTerm, F721 - J721, 0)
</f>
        <v>0</v>
      </c>
      <c r="J721" s="15">
        <f>IF(D721&lt;=mortTerm,
   F721*(1+mortRate/12)^12 - (-PMT(mortRate/12, mortTerm*12, C721))*(((1+mortRate/12)^12 - 1)/(mortRate/12)),
   0
)
</f>
        <v>0</v>
      </c>
      <c r="K721" s="13">
        <f>IFERROR(__xludf.DUMMYFUNCTION("IF(A721="""","""",
   IF(F721&gt;0,
      INDEX(FILTER('RE Portfolio'!L$2:L2000,'RE Portfolio'!D$2:D2000=""BUY""), INT((ROW()-2)/amortYears)+1) - G721,
      INDEX(FILTER('RE Portfolio'!L$2:L2000,'RE Portfolio'!D$2:D2000=""BUY""), INT((ROW()-2)/amortYears)+1"&amp;")
   )
)
"),58468.90231498925)</f>
        <v>58468.90231</v>
      </c>
      <c r="L721" s="15">
        <f>IFERROR(__xludf.DUMMYFUNCTION("IF(A721="""","""",
  INDEX(FILTER('RE Portfolio'!C$2:C2000,'RE Portfolio'!D$2:D2000=""BUY""), INT((ROW()-2)/amortYears)+1)
  * (1 + VALUE(Assumptions!$B$11))^(D721-1)
)
"),3101122.2033445197)</f>
        <v>3101122.203</v>
      </c>
    </row>
    <row r="722">
      <c r="A722" s="15">
        <f>IFERROR(__xludf.DUMMYFUNCTION("IFERROR(INDEX(FILTER('RE Portfolio'!A$2:A2000,'RE Portfolio'!D$2:D2000=""BUY""), INT((ROW()-2)/amortYears)+1), )
"),19.0)</f>
        <v>19</v>
      </c>
      <c r="B722" s="15">
        <f>IFERROR(__xludf.DUMMYFUNCTION("IFERROR(INDEX(FILTER('RE Portfolio'!B$2:B2000,'RE Portfolio'!D$2:D2000=""BUY""), INT((ROW()-2)/amortYears)+1), )
"),63.0)</f>
        <v>63</v>
      </c>
      <c r="C722" s="15">
        <f>IFERROR(__xludf.DUMMYFUNCTION("IFERROR(INDEX(FILTER('RE Portfolio'!G$2:G2000,'RE Portfolio'!D$2:D2000=""BUY""), INT((ROW()-2)/amortYears)+1), )
"),589404.257207553)</f>
        <v>589404.2572</v>
      </c>
      <c r="D722" s="15">
        <f>MOD(ROW()-2, amortYears)+1</f>
        <v>37</v>
      </c>
      <c r="E722" s="15">
        <f t="shared" si="1"/>
        <v>99</v>
      </c>
      <c r="F722" s="15">
        <f t="shared" si="2"/>
        <v>0</v>
      </c>
      <c r="G722" s="15">
        <f>IF(D722&lt;=mortTerm, -PMT(mortRate/12, mortTerm*12, C722)*12, 0)
</f>
        <v>0</v>
      </c>
      <c r="H722" s="15">
        <f>IF(D722&lt;=mortTerm, G722 - I722, 0)
</f>
        <v>0</v>
      </c>
      <c r="I722" s="15">
        <f>IF(D722&lt;=mortTerm, F722 - J722, 0)
</f>
        <v>0</v>
      </c>
      <c r="J722" s="15">
        <f>IF(D722&lt;=mortTerm,
   F722*(1+mortRate/12)^12 - (-PMT(mortRate/12, mortTerm*12, C722))*(((1+mortRate/12)^12 - 1)/(mortRate/12)),
   0
)
</f>
        <v>0</v>
      </c>
      <c r="K722" s="13">
        <f>IFERROR(__xludf.DUMMYFUNCTION("IF(A722="""","""",
   IF(F722&gt;0,
      INDEX(FILTER('RE Portfolio'!L$2:L2000,'RE Portfolio'!D$2:D2000=""BUY""), INT((ROW()-2)/amortYears)+1) - G722,
      INDEX(FILTER('RE Portfolio'!L$2:L2000,'RE Portfolio'!D$2:D2000=""BUY""), INT((ROW()-2)/amortYears)+1"&amp;")
   )
)
"),58468.90231498925)</f>
        <v>58468.90231</v>
      </c>
      <c r="L722" s="15">
        <f>IFERROR(__xludf.DUMMYFUNCTION("IF(A722="""","""",
  INDEX(FILTER('RE Portfolio'!C$2:C2000,'RE Portfolio'!D$2:D2000=""BUY""), INT((ROW()-2)/amortYears)+1)
  * (1 + VALUE(Assumptions!$B$11))^(D722-1)
)
"),3225167.0914783003)</f>
        <v>3225167.091</v>
      </c>
    </row>
    <row r="723">
      <c r="A723" s="15">
        <f>IFERROR(__xludf.DUMMYFUNCTION("IFERROR(INDEX(FILTER('RE Portfolio'!A$2:A2000,'RE Portfolio'!D$2:D2000=""BUY""), INT((ROW()-2)/amortYears)+1), )
"),19.0)</f>
        <v>19</v>
      </c>
      <c r="B723" s="15">
        <f>IFERROR(__xludf.DUMMYFUNCTION("IFERROR(INDEX(FILTER('RE Portfolio'!B$2:B2000,'RE Portfolio'!D$2:D2000=""BUY""), INT((ROW()-2)/amortYears)+1), )
"),63.0)</f>
        <v>63</v>
      </c>
      <c r="C723" s="15">
        <f>IFERROR(__xludf.DUMMYFUNCTION("IFERROR(INDEX(FILTER('RE Portfolio'!G$2:G2000,'RE Portfolio'!D$2:D2000=""BUY""), INT((ROW()-2)/amortYears)+1), )
"),589404.257207553)</f>
        <v>589404.2572</v>
      </c>
      <c r="D723" s="15">
        <f>MOD(ROW()-2, amortYears)+1</f>
        <v>38</v>
      </c>
      <c r="E723" s="15">
        <f t="shared" si="1"/>
        <v>100</v>
      </c>
      <c r="F723" s="15">
        <f t="shared" si="2"/>
        <v>0</v>
      </c>
      <c r="G723" s="15">
        <f>IF(D723&lt;=mortTerm, -PMT(mortRate/12, mortTerm*12, C723)*12, 0)
</f>
        <v>0</v>
      </c>
      <c r="H723" s="15">
        <f>IF(D723&lt;=mortTerm, G723 - I723, 0)
</f>
        <v>0</v>
      </c>
      <c r="I723" s="15">
        <f>IF(D723&lt;=mortTerm, F723 - J723, 0)
</f>
        <v>0</v>
      </c>
      <c r="J723" s="15">
        <f>IF(D723&lt;=mortTerm,
   F723*(1+mortRate/12)^12 - (-PMT(mortRate/12, mortTerm*12, C723))*(((1+mortRate/12)^12 - 1)/(mortRate/12)),
   0
)
</f>
        <v>0</v>
      </c>
      <c r="K723" s="13">
        <f>IFERROR(__xludf.DUMMYFUNCTION("IF(A723="""","""",
   IF(F723&gt;0,
      INDEX(FILTER('RE Portfolio'!L$2:L2000,'RE Portfolio'!D$2:D2000=""BUY""), INT((ROW()-2)/amortYears)+1) - G723,
      INDEX(FILTER('RE Portfolio'!L$2:L2000,'RE Portfolio'!D$2:D2000=""BUY""), INT((ROW()-2)/amortYears)+1"&amp;")
   )
)
"),58468.90231498925)</f>
        <v>58468.90231</v>
      </c>
      <c r="L723" s="15">
        <f>IFERROR(__xludf.DUMMYFUNCTION("IF(A723="""","""",
  INDEX(FILTER('RE Portfolio'!C$2:C2000,'RE Portfolio'!D$2:D2000=""BUY""), INT((ROW()-2)/amortYears)+1)
  * (1 + VALUE(Assumptions!$B$11))^(D723-1)
)
"),3354173.775137432)</f>
        <v>3354173.775</v>
      </c>
    </row>
    <row r="724">
      <c r="A724" s="15">
        <f>IFERROR(__xludf.DUMMYFUNCTION("IFERROR(INDEX(FILTER('RE Portfolio'!A$2:A2000,'RE Portfolio'!D$2:D2000=""BUY""), INT((ROW()-2)/amortYears)+1), )
"),20.0)</f>
        <v>20</v>
      </c>
      <c r="B724" s="15">
        <f>IFERROR(__xludf.DUMMYFUNCTION("IFERROR(INDEX(FILTER('RE Portfolio'!B$2:B2000,'RE Portfolio'!D$2:D2000=""BUY""), INT((ROW()-2)/amortYears)+1), )
"),65.0)</f>
        <v>65</v>
      </c>
      <c r="C724" s="15">
        <f>IFERROR(__xludf.DUMMYFUNCTION("IFERROR(INDEX(FILTER('RE Portfolio'!G$2:G2000,'RE Portfolio'!D$2:D2000=""BUY""), INT((ROW()-2)/amortYears)+1), )
"),619242.8477286852)</f>
        <v>619242.8477</v>
      </c>
      <c r="D724" s="15">
        <f>MOD(ROW()-2, amortYears)+1</f>
        <v>1</v>
      </c>
      <c r="E724" s="15">
        <f t="shared" si="1"/>
        <v>65</v>
      </c>
      <c r="F724" s="15">
        <f t="shared" si="2"/>
        <v>619242.8477</v>
      </c>
      <c r="G724" s="16">
        <f>IF(D724&lt;=mortTerm, -PMT(mortRate/12, mortTerm*12, C724)*12, 0)
</f>
        <v>46968.43234</v>
      </c>
      <c r="H724" s="16">
        <f>IF(D724&lt;=mortTerm, G724 - I724, 0)
</f>
        <v>40046.99732</v>
      </c>
      <c r="I724" s="16">
        <f>IF(D724&lt;=mortTerm, F724 - J724, 0)
</f>
        <v>6921.435024</v>
      </c>
      <c r="J724" s="16">
        <f>IF(D724&lt;=mortTerm,
   F724*(1+mortRate/12)^12 - (-PMT(mortRate/12, mortTerm*12, C724))*(((1+mortRate/12)^12 - 1)/(mortRate/12)),
   0
)
</f>
        <v>612321.4127</v>
      </c>
      <c r="K724" s="13">
        <f>IFERROR(__xludf.DUMMYFUNCTION("IF(A724="""","""",
   IF(F724&gt;0,
      INDEX(FILTER('RE Portfolio'!L$2:L2000,'RE Portfolio'!D$2:D2000=""BUY""), INT((ROW()-2)/amortYears)+1) - G724,
      INDEX(FILTER('RE Portfolio'!L$2:L2000,'RE Portfolio'!D$2:D2000=""BUY""), INT((ROW()-2)/amortYears)+1"&amp;")
   )
)
"),14460.458155562548)</f>
        <v>14460.45816</v>
      </c>
      <c r="L724" s="15">
        <f>IFERROR(__xludf.DUMMYFUNCTION("IF(A724="""","""",
  INDEX(FILTER('RE Portfolio'!C$2:C2000,'RE Portfolio'!D$2:D2000=""BUY""), INT((ROW()-2)/amortYears)+1)
  * (1 + VALUE(Assumptions!$B$11))^(D724-1)
)
"),825657.1303049137)</f>
        <v>825657.1303</v>
      </c>
    </row>
    <row r="725">
      <c r="A725" s="15">
        <f>IFERROR(__xludf.DUMMYFUNCTION("IFERROR(INDEX(FILTER('RE Portfolio'!A$2:A2000,'RE Portfolio'!D$2:D2000=""BUY""), INT((ROW()-2)/amortYears)+1), )
"),20.0)</f>
        <v>20</v>
      </c>
      <c r="B725" s="15">
        <f>IFERROR(__xludf.DUMMYFUNCTION("IFERROR(INDEX(FILTER('RE Portfolio'!B$2:B2000,'RE Portfolio'!D$2:D2000=""BUY""), INT((ROW()-2)/amortYears)+1), )
"),65.0)</f>
        <v>65</v>
      </c>
      <c r="C725" s="15">
        <f>IFERROR(__xludf.DUMMYFUNCTION("IFERROR(INDEX(FILTER('RE Portfolio'!G$2:G2000,'RE Portfolio'!D$2:D2000=""BUY""), INT((ROW()-2)/amortYears)+1), )
"),619242.8477286852)</f>
        <v>619242.8477</v>
      </c>
      <c r="D725" s="15">
        <f>MOD(ROW()-2, amortYears)+1</f>
        <v>2</v>
      </c>
      <c r="E725" s="15">
        <f t="shared" si="1"/>
        <v>66</v>
      </c>
      <c r="F725" s="16">
        <f t="shared" si="2"/>
        <v>612321.4127</v>
      </c>
      <c r="G725" s="16">
        <f>IF(D725&lt;=mortTerm, -PMT(mortRate/12, mortTerm*12, C725)*12, 0)
</f>
        <v>46968.43234</v>
      </c>
      <c r="H725" s="16">
        <f>IF(D725&lt;=mortTerm, G725 - I725, 0)
</f>
        <v>39583.45599</v>
      </c>
      <c r="I725" s="16">
        <f>IF(D725&lt;=mortTerm, F725 - J725, 0)
</f>
        <v>7384.976346</v>
      </c>
      <c r="J725" s="16">
        <f>IF(D725&lt;=mortTerm,
   F725*(1+mortRate/12)^12 - (-PMT(mortRate/12, mortTerm*12, C725))*(((1+mortRate/12)^12 - 1)/(mortRate/12)),
   0
)
</f>
        <v>604936.4364</v>
      </c>
      <c r="K725" s="13">
        <f>IFERROR(__xludf.DUMMYFUNCTION("IF(A725="""","""",
   IF(F725&gt;0,
      INDEX(FILTER('RE Portfolio'!L$2:L2000,'RE Portfolio'!D$2:D2000=""BUY""), INT((ROW()-2)/amortYears)+1) - G725,
      INDEX(FILTER('RE Portfolio'!L$2:L2000,'RE Portfolio'!D$2:D2000=""BUY""), INT((ROW()-2)/amortYears)+1"&amp;")
   )
)
"),14460.458155562548)</f>
        <v>14460.45816</v>
      </c>
      <c r="L725" s="15">
        <f>IFERROR(__xludf.DUMMYFUNCTION("IF(A725="""","""",
  INDEX(FILTER('RE Portfolio'!C$2:C2000,'RE Portfolio'!D$2:D2000=""BUY""), INT((ROW()-2)/amortYears)+1)
  * (1 + VALUE(Assumptions!$B$11))^(D725-1)
)
"),858683.4155171103)</f>
        <v>858683.4155</v>
      </c>
    </row>
    <row r="726">
      <c r="A726" s="15">
        <f>IFERROR(__xludf.DUMMYFUNCTION("IFERROR(INDEX(FILTER('RE Portfolio'!A$2:A2000,'RE Portfolio'!D$2:D2000=""BUY""), INT((ROW()-2)/amortYears)+1), )
"),20.0)</f>
        <v>20</v>
      </c>
      <c r="B726" s="15">
        <f>IFERROR(__xludf.DUMMYFUNCTION("IFERROR(INDEX(FILTER('RE Portfolio'!B$2:B2000,'RE Portfolio'!D$2:D2000=""BUY""), INT((ROW()-2)/amortYears)+1), )
"),65.0)</f>
        <v>65</v>
      </c>
      <c r="C726" s="15">
        <f>IFERROR(__xludf.DUMMYFUNCTION("IFERROR(INDEX(FILTER('RE Portfolio'!G$2:G2000,'RE Portfolio'!D$2:D2000=""BUY""), INT((ROW()-2)/amortYears)+1), )
"),619242.8477286852)</f>
        <v>619242.8477</v>
      </c>
      <c r="D726" s="15">
        <f>MOD(ROW()-2, amortYears)+1</f>
        <v>3</v>
      </c>
      <c r="E726" s="15">
        <f t="shared" si="1"/>
        <v>67</v>
      </c>
      <c r="F726" s="16">
        <f t="shared" si="2"/>
        <v>604936.4364</v>
      </c>
      <c r="G726" s="16">
        <f>IF(D726&lt;=mortTerm, -PMT(mortRate/12, mortTerm*12, C726)*12, 0)
</f>
        <v>46968.43234</v>
      </c>
      <c r="H726" s="16">
        <f>IF(D726&lt;=mortTerm, G726 - I726, 0)
</f>
        <v>39088.87045</v>
      </c>
      <c r="I726" s="16">
        <f>IF(D726&lt;=mortTerm, F726 - J726, 0)
</f>
        <v>7879.561889</v>
      </c>
      <c r="J726" s="16">
        <f>IF(D726&lt;=mortTerm,
   F726*(1+mortRate/12)^12 - (-PMT(mortRate/12, mortTerm*12, C726))*(((1+mortRate/12)^12 - 1)/(mortRate/12)),
   0
)
</f>
        <v>597056.8745</v>
      </c>
      <c r="K726" s="13">
        <f>IFERROR(__xludf.DUMMYFUNCTION("IF(A726="""","""",
   IF(F726&gt;0,
      INDEX(FILTER('RE Portfolio'!L$2:L2000,'RE Portfolio'!D$2:D2000=""BUY""), INT((ROW()-2)/amortYears)+1) - G726,
      INDEX(FILTER('RE Portfolio'!L$2:L2000,'RE Portfolio'!D$2:D2000=""BUY""), INT((ROW()-2)/amortYears)+1"&amp;")
   )
)
"),14460.458155562548)</f>
        <v>14460.45816</v>
      </c>
      <c r="L726" s="15">
        <f>IFERROR(__xludf.DUMMYFUNCTION("IF(A726="""","""",
  INDEX(FILTER('RE Portfolio'!C$2:C2000,'RE Portfolio'!D$2:D2000=""BUY""), INT((ROW()-2)/amortYears)+1)
  * (1 + VALUE(Assumptions!$B$11))^(D726-1)
)
"),893030.7521377947)</f>
        <v>893030.7521</v>
      </c>
    </row>
    <row r="727">
      <c r="A727" s="15">
        <f>IFERROR(__xludf.DUMMYFUNCTION("IFERROR(INDEX(FILTER('RE Portfolio'!A$2:A2000,'RE Portfolio'!D$2:D2000=""BUY""), INT((ROW()-2)/amortYears)+1), )
"),20.0)</f>
        <v>20</v>
      </c>
      <c r="B727" s="15">
        <f>IFERROR(__xludf.DUMMYFUNCTION("IFERROR(INDEX(FILTER('RE Portfolio'!B$2:B2000,'RE Portfolio'!D$2:D2000=""BUY""), INT((ROW()-2)/amortYears)+1), )
"),65.0)</f>
        <v>65</v>
      </c>
      <c r="C727" s="15">
        <f>IFERROR(__xludf.DUMMYFUNCTION("IFERROR(INDEX(FILTER('RE Portfolio'!G$2:G2000,'RE Portfolio'!D$2:D2000=""BUY""), INT((ROW()-2)/amortYears)+1), )
"),619242.8477286852)</f>
        <v>619242.8477</v>
      </c>
      <c r="D727" s="15">
        <f>MOD(ROW()-2, amortYears)+1</f>
        <v>4</v>
      </c>
      <c r="E727" s="15">
        <f t="shared" si="1"/>
        <v>68</v>
      </c>
      <c r="F727" s="16">
        <f t="shared" si="2"/>
        <v>597056.8745</v>
      </c>
      <c r="G727" s="16">
        <f>IF(D727&lt;=mortTerm, -PMT(mortRate/12, mortTerm*12, C727)*12, 0)
</f>
        <v>46968.43234</v>
      </c>
      <c r="H727" s="16">
        <f>IF(D727&lt;=mortTerm, G727 - I727, 0)
</f>
        <v>38561.1616</v>
      </c>
      <c r="I727" s="16">
        <f>IF(D727&lt;=mortTerm, F727 - J727, 0)
</f>
        <v>8407.270741</v>
      </c>
      <c r="J727" s="16">
        <f>IF(D727&lt;=mortTerm,
   F727*(1+mortRate/12)^12 - (-PMT(mortRate/12, mortTerm*12, C727))*(((1+mortRate/12)^12 - 1)/(mortRate/12)),
   0
)
</f>
        <v>588649.6037</v>
      </c>
      <c r="K727" s="13">
        <f>IFERROR(__xludf.DUMMYFUNCTION("IF(A727="""","""",
   IF(F727&gt;0,
      INDEX(FILTER('RE Portfolio'!L$2:L2000,'RE Portfolio'!D$2:D2000=""BUY""), INT((ROW()-2)/amortYears)+1) - G727,
      INDEX(FILTER('RE Portfolio'!L$2:L2000,'RE Portfolio'!D$2:D2000=""BUY""), INT((ROW()-2)/amortYears)+1"&amp;")
   )
)
"),14460.458155562548)</f>
        <v>14460.45816</v>
      </c>
      <c r="L727" s="15">
        <f>IFERROR(__xludf.DUMMYFUNCTION("IF(A727="""","""",
  INDEX(FILTER('RE Portfolio'!C$2:C2000,'RE Portfolio'!D$2:D2000=""BUY""), INT((ROW()-2)/amortYears)+1)
  * (1 + VALUE(Assumptions!$B$11))^(D727-1)
)
"),928751.9822233065)</f>
        <v>928751.9822</v>
      </c>
    </row>
    <row r="728">
      <c r="A728" s="15">
        <f>IFERROR(__xludf.DUMMYFUNCTION("IFERROR(INDEX(FILTER('RE Portfolio'!A$2:A2000,'RE Portfolio'!D$2:D2000=""BUY""), INT((ROW()-2)/amortYears)+1), )
"),20.0)</f>
        <v>20</v>
      </c>
      <c r="B728" s="15">
        <f>IFERROR(__xludf.DUMMYFUNCTION("IFERROR(INDEX(FILTER('RE Portfolio'!B$2:B2000,'RE Portfolio'!D$2:D2000=""BUY""), INT((ROW()-2)/amortYears)+1), )
"),65.0)</f>
        <v>65</v>
      </c>
      <c r="C728" s="15">
        <f>IFERROR(__xludf.DUMMYFUNCTION("IFERROR(INDEX(FILTER('RE Portfolio'!G$2:G2000,'RE Portfolio'!D$2:D2000=""BUY""), INT((ROW()-2)/amortYears)+1), )
"),619242.8477286852)</f>
        <v>619242.8477</v>
      </c>
      <c r="D728" s="15">
        <f>MOD(ROW()-2, amortYears)+1</f>
        <v>5</v>
      </c>
      <c r="E728" s="15">
        <f t="shared" si="1"/>
        <v>69</v>
      </c>
      <c r="F728" s="16">
        <f t="shared" si="2"/>
        <v>588649.6037</v>
      </c>
      <c r="G728" s="16">
        <f>IF(D728&lt;=mortTerm, -PMT(mortRate/12, mortTerm*12, C728)*12, 0)
</f>
        <v>46968.43234</v>
      </c>
      <c r="H728" s="16">
        <f>IF(D728&lt;=mortTerm, G728 - I728, 0)
</f>
        <v>37998.11111</v>
      </c>
      <c r="I728" s="16">
        <f>IF(D728&lt;=mortTerm, F728 - J728, 0)
</f>
        <v>8970.321233</v>
      </c>
      <c r="J728" s="16">
        <f>IF(D728&lt;=mortTerm,
   F728*(1+mortRate/12)^12 - (-PMT(mortRate/12, mortTerm*12, C728))*(((1+mortRate/12)^12 - 1)/(mortRate/12)),
   0
)
</f>
        <v>579679.2825</v>
      </c>
      <c r="K728" s="13">
        <f>IFERROR(__xludf.DUMMYFUNCTION("IF(A728="""","""",
   IF(F728&gt;0,
      INDEX(FILTER('RE Portfolio'!L$2:L2000,'RE Portfolio'!D$2:D2000=""BUY""), INT((ROW()-2)/amortYears)+1) - G728,
      INDEX(FILTER('RE Portfolio'!L$2:L2000,'RE Portfolio'!D$2:D2000=""BUY""), INT((ROW()-2)/amortYears)+1"&amp;")
   )
)
"),14460.458155562548)</f>
        <v>14460.45816</v>
      </c>
      <c r="L728" s="15">
        <f>IFERROR(__xludf.DUMMYFUNCTION("IF(A728="""","""",
  INDEX(FILTER('RE Portfolio'!C$2:C2000,'RE Portfolio'!D$2:D2000=""BUY""), INT((ROW()-2)/amortYears)+1)
  * (1 + VALUE(Assumptions!$B$11))^(D728-1)
)
"),965902.0615122389)</f>
        <v>965902.0615</v>
      </c>
    </row>
    <row r="729">
      <c r="A729" s="15">
        <f>IFERROR(__xludf.DUMMYFUNCTION("IFERROR(INDEX(FILTER('RE Portfolio'!A$2:A2000,'RE Portfolio'!D$2:D2000=""BUY""), INT((ROW()-2)/amortYears)+1), )
"),20.0)</f>
        <v>20</v>
      </c>
      <c r="B729" s="15">
        <f>IFERROR(__xludf.DUMMYFUNCTION("IFERROR(INDEX(FILTER('RE Portfolio'!B$2:B2000,'RE Portfolio'!D$2:D2000=""BUY""), INT((ROW()-2)/amortYears)+1), )
"),65.0)</f>
        <v>65</v>
      </c>
      <c r="C729" s="15">
        <f>IFERROR(__xludf.DUMMYFUNCTION("IFERROR(INDEX(FILTER('RE Portfolio'!G$2:G2000,'RE Portfolio'!D$2:D2000=""BUY""), INT((ROW()-2)/amortYears)+1), )
"),619242.8477286852)</f>
        <v>619242.8477</v>
      </c>
      <c r="D729" s="15">
        <f>MOD(ROW()-2, amortYears)+1</f>
        <v>6</v>
      </c>
      <c r="E729" s="15">
        <f t="shared" si="1"/>
        <v>70</v>
      </c>
      <c r="F729" s="16">
        <f t="shared" si="2"/>
        <v>579679.2825</v>
      </c>
      <c r="G729" s="16">
        <f>IF(D729&lt;=mortTerm, -PMT(mortRate/12, mortTerm*12, C729)*12, 0)
</f>
        <v>46968.43234</v>
      </c>
      <c r="H729" s="16">
        <f>IF(D729&lt;=mortTerm, G729 - I729, 0)
</f>
        <v>37397.35208</v>
      </c>
      <c r="I729" s="16">
        <f>IF(D729&lt;=mortTerm, F729 - J729, 0)
</f>
        <v>9571.080259</v>
      </c>
      <c r="J729" s="16">
        <f>IF(D729&lt;=mortTerm,
   F729*(1+mortRate/12)^12 - (-PMT(mortRate/12, mortTerm*12, C729))*(((1+mortRate/12)^12 - 1)/(mortRate/12)),
   0
)
</f>
        <v>570108.2022</v>
      </c>
      <c r="K729" s="13">
        <f>IFERROR(__xludf.DUMMYFUNCTION("IF(A729="""","""",
   IF(F729&gt;0,
      INDEX(FILTER('RE Portfolio'!L$2:L2000,'RE Portfolio'!D$2:D2000=""BUY""), INT((ROW()-2)/amortYears)+1) - G729,
      INDEX(FILTER('RE Portfolio'!L$2:L2000,'RE Portfolio'!D$2:D2000=""BUY""), INT((ROW()-2)/amortYears)+1"&amp;")
   )
)
"),14460.458155562548)</f>
        <v>14460.45816</v>
      </c>
      <c r="L729" s="15">
        <f>IFERROR(__xludf.DUMMYFUNCTION("IF(A729="""","""",
  INDEX(FILTER('RE Portfolio'!C$2:C2000,'RE Portfolio'!D$2:D2000=""BUY""), INT((ROW()-2)/amortYears)+1)
  * (1 + VALUE(Assumptions!$B$11))^(D729-1)
)
"),1004538.1439727284)</f>
        <v>1004538.144</v>
      </c>
    </row>
    <row r="730">
      <c r="A730" s="15">
        <f>IFERROR(__xludf.DUMMYFUNCTION("IFERROR(INDEX(FILTER('RE Portfolio'!A$2:A2000,'RE Portfolio'!D$2:D2000=""BUY""), INT((ROW()-2)/amortYears)+1), )
"),20.0)</f>
        <v>20</v>
      </c>
      <c r="B730" s="15">
        <f>IFERROR(__xludf.DUMMYFUNCTION("IFERROR(INDEX(FILTER('RE Portfolio'!B$2:B2000,'RE Portfolio'!D$2:D2000=""BUY""), INT((ROW()-2)/amortYears)+1), )
"),65.0)</f>
        <v>65</v>
      </c>
      <c r="C730" s="15">
        <f>IFERROR(__xludf.DUMMYFUNCTION("IFERROR(INDEX(FILTER('RE Portfolio'!G$2:G2000,'RE Portfolio'!D$2:D2000=""BUY""), INT((ROW()-2)/amortYears)+1), )
"),619242.8477286852)</f>
        <v>619242.8477</v>
      </c>
      <c r="D730" s="15">
        <f>MOD(ROW()-2, amortYears)+1</f>
        <v>7</v>
      </c>
      <c r="E730" s="15">
        <f t="shared" si="1"/>
        <v>71</v>
      </c>
      <c r="F730" s="16">
        <f t="shared" si="2"/>
        <v>570108.2022</v>
      </c>
      <c r="G730" s="16">
        <f>IF(D730&lt;=mortTerm, -PMT(mortRate/12, mortTerm*12, C730)*12, 0)
</f>
        <v>46968.43234</v>
      </c>
      <c r="H730" s="16">
        <f>IF(D730&lt;=mortTerm, G730 - I730, 0)
</f>
        <v>36756.35911</v>
      </c>
      <c r="I730" s="16">
        <f>IF(D730&lt;=mortTerm, F730 - J730, 0)
</f>
        <v>10212.07323</v>
      </c>
      <c r="J730" s="16">
        <f>IF(D730&lt;=mortTerm,
   F730*(1+mortRate/12)^12 - (-PMT(mortRate/12, mortTerm*12, C730))*(((1+mortRate/12)^12 - 1)/(mortRate/12)),
   0
)
</f>
        <v>559896.129</v>
      </c>
      <c r="K730" s="13">
        <f>IFERROR(__xludf.DUMMYFUNCTION("IF(A730="""","""",
   IF(F730&gt;0,
      INDEX(FILTER('RE Portfolio'!L$2:L2000,'RE Portfolio'!D$2:D2000=""BUY""), INT((ROW()-2)/amortYears)+1) - G730,
      INDEX(FILTER('RE Portfolio'!L$2:L2000,'RE Portfolio'!D$2:D2000=""BUY""), INT((ROW()-2)/amortYears)+1"&amp;")
   )
)
"),14460.458155562548)</f>
        <v>14460.45816</v>
      </c>
      <c r="L730" s="15">
        <f>IFERROR(__xludf.DUMMYFUNCTION("IF(A730="""","""",
  INDEX(FILTER('RE Portfolio'!C$2:C2000,'RE Portfolio'!D$2:D2000=""BUY""), INT((ROW()-2)/amortYears)+1)
  * (1 + VALUE(Assumptions!$B$11))^(D730-1)
)
"),1044719.6697316377)</f>
        <v>1044719.67</v>
      </c>
    </row>
    <row r="731">
      <c r="A731" s="15">
        <f>IFERROR(__xludf.DUMMYFUNCTION("IFERROR(INDEX(FILTER('RE Portfolio'!A$2:A2000,'RE Portfolio'!D$2:D2000=""BUY""), INT((ROW()-2)/amortYears)+1), )
"),20.0)</f>
        <v>20</v>
      </c>
      <c r="B731" s="15">
        <f>IFERROR(__xludf.DUMMYFUNCTION("IFERROR(INDEX(FILTER('RE Portfolio'!B$2:B2000,'RE Portfolio'!D$2:D2000=""BUY""), INT((ROW()-2)/amortYears)+1), )
"),65.0)</f>
        <v>65</v>
      </c>
      <c r="C731" s="15">
        <f>IFERROR(__xludf.DUMMYFUNCTION("IFERROR(INDEX(FILTER('RE Portfolio'!G$2:G2000,'RE Portfolio'!D$2:D2000=""BUY""), INT((ROW()-2)/amortYears)+1), )
"),619242.8477286852)</f>
        <v>619242.8477</v>
      </c>
      <c r="D731" s="15">
        <f>MOD(ROW()-2, amortYears)+1</f>
        <v>8</v>
      </c>
      <c r="E731" s="15">
        <f t="shared" si="1"/>
        <v>72</v>
      </c>
      <c r="F731" s="16">
        <f t="shared" si="2"/>
        <v>559896.129</v>
      </c>
      <c r="G731" s="16">
        <f>IF(D731&lt;=mortTerm, -PMT(mortRate/12, mortTerm*12, C731)*12, 0)
</f>
        <v>46968.43234</v>
      </c>
      <c r="H731" s="16">
        <f>IF(D731&lt;=mortTerm, G731 - I731, 0)
</f>
        <v>36072.43765</v>
      </c>
      <c r="I731" s="16">
        <f>IF(D731&lt;=mortTerm, F731 - J731, 0)
</f>
        <v>10895.99469</v>
      </c>
      <c r="J731" s="16">
        <f>IF(D731&lt;=mortTerm,
   F731*(1+mortRate/12)^12 - (-PMT(mortRate/12, mortTerm*12, C731))*(((1+mortRate/12)^12 - 1)/(mortRate/12)),
   0
)
</f>
        <v>549000.1343</v>
      </c>
      <c r="K731" s="13">
        <f>IFERROR(__xludf.DUMMYFUNCTION("IF(A731="""","""",
   IF(F731&gt;0,
      INDEX(FILTER('RE Portfolio'!L$2:L2000,'RE Portfolio'!D$2:D2000=""BUY""), INT((ROW()-2)/amortYears)+1) - G731,
      INDEX(FILTER('RE Portfolio'!L$2:L2000,'RE Portfolio'!D$2:D2000=""BUY""), INT((ROW()-2)/amortYears)+1"&amp;")
   )
)
"),14460.458155562548)</f>
        <v>14460.45816</v>
      </c>
      <c r="L731" s="15">
        <f>IFERROR(__xludf.DUMMYFUNCTION("IF(A731="""","""",
  INDEX(FILTER('RE Portfolio'!C$2:C2000,'RE Portfolio'!D$2:D2000=""BUY""), INT((ROW()-2)/amortYears)+1)
  * (1 + VALUE(Assumptions!$B$11))^(D731-1)
)
"),1086508.4565209032)</f>
        <v>1086508.457</v>
      </c>
    </row>
    <row r="732">
      <c r="A732" s="15">
        <f>IFERROR(__xludf.DUMMYFUNCTION("IFERROR(INDEX(FILTER('RE Portfolio'!A$2:A2000,'RE Portfolio'!D$2:D2000=""BUY""), INT((ROW()-2)/amortYears)+1), )
"),20.0)</f>
        <v>20</v>
      </c>
      <c r="B732" s="15">
        <f>IFERROR(__xludf.DUMMYFUNCTION("IFERROR(INDEX(FILTER('RE Portfolio'!B$2:B2000,'RE Portfolio'!D$2:D2000=""BUY""), INT((ROW()-2)/amortYears)+1), )
"),65.0)</f>
        <v>65</v>
      </c>
      <c r="C732" s="15">
        <f>IFERROR(__xludf.DUMMYFUNCTION("IFERROR(INDEX(FILTER('RE Portfolio'!G$2:G2000,'RE Portfolio'!D$2:D2000=""BUY""), INT((ROW()-2)/amortYears)+1), )
"),619242.8477286852)</f>
        <v>619242.8477</v>
      </c>
      <c r="D732" s="15">
        <f>MOD(ROW()-2, amortYears)+1</f>
        <v>9</v>
      </c>
      <c r="E732" s="15">
        <f t="shared" si="1"/>
        <v>73</v>
      </c>
      <c r="F732" s="16">
        <f t="shared" si="2"/>
        <v>549000.1343</v>
      </c>
      <c r="G732" s="16">
        <f>IF(D732&lt;=mortTerm, -PMT(mortRate/12, mortTerm*12, C732)*12, 0)
</f>
        <v>46968.43234</v>
      </c>
      <c r="H732" s="16">
        <f>IF(D732&lt;=mortTerm, G732 - I732, 0)
</f>
        <v>35342.71271</v>
      </c>
      <c r="I732" s="16">
        <f>IF(D732&lt;=mortTerm, F732 - J732, 0)
</f>
        <v>11625.71963</v>
      </c>
      <c r="J732" s="16">
        <f>IF(D732&lt;=mortTerm,
   F732*(1+mortRate/12)^12 - (-PMT(mortRate/12, mortTerm*12, C732))*(((1+mortRate/12)^12 - 1)/(mortRate/12)),
   0
)
</f>
        <v>537374.4147</v>
      </c>
      <c r="K732" s="13">
        <f>IFERROR(__xludf.DUMMYFUNCTION("IF(A732="""","""",
   IF(F732&gt;0,
      INDEX(FILTER('RE Portfolio'!L$2:L2000,'RE Portfolio'!D$2:D2000=""BUY""), INT((ROW()-2)/amortYears)+1) - G732,
      INDEX(FILTER('RE Portfolio'!L$2:L2000,'RE Portfolio'!D$2:D2000=""BUY""), INT((ROW()-2)/amortYears)+1"&amp;")
   )
)
"),14460.458155562548)</f>
        <v>14460.45816</v>
      </c>
      <c r="L732" s="15">
        <f>IFERROR(__xludf.DUMMYFUNCTION("IF(A732="""","""",
  INDEX(FILTER('RE Portfolio'!C$2:C2000,'RE Portfolio'!D$2:D2000=""BUY""), INT((ROW()-2)/amortYears)+1)
  * (1 + VALUE(Assumptions!$B$11))^(D732-1)
)
"),1129968.7947817394)</f>
        <v>1129968.795</v>
      </c>
    </row>
    <row r="733">
      <c r="A733" s="15">
        <f>IFERROR(__xludf.DUMMYFUNCTION("IFERROR(INDEX(FILTER('RE Portfolio'!A$2:A2000,'RE Portfolio'!D$2:D2000=""BUY""), INT((ROW()-2)/amortYears)+1), )
"),20.0)</f>
        <v>20</v>
      </c>
      <c r="B733" s="15">
        <f>IFERROR(__xludf.DUMMYFUNCTION("IFERROR(INDEX(FILTER('RE Portfolio'!B$2:B2000,'RE Portfolio'!D$2:D2000=""BUY""), INT((ROW()-2)/amortYears)+1), )
"),65.0)</f>
        <v>65</v>
      </c>
      <c r="C733" s="15">
        <f>IFERROR(__xludf.DUMMYFUNCTION("IFERROR(INDEX(FILTER('RE Portfolio'!G$2:G2000,'RE Portfolio'!D$2:D2000=""BUY""), INT((ROW()-2)/amortYears)+1), )
"),619242.8477286852)</f>
        <v>619242.8477</v>
      </c>
      <c r="D733" s="15">
        <f>MOD(ROW()-2, amortYears)+1</f>
        <v>10</v>
      </c>
      <c r="E733" s="15">
        <f t="shared" si="1"/>
        <v>74</v>
      </c>
      <c r="F733" s="16">
        <f t="shared" si="2"/>
        <v>537374.4147</v>
      </c>
      <c r="G733" s="16">
        <f>IF(D733&lt;=mortTerm, -PMT(mortRate/12, mortTerm*12, C733)*12, 0)
</f>
        <v>46968.43234</v>
      </c>
      <c r="H733" s="16">
        <f>IF(D733&lt;=mortTerm, G733 - I733, 0)
</f>
        <v>34564.11673</v>
      </c>
      <c r="I733" s="16">
        <f>IF(D733&lt;=mortTerm, F733 - J733, 0)
</f>
        <v>12404.3156</v>
      </c>
      <c r="J733" s="16">
        <f>IF(D733&lt;=mortTerm,
   F733*(1+mortRate/12)^12 - (-PMT(mortRate/12, mortTerm*12, C733))*(((1+mortRate/12)^12 - 1)/(mortRate/12)),
   0
)
</f>
        <v>524970.0991</v>
      </c>
      <c r="K733" s="13">
        <f>IFERROR(__xludf.DUMMYFUNCTION("IF(A733="""","""",
   IF(F733&gt;0,
      INDEX(FILTER('RE Portfolio'!L$2:L2000,'RE Portfolio'!D$2:D2000=""BUY""), INT((ROW()-2)/amortYears)+1) - G733,
      INDEX(FILTER('RE Portfolio'!L$2:L2000,'RE Portfolio'!D$2:D2000=""BUY""), INT((ROW()-2)/amortYears)+1"&amp;")
   )
)
"),14460.458155562548)</f>
        <v>14460.45816</v>
      </c>
      <c r="L733" s="15">
        <f>IFERROR(__xludf.DUMMYFUNCTION("IF(A733="""","""",
  INDEX(FILTER('RE Portfolio'!C$2:C2000,'RE Portfolio'!D$2:D2000=""BUY""), INT((ROW()-2)/amortYears)+1)
  * (1 + VALUE(Assumptions!$B$11))^(D733-1)
)
"),1175167.5465730089)</f>
        <v>1175167.547</v>
      </c>
    </row>
    <row r="734">
      <c r="A734" s="15">
        <f>IFERROR(__xludf.DUMMYFUNCTION("IFERROR(INDEX(FILTER('RE Portfolio'!A$2:A2000,'RE Portfolio'!D$2:D2000=""BUY""), INT((ROW()-2)/amortYears)+1), )
"),20.0)</f>
        <v>20</v>
      </c>
      <c r="B734" s="15">
        <f>IFERROR(__xludf.DUMMYFUNCTION("IFERROR(INDEX(FILTER('RE Portfolio'!B$2:B2000,'RE Portfolio'!D$2:D2000=""BUY""), INT((ROW()-2)/amortYears)+1), )
"),65.0)</f>
        <v>65</v>
      </c>
      <c r="C734" s="15">
        <f>IFERROR(__xludf.DUMMYFUNCTION("IFERROR(INDEX(FILTER('RE Portfolio'!G$2:G2000,'RE Portfolio'!D$2:D2000=""BUY""), INT((ROW()-2)/amortYears)+1), )
"),619242.8477286852)</f>
        <v>619242.8477</v>
      </c>
      <c r="D734" s="15">
        <f>MOD(ROW()-2, amortYears)+1</f>
        <v>11</v>
      </c>
      <c r="E734" s="15">
        <f t="shared" si="1"/>
        <v>75</v>
      </c>
      <c r="F734" s="16">
        <f t="shared" si="2"/>
        <v>524970.0991</v>
      </c>
      <c r="G734" s="16">
        <f>IF(D734&lt;=mortTerm, -PMT(mortRate/12, mortTerm*12, C734)*12, 0)
</f>
        <v>46968.43234</v>
      </c>
      <c r="H734" s="16">
        <f>IF(D734&lt;=mortTerm, G734 - I734, 0)
</f>
        <v>33733.37675</v>
      </c>
      <c r="I734" s="16">
        <f>IF(D734&lt;=mortTerm, F734 - J734, 0)
</f>
        <v>13235.05559</v>
      </c>
      <c r="J734" s="16">
        <f>IF(D734&lt;=mortTerm,
   F734*(1+mortRate/12)^12 - (-PMT(mortRate/12, mortTerm*12, C734))*(((1+mortRate/12)^12 - 1)/(mortRate/12)),
   0
)
</f>
        <v>511735.0435</v>
      </c>
      <c r="K734" s="13">
        <f>IFERROR(__xludf.DUMMYFUNCTION("IF(A734="""","""",
   IF(F734&gt;0,
      INDEX(FILTER('RE Portfolio'!L$2:L2000,'RE Portfolio'!D$2:D2000=""BUY""), INT((ROW()-2)/amortYears)+1) - G734,
      INDEX(FILTER('RE Portfolio'!L$2:L2000,'RE Portfolio'!D$2:D2000=""BUY""), INT((ROW()-2)/amortYears)+1"&amp;")
   )
)
"),14460.458155562548)</f>
        <v>14460.45816</v>
      </c>
      <c r="L734" s="15">
        <f>IFERROR(__xludf.DUMMYFUNCTION("IF(A734="""","""",
  INDEX(FILTER('RE Portfolio'!C$2:C2000,'RE Portfolio'!D$2:D2000=""BUY""), INT((ROW()-2)/amortYears)+1)
  * (1 + VALUE(Assumptions!$B$11))^(D734-1)
)
"),1222174.2484359294)</f>
        <v>1222174.248</v>
      </c>
    </row>
    <row r="735">
      <c r="A735" s="15">
        <f>IFERROR(__xludf.DUMMYFUNCTION("IFERROR(INDEX(FILTER('RE Portfolio'!A$2:A2000,'RE Portfolio'!D$2:D2000=""BUY""), INT((ROW()-2)/amortYears)+1), )
"),20.0)</f>
        <v>20</v>
      </c>
      <c r="B735" s="15">
        <f>IFERROR(__xludf.DUMMYFUNCTION("IFERROR(INDEX(FILTER('RE Portfolio'!B$2:B2000,'RE Portfolio'!D$2:D2000=""BUY""), INT((ROW()-2)/amortYears)+1), )
"),65.0)</f>
        <v>65</v>
      </c>
      <c r="C735" s="15">
        <f>IFERROR(__xludf.DUMMYFUNCTION("IFERROR(INDEX(FILTER('RE Portfolio'!G$2:G2000,'RE Portfolio'!D$2:D2000=""BUY""), INT((ROW()-2)/amortYears)+1), )
"),619242.8477286852)</f>
        <v>619242.8477</v>
      </c>
      <c r="D735" s="15">
        <f>MOD(ROW()-2, amortYears)+1</f>
        <v>12</v>
      </c>
      <c r="E735" s="15">
        <f t="shared" si="1"/>
        <v>76</v>
      </c>
      <c r="F735" s="16">
        <f t="shared" si="2"/>
        <v>511735.0435</v>
      </c>
      <c r="G735" s="16">
        <f>IF(D735&lt;=mortTerm, -PMT(mortRate/12, mortTerm*12, C735)*12, 0)
</f>
        <v>46968.43234</v>
      </c>
      <c r="H735" s="16">
        <f>IF(D735&lt;=mortTerm, G735 - I735, 0)
</f>
        <v>32847.00056</v>
      </c>
      <c r="I735" s="16">
        <f>IF(D735&lt;=mortTerm, F735 - J735, 0)
</f>
        <v>14121.43178</v>
      </c>
      <c r="J735" s="16">
        <f>IF(D735&lt;=mortTerm,
   F735*(1+mortRate/12)^12 - (-PMT(mortRate/12, mortTerm*12, C735))*(((1+mortRate/12)^12 - 1)/(mortRate/12)),
   0
)
</f>
        <v>497613.6117</v>
      </c>
      <c r="K735" s="13">
        <f>IFERROR(__xludf.DUMMYFUNCTION("IF(A735="""","""",
   IF(F735&gt;0,
      INDEX(FILTER('RE Portfolio'!L$2:L2000,'RE Portfolio'!D$2:D2000=""BUY""), INT((ROW()-2)/amortYears)+1) - G735,
      INDEX(FILTER('RE Portfolio'!L$2:L2000,'RE Portfolio'!D$2:D2000=""BUY""), INT((ROW()-2)/amortYears)+1"&amp;")
   )
)
"),14460.458155562548)</f>
        <v>14460.45816</v>
      </c>
      <c r="L735" s="15">
        <f>IFERROR(__xludf.DUMMYFUNCTION("IF(A735="""","""",
  INDEX(FILTER('RE Portfolio'!C$2:C2000,'RE Portfolio'!D$2:D2000=""BUY""), INT((ROW()-2)/amortYears)+1)
  * (1 + VALUE(Assumptions!$B$11))^(D735-1)
)
"),1271061.2183733666)</f>
        <v>1271061.218</v>
      </c>
    </row>
    <row r="736">
      <c r="A736" s="15">
        <f>IFERROR(__xludf.DUMMYFUNCTION("IFERROR(INDEX(FILTER('RE Portfolio'!A$2:A2000,'RE Portfolio'!D$2:D2000=""BUY""), INT((ROW()-2)/amortYears)+1), )
"),20.0)</f>
        <v>20</v>
      </c>
      <c r="B736" s="15">
        <f>IFERROR(__xludf.DUMMYFUNCTION("IFERROR(INDEX(FILTER('RE Portfolio'!B$2:B2000,'RE Portfolio'!D$2:D2000=""BUY""), INT((ROW()-2)/amortYears)+1), )
"),65.0)</f>
        <v>65</v>
      </c>
      <c r="C736" s="15">
        <f>IFERROR(__xludf.DUMMYFUNCTION("IFERROR(INDEX(FILTER('RE Portfolio'!G$2:G2000,'RE Portfolio'!D$2:D2000=""BUY""), INT((ROW()-2)/amortYears)+1), )
"),619242.8477286852)</f>
        <v>619242.8477</v>
      </c>
      <c r="D736" s="15">
        <f>MOD(ROW()-2, amortYears)+1</f>
        <v>13</v>
      </c>
      <c r="E736" s="15">
        <f t="shared" si="1"/>
        <v>77</v>
      </c>
      <c r="F736" s="16">
        <f t="shared" si="2"/>
        <v>497613.6117</v>
      </c>
      <c r="G736" s="16">
        <f>IF(D736&lt;=mortTerm, -PMT(mortRate/12, mortTerm*12, C736)*12, 0)
</f>
        <v>46968.43234</v>
      </c>
      <c r="H736" s="16">
        <f>IF(D736&lt;=mortTerm, G736 - I736, 0)
</f>
        <v>31901.26212</v>
      </c>
      <c r="I736" s="16">
        <f>IF(D736&lt;=mortTerm, F736 - J736, 0)
</f>
        <v>15067.17022</v>
      </c>
      <c r="J736" s="16">
        <f>IF(D736&lt;=mortTerm,
   F736*(1+mortRate/12)^12 - (-PMT(mortRate/12, mortTerm*12, C736))*(((1+mortRate/12)^12 - 1)/(mortRate/12)),
   0
)
</f>
        <v>482546.4415</v>
      </c>
      <c r="K736" s="13">
        <f>IFERROR(__xludf.DUMMYFUNCTION("IF(A736="""","""",
   IF(F736&gt;0,
      INDEX(FILTER('RE Portfolio'!L$2:L2000,'RE Portfolio'!D$2:D2000=""BUY""), INT((ROW()-2)/amortYears)+1) - G736,
      INDEX(FILTER('RE Portfolio'!L$2:L2000,'RE Portfolio'!D$2:D2000=""BUY""), INT((ROW()-2)/amortYears)+1"&amp;")
   )
)
"),14460.458155562548)</f>
        <v>14460.45816</v>
      </c>
      <c r="L736" s="15">
        <f>IFERROR(__xludf.DUMMYFUNCTION("IF(A736="""","""",
  INDEX(FILTER('RE Portfolio'!C$2:C2000,'RE Portfolio'!D$2:D2000=""BUY""), INT((ROW()-2)/amortYears)+1)
  * (1 + VALUE(Assumptions!$B$11))^(D736-1)
)
"),1321903.6671083013)</f>
        <v>1321903.667</v>
      </c>
    </row>
    <row r="737">
      <c r="A737" s="15">
        <f>IFERROR(__xludf.DUMMYFUNCTION("IFERROR(INDEX(FILTER('RE Portfolio'!A$2:A2000,'RE Portfolio'!D$2:D2000=""BUY""), INT((ROW()-2)/amortYears)+1), )
"),20.0)</f>
        <v>20</v>
      </c>
      <c r="B737" s="15">
        <f>IFERROR(__xludf.DUMMYFUNCTION("IFERROR(INDEX(FILTER('RE Portfolio'!B$2:B2000,'RE Portfolio'!D$2:D2000=""BUY""), INT((ROW()-2)/amortYears)+1), )
"),65.0)</f>
        <v>65</v>
      </c>
      <c r="C737" s="15">
        <f>IFERROR(__xludf.DUMMYFUNCTION("IFERROR(INDEX(FILTER('RE Portfolio'!G$2:G2000,'RE Portfolio'!D$2:D2000=""BUY""), INT((ROW()-2)/amortYears)+1), )
"),619242.8477286852)</f>
        <v>619242.8477</v>
      </c>
      <c r="D737" s="15">
        <f>MOD(ROW()-2, amortYears)+1</f>
        <v>14</v>
      </c>
      <c r="E737" s="15">
        <f t="shared" si="1"/>
        <v>78</v>
      </c>
      <c r="F737" s="16">
        <f t="shared" si="2"/>
        <v>482546.4415</v>
      </c>
      <c r="G737" s="16">
        <f>IF(D737&lt;=mortTerm, -PMT(mortRate/12, mortTerm*12, C737)*12, 0)
</f>
        <v>46968.43234</v>
      </c>
      <c r="H737" s="16">
        <f>IF(D737&lt;=mortTerm, G737 - I737, 0)
</f>
        <v>30892.18583</v>
      </c>
      <c r="I737" s="16">
        <f>IF(D737&lt;=mortTerm, F737 - J737, 0)
</f>
        <v>16076.24651</v>
      </c>
      <c r="J737" s="16">
        <f>IF(D737&lt;=mortTerm,
   F737*(1+mortRate/12)^12 - (-PMT(mortRate/12, mortTerm*12, C737))*(((1+mortRate/12)^12 - 1)/(mortRate/12)),
   0
)
</f>
        <v>466470.195</v>
      </c>
      <c r="K737" s="13">
        <f>IFERROR(__xludf.DUMMYFUNCTION("IF(A737="""","""",
   IF(F737&gt;0,
      INDEX(FILTER('RE Portfolio'!L$2:L2000,'RE Portfolio'!D$2:D2000=""BUY""), INT((ROW()-2)/amortYears)+1) - G737,
      INDEX(FILTER('RE Portfolio'!L$2:L2000,'RE Portfolio'!D$2:D2000=""BUY""), INT((ROW()-2)/amortYears)+1"&amp;")
   )
)
"),14460.458155562548)</f>
        <v>14460.45816</v>
      </c>
      <c r="L737" s="15">
        <f>IFERROR(__xludf.DUMMYFUNCTION("IF(A737="""","""",
  INDEX(FILTER('RE Portfolio'!C$2:C2000,'RE Portfolio'!D$2:D2000=""BUY""), INT((ROW()-2)/amortYears)+1)
  * (1 + VALUE(Assumptions!$B$11))^(D737-1)
)
"),1374779.8137926334)</f>
        <v>1374779.814</v>
      </c>
    </row>
    <row r="738">
      <c r="A738" s="15">
        <f>IFERROR(__xludf.DUMMYFUNCTION("IFERROR(INDEX(FILTER('RE Portfolio'!A$2:A2000,'RE Portfolio'!D$2:D2000=""BUY""), INT((ROW()-2)/amortYears)+1), )
"),20.0)</f>
        <v>20</v>
      </c>
      <c r="B738" s="15">
        <f>IFERROR(__xludf.DUMMYFUNCTION("IFERROR(INDEX(FILTER('RE Portfolio'!B$2:B2000,'RE Portfolio'!D$2:D2000=""BUY""), INT((ROW()-2)/amortYears)+1), )
"),65.0)</f>
        <v>65</v>
      </c>
      <c r="C738" s="15">
        <f>IFERROR(__xludf.DUMMYFUNCTION("IFERROR(INDEX(FILTER('RE Portfolio'!G$2:G2000,'RE Portfolio'!D$2:D2000=""BUY""), INT((ROW()-2)/amortYears)+1), )
"),619242.8477286852)</f>
        <v>619242.8477</v>
      </c>
      <c r="D738" s="15">
        <f>MOD(ROW()-2, amortYears)+1</f>
        <v>15</v>
      </c>
      <c r="E738" s="15">
        <f t="shared" si="1"/>
        <v>79</v>
      </c>
      <c r="F738" s="16">
        <f t="shared" si="2"/>
        <v>466470.195</v>
      </c>
      <c r="G738" s="16">
        <f>IF(D738&lt;=mortTerm, -PMT(mortRate/12, mortTerm*12, C738)*12, 0)
</f>
        <v>46968.43234</v>
      </c>
      <c r="H738" s="16">
        <f>IF(D738&lt;=mortTerm, G738 - I738, 0)
</f>
        <v>29815.52983</v>
      </c>
      <c r="I738" s="16">
        <f>IF(D738&lt;=mortTerm, F738 - J738, 0)
</f>
        <v>17152.90251</v>
      </c>
      <c r="J738" s="16">
        <f>IF(D738&lt;=mortTerm,
   F738*(1+mortRate/12)^12 - (-PMT(mortRate/12, mortTerm*12, C738))*(((1+mortRate/12)^12 - 1)/(mortRate/12)),
   0
)
</f>
        <v>449317.2925</v>
      </c>
      <c r="K738" s="13">
        <f>IFERROR(__xludf.DUMMYFUNCTION("IF(A738="""","""",
   IF(F738&gt;0,
      INDEX(FILTER('RE Portfolio'!L$2:L2000,'RE Portfolio'!D$2:D2000=""BUY""), INT((ROW()-2)/amortYears)+1) - G738,
      INDEX(FILTER('RE Portfolio'!L$2:L2000,'RE Portfolio'!D$2:D2000=""BUY""), INT((ROW()-2)/amortYears)+1"&amp;")
   )
)
"),14460.458155562548)</f>
        <v>14460.45816</v>
      </c>
      <c r="L738" s="15">
        <f>IFERROR(__xludf.DUMMYFUNCTION("IF(A738="""","""",
  INDEX(FILTER('RE Portfolio'!C$2:C2000,'RE Portfolio'!D$2:D2000=""BUY""), INT((ROW()-2)/amortYears)+1)
  * (1 + VALUE(Assumptions!$B$11))^(D738-1)
)
"),1429771.0063443389)</f>
        <v>1429771.006</v>
      </c>
    </row>
    <row r="739">
      <c r="A739" s="15">
        <f>IFERROR(__xludf.DUMMYFUNCTION("IFERROR(INDEX(FILTER('RE Portfolio'!A$2:A2000,'RE Portfolio'!D$2:D2000=""BUY""), INT((ROW()-2)/amortYears)+1), )
"),20.0)</f>
        <v>20</v>
      </c>
      <c r="B739" s="15">
        <f>IFERROR(__xludf.DUMMYFUNCTION("IFERROR(INDEX(FILTER('RE Portfolio'!B$2:B2000,'RE Portfolio'!D$2:D2000=""BUY""), INT((ROW()-2)/amortYears)+1), )
"),65.0)</f>
        <v>65</v>
      </c>
      <c r="C739" s="15">
        <f>IFERROR(__xludf.DUMMYFUNCTION("IFERROR(INDEX(FILTER('RE Portfolio'!G$2:G2000,'RE Portfolio'!D$2:D2000=""BUY""), INT((ROW()-2)/amortYears)+1), )
"),619242.8477286852)</f>
        <v>619242.8477</v>
      </c>
      <c r="D739" s="15">
        <f>MOD(ROW()-2, amortYears)+1</f>
        <v>16</v>
      </c>
      <c r="E739" s="15">
        <f t="shared" si="1"/>
        <v>80</v>
      </c>
      <c r="F739" s="16">
        <f t="shared" si="2"/>
        <v>449317.2925</v>
      </c>
      <c r="G739" s="16">
        <f>IF(D739&lt;=mortTerm, -PMT(mortRate/12, mortTerm*12, C739)*12, 0)
</f>
        <v>46968.43234</v>
      </c>
      <c r="H739" s="16">
        <f>IF(D739&lt;=mortTerm, G739 - I739, 0)
</f>
        <v>28666.76818</v>
      </c>
      <c r="I739" s="16">
        <f>IF(D739&lt;=mortTerm, F739 - J739, 0)
</f>
        <v>18301.66416</v>
      </c>
      <c r="J739" s="16">
        <f>IF(D739&lt;=mortTerm,
   F739*(1+mortRate/12)^12 - (-PMT(mortRate/12, mortTerm*12, C739))*(((1+mortRate/12)^12 - 1)/(mortRate/12)),
   0
)
</f>
        <v>431015.6283</v>
      </c>
      <c r="K739" s="13">
        <f>IFERROR(__xludf.DUMMYFUNCTION("IF(A739="""","""",
   IF(F739&gt;0,
      INDEX(FILTER('RE Portfolio'!L$2:L2000,'RE Portfolio'!D$2:D2000=""BUY""), INT((ROW()-2)/amortYears)+1) - G739,
      INDEX(FILTER('RE Portfolio'!L$2:L2000,'RE Portfolio'!D$2:D2000=""BUY""), INT((ROW()-2)/amortYears)+1"&amp;")
   )
)
"),14460.458155562548)</f>
        <v>14460.45816</v>
      </c>
      <c r="L739" s="15">
        <f>IFERROR(__xludf.DUMMYFUNCTION("IF(A739="""","""",
  INDEX(FILTER('RE Portfolio'!C$2:C2000,'RE Portfolio'!D$2:D2000=""BUY""), INT((ROW()-2)/amortYears)+1)
  * (1 + VALUE(Assumptions!$B$11))^(D739-1)
)
"),1486961.8465981123)</f>
        <v>1486961.847</v>
      </c>
    </row>
    <row r="740">
      <c r="A740" s="15">
        <f>IFERROR(__xludf.DUMMYFUNCTION("IFERROR(INDEX(FILTER('RE Portfolio'!A$2:A2000,'RE Portfolio'!D$2:D2000=""BUY""), INT((ROW()-2)/amortYears)+1), )
"),20.0)</f>
        <v>20</v>
      </c>
      <c r="B740" s="15">
        <f>IFERROR(__xludf.DUMMYFUNCTION("IFERROR(INDEX(FILTER('RE Portfolio'!B$2:B2000,'RE Portfolio'!D$2:D2000=""BUY""), INT((ROW()-2)/amortYears)+1), )
"),65.0)</f>
        <v>65</v>
      </c>
      <c r="C740" s="15">
        <f>IFERROR(__xludf.DUMMYFUNCTION("IFERROR(INDEX(FILTER('RE Portfolio'!G$2:G2000,'RE Portfolio'!D$2:D2000=""BUY""), INT((ROW()-2)/amortYears)+1), )
"),619242.8477286852)</f>
        <v>619242.8477</v>
      </c>
      <c r="D740" s="15">
        <f>MOD(ROW()-2, amortYears)+1</f>
        <v>17</v>
      </c>
      <c r="E740" s="15">
        <f t="shared" si="1"/>
        <v>81</v>
      </c>
      <c r="F740" s="16">
        <f t="shared" si="2"/>
        <v>431015.6283</v>
      </c>
      <c r="G740" s="16">
        <f>IF(D740&lt;=mortTerm, -PMT(mortRate/12, mortTerm*12, C740)*12, 0)
</f>
        <v>46968.43234</v>
      </c>
      <c r="H740" s="16">
        <f>IF(D740&lt;=mortTerm, G740 - I740, 0)
</f>
        <v>27441.07183</v>
      </c>
      <c r="I740" s="16">
        <f>IF(D740&lt;=mortTerm, F740 - J740, 0)
</f>
        <v>19527.36051</v>
      </c>
      <c r="J740" s="16">
        <f>IF(D740&lt;=mortTerm,
   F740*(1+mortRate/12)^12 - (-PMT(mortRate/12, mortTerm*12, C740))*(((1+mortRate/12)^12 - 1)/(mortRate/12)),
   0
)
</f>
        <v>411488.2678</v>
      </c>
      <c r="K740" s="13">
        <f>IFERROR(__xludf.DUMMYFUNCTION("IF(A740="""","""",
   IF(F740&gt;0,
      INDEX(FILTER('RE Portfolio'!L$2:L2000,'RE Portfolio'!D$2:D2000=""BUY""), INT((ROW()-2)/amortYears)+1) - G740,
      INDEX(FILTER('RE Portfolio'!L$2:L2000,'RE Portfolio'!D$2:D2000=""BUY""), INT((ROW()-2)/amortYears)+1"&amp;")
   )
)
"),14460.458155562548)</f>
        <v>14460.45816</v>
      </c>
      <c r="L740" s="15">
        <f>IFERROR(__xludf.DUMMYFUNCTION("IF(A740="""","""",
  INDEX(FILTER('RE Portfolio'!C$2:C2000,'RE Portfolio'!D$2:D2000=""BUY""), INT((ROW()-2)/amortYears)+1)
  * (1 + VALUE(Assumptions!$B$11))^(D740-1)
)
"),1546440.3204620369)</f>
        <v>1546440.32</v>
      </c>
    </row>
    <row r="741">
      <c r="A741" s="15">
        <f>IFERROR(__xludf.DUMMYFUNCTION("IFERROR(INDEX(FILTER('RE Portfolio'!A$2:A2000,'RE Portfolio'!D$2:D2000=""BUY""), INT((ROW()-2)/amortYears)+1), )
"),20.0)</f>
        <v>20</v>
      </c>
      <c r="B741" s="15">
        <f>IFERROR(__xludf.DUMMYFUNCTION("IFERROR(INDEX(FILTER('RE Portfolio'!B$2:B2000,'RE Portfolio'!D$2:D2000=""BUY""), INT((ROW()-2)/amortYears)+1), )
"),65.0)</f>
        <v>65</v>
      </c>
      <c r="C741" s="15">
        <f>IFERROR(__xludf.DUMMYFUNCTION("IFERROR(INDEX(FILTER('RE Portfolio'!G$2:G2000,'RE Portfolio'!D$2:D2000=""BUY""), INT((ROW()-2)/amortYears)+1), )
"),619242.8477286852)</f>
        <v>619242.8477</v>
      </c>
      <c r="D741" s="15">
        <f>MOD(ROW()-2, amortYears)+1</f>
        <v>18</v>
      </c>
      <c r="E741" s="15">
        <f t="shared" si="1"/>
        <v>82</v>
      </c>
      <c r="F741" s="16">
        <f t="shared" si="2"/>
        <v>411488.2678</v>
      </c>
      <c r="G741" s="16">
        <f>IF(D741&lt;=mortTerm, -PMT(mortRate/12, mortTerm*12, C741)*12, 0)
</f>
        <v>46968.43234</v>
      </c>
      <c r="H741" s="16">
        <f>IF(D741&lt;=mortTerm, G741 - I741, 0)
</f>
        <v>26133.28834</v>
      </c>
      <c r="I741" s="16">
        <f>IF(D741&lt;=mortTerm, F741 - J741, 0)
</f>
        <v>20835.144</v>
      </c>
      <c r="J741" s="16">
        <f>IF(D741&lt;=mortTerm,
   F741*(1+mortRate/12)^12 - (-PMT(mortRate/12, mortTerm*12, C741))*(((1+mortRate/12)^12 - 1)/(mortRate/12)),
   0
)
</f>
        <v>390653.1238</v>
      </c>
      <c r="K741" s="13">
        <f>IFERROR(__xludf.DUMMYFUNCTION("IF(A741="""","""",
   IF(F741&gt;0,
      INDEX(FILTER('RE Portfolio'!L$2:L2000,'RE Portfolio'!D$2:D2000=""BUY""), INT((ROW()-2)/amortYears)+1) - G741,
      INDEX(FILTER('RE Portfolio'!L$2:L2000,'RE Portfolio'!D$2:D2000=""BUY""), INT((ROW()-2)/amortYears)+1"&amp;")
   )
)
"),14460.458155562548)</f>
        <v>14460.45816</v>
      </c>
      <c r="L741" s="15">
        <f>IFERROR(__xludf.DUMMYFUNCTION("IF(A741="""","""",
  INDEX(FILTER('RE Portfolio'!C$2:C2000,'RE Portfolio'!D$2:D2000=""BUY""), INT((ROW()-2)/amortYears)+1)
  * (1 + VALUE(Assumptions!$B$11))^(D741-1)
)
"),1608297.9332805185)</f>
        <v>1608297.933</v>
      </c>
    </row>
    <row r="742">
      <c r="A742" s="15">
        <f>IFERROR(__xludf.DUMMYFUNCTION("IFERROR(INDEX(FILTER('RE Portfolio'!A$2:A2000,'RE Portfolio'!D$2:D2000=""BUY""), INT((ROW()-2)/amortYears)+1), )
"),20.0)</f>
        <v>20</v>
      </c>
      <c r="B742" s="15">
        <f>IFERROR(__xludf.DUMMYFUNCTION("IFERROR(INDEX(FILTER('RE Portfolio'!B$2:B2000,'RE Portfolio'!D$2:D2000=""BUY""), INT((ROW()-2)/amortYears)+1), )
"),65.0)</f>
        <v>65</v>
      </c>
      <c r="C742" s="15">
        <f>IFERROR(__xludf.DUMMYFUNCTION("IFERROR(INDEX(FILTER('RE Portfolio'!G$2:G2000,'RE Portfolio'!D$2:D2000=""BUY""), INT((ROW()-2)/amortYears)+1), )
"),619242.8477286852)</f>
        <v>619242.8477</v>
      </c>
      <c r="D742" s="15">
        <f>MOD(ROW()-2, amortYears)+1</f>
        <v>19</v>
      </c>
      <c r="E742" s="15">
        <f t="shared" si="1"/>
        <v>83</v>
      </c>
      <c r="F742" s="16">
        <f t="shared" si="2"/>
        <v>390653.1238</v>
      </c>
      <c r="G742" s="16">
        <f>IF(D742&lt;=mortTerm, -PMT(mortRate/12, mortTerm*12, C742)*12, 0)
</f>
        <v>46968.43234</v>
      </c>
      <c r="H742" s="16">
        <f>IF(D742&lt;=mortTerm, G742 - I742, 0)
</f>
        <v>24737.92016</v>
      </c>
      <c r="I742" s="16">
        <f>IF(D742&lt;=mortTerm, F742 - J742, 0)
</f>
        <v>22230.51218</v>
      </c>
      <c r="J742" s="16">
        <f>IF(D742&lt;=mortTerm,
   F742*(1+mortRate/12)^12 - (-PMT(mortRate/12, mortTerm*12, C742))*(((1+mortRate/12)^12 - 1)/(mortRate/12)),
   0
)
</f>
        <v>368422.6116</v>
      </c>
      <c r="K742" s="13">
        <f>IFERROR(__xludf.DUMMYFUNCTION("IF(A742="""","""",
   IF(F742&gt;0,
      INDEX(FILTER('RE Portfolio'!L$2:L2000,'RE Portfolio'!D$2:D2000=""BUY""), INT((ROW()-2)/amortYears)+1) - G742,
      INDEX(FILTER('RE Portfolio'!L$2:L2000,'RE Portfolio'!D$2:D2000=""BUY""), INT((ROW()-2)/amortYears)+1"&amp;")
   )
)
"),14460.458155562548)</f>
        <v>14460.45816</v>
      </c>
      <c r="L742" s="15">
        <f>IFERROR(__xludf.DUMMYFUNCTION("IF(A742="""","""",
  INDEX(FILTER('RE Portfolio'!C$2:C2000,'RE Portfolio'!D$2:D2000=""BUY""), INT((ROW()-2)/amortYears)+1)
  * (1 + VALUE(Assumptions!$B$11))^(D742-1)
)
"),1672629.8506117393)</f>
        <v>1672629.851</v>
      </c>
    </row>
    <row r="743">
      <c r="A743" s="15">
        <f>IFERROR(__xludf.DUMMYFUNCTION("IFERROR(INDEX(FILTER('RE Portfolio'!A$2:A2000,'RE Portfolio'!D$2:D2000=""BUY""), INT((ROW()-2)/amortYears)+1), )
"),20.0)</f>
        <v>20</v>
      </c>
      <c r="B743" s="15">
        <f>IFERROR(__xludf.DUMMYFUNCTION("IFERROR(INDEX(FILTER('RE Portfolio'!B$2:B2000,'RE Portfolio'!D$2:D2000=""BUY""), INT((ROW()-2)/amortYears)+1), )
"),65.0)</f>
        <v>65</v>
      </c>
      <c r="C743" s="15">
        <f>IFERROR(__xludf.DUMMYFUNCTION("IFERROR(INDEX(FILTER('RE Portfolio'!G$2:G2000,'RE Portfolio'!D$2:D2000=""BUY""), INT((ROW()-2)/amortYears)+1), )
"),619242.8477286852)</f>
        <v>619242.8477</v>
      </c>
      <c r="D743" s="15">
        <f>MOD(ROW()-2, amortYears)+1</f>
        <v>20</v>
      </c>
      <c r="E743" s="15">
        <f t="shared" si="1"/>
        <v>84</v>
      </c>
      <c r="F743" s="16">
        <f t="shared" si="2"/>
        <v>368422.6116</v>
      </c>
      <c r="G743" s="16">
        <f>IF(D743&lt;=mortTerm, -PMT(mortRate/12, mortTerm*12, C743)*12, 0)
</f>
        <v>46968.43234</v>
      </c>
      <c r="H743" s="16">
        <f>IF(D743&lt;=mortTerm, G743 - I743, 0)
</f>
        <v>23249.10158</v>
      </c>
      <c r="I743" s="16">
        <f>IF(D743&lt;=mortTerm, F743 - J743, 0)
</f>
        <v>23719.33076</v>
      </c>
      <c r="J743" s="16">
        <f>IF(D743&lt;=mortTerm,
   F743*(1+mortRate/12)^12 - (-PMT(mortRate/12, mortTerm*12, C743))*(((1+mortRate/12)^12 - 1)/(mortRate/12)),
   0
)
</f>
        <v>344703.2809</v>
      </c>
      <c r="K743" s="13">
        <f>IFERROR(__xludf.DUMMYFUNCTION("IF(A743="""","""",
   IF(F743&gt;0,
      INDEX(FILTER('RE Portfolio'!L$2:L2000,'RE Portfolio'!D$2:D2000=""BUY""), INT((ROW()-2)/amortYears)+1) - G743,
      INDEX(FILTER('RE Portfolio'!L$2:L2000,'RE Portfolio'!D$2:D2000=""BUY""), INT((ROW()-2)/amortYears)+1"&amp;")
   )
)
"),14460.458155562548)</f>
        <v>14460.45816</v>
      </c>
      <c r="L743" s="15">
        <f>IFERROR(__xludf.DUMMYFUNCTION("IF(A743="""","""",
  INDEX(FILTER('RE Portfolio'!C$2:C2000,'RE Portfolio'!D$2:D2000=""BUY""), INT((ROW()-2)/amortYears)+1)
  * (1 + VALUE(Assumptions!$B$11))^(D743-1)
)
"),1739535.0446362088)</f>
        <v>1739535.045</v>
      </c>
    </row>
    <row r="744">
      <c r="A744" s="15">
        <f>IFERROR(__xludf.DUMMYFUNCTION("IFERROR(INDEX(FILTER('RE Portfolio'!A$2:A2000,'RE Portfolio'!D$2:D2000=""BUY""), INT((ROW()-2)/amortYears)+1), )
"),20.0)</f>
        <v>20</v>
      </c>
      <c r="B744" s="15">
        <f>IFERROR(__xludf.DUMMYFUNCTION("IFERROR(INDEX(FILTER('RE Portfolio'!B$2:B2000,'RE Portfolio'!D$2:D2000=""BUY""), INT((ROW()-2)/amortYears)+1), )
"),65.0)</f>
        <v>65</v>
      </c>
      <c r="C744" s="15">
        <f>IFERROR(__xludf.DUMMYFUNCTION("IFERROR(INDEX(FILTER('RE Portfolio'!G$2:G2000,'RE Portfolio'!D$2:D2000=""BUY""), INT((ROW()-2)/amortYears)+1), )
"),619242.8477286852)</f>
        <v>619242.8477</v>
      </c>
      <c r="D744" s="15">
        <f>MOD(ROW()-2, amortYears)+1</f>
        <v>21</v>
      </c>
      <c r="E744" s="15">
        <f t="shared" si="1"/>
        <v>85</v>
      </c>
      <c r="F744" s="16">
        <f t="shared" si="2"/>
        <v>344703.2809</v>
      </c>
      <c r="G744" s="16">
        <f>IF(D744&lt;=mortTerm, -PMT(mortRate/12, mortTerm*12, C744)*12, 0)
</f>
        <v>46968.43234</v>
      </c>
      <c r="H744" s="16">
        <f>IF(D744&lt;=mortTerm, G744 - I744, 0)
</f>
        <v>21660.57407</v>
      </c>
      <c r="I744" s="16">
        <f>IF(D744&lt;=mortTerm, F744 - J744, 0)
</f>
        <v>25307.85827</v>
      </c>
      <c r="J744" s="16">
        <f>IF(D744&lt;=mortTerm,
   F744*(1+mortRate/12)^12 - (-PMT(mortRate/12, mortTerm*12, C744))*(((1+mortRate/12)^12 - 1)/(mortRate/12)),
   0
)
</f>
        <v>319395.4226</v>
      </c>
      <c r="K744" s="13">
        <f>IFERROR(__xludf.DUMMYFUNCTION("IF(A744="""","""",
   IF(F744&gt;0,
      INDEX(FILTER('RE Portfolio'!L$2:L2000,'RE Portfolio'!D$2:D2000=""BUY""), INT((ROW()-2)/amortYears)+1) - G744,
      INDEX(FILTER('RE Portfolio'!L$2:L2000,'RE Portfolio'!D$2:D2000=""BUY""), INT((ROW()-2)/amortYears)+1"&amp;")
   )
)
"),14460.458155562548)</f>
        <v>14460.45816</v>
      </c>
      <c r="L744" s="15">
        <f>IFERROR(__xludf.DUMMYFUNCTION("IF(A744="""","""",
  INDEX(FILTER('RE Portfolio'!C$2:C2000,'RE Portfolio'!D$2:D2000=""BUY""), INT((ROW()-2)/amortYears)+1)
  * (1 + VALUE(Assumptions!$B$11))^(D744-1)
)
"),1809116.4464216572)</f>
        <v>1809116.446</v>
      </c>
    </row>
    <row r="745">
      <c r="A745" s="15">
        <f>IFERROR(__xludf.DUMMYFUNCTION("IFERROR(INDEX(FILTER('RE Portfolio'!A$2:A2000,'RE Portfolio'!D$2:D2000=""BUY""), INT((ROW()-2)/amortYears)+1), )
"),20.0)</f>
        <v>20</v>
      </c>
      <c r="B745" s="15">
        <f>IFERROR(__xludf.DUMMYFUNCTION("IFERROR(INDEX(FILTER('RE Portfolio'!B$2:B2000,'RE Portfolio'!D$2:D2000=""BUY""), INT((ROW()-2)/amortYears)+1), )
"),65.0)</f>
        <v>65</v>
      </c>
      <c r="C745" s="15">
        <f>IFERROR(__xludf.DUMMYFUNCTION("IFERROR(INDEX(FILTER('RE Portfolio'!G$2:G2000,'RE Portfolio'!D$2:D2000=""BUY""), INT((ROW()-2)/amortYears)+1), )
"),619242.8477286852)</f>
        <v>619242.8477</v>
      </c>
      <c r="D745" s="15">
        <f>MOD(ROW()-2, amortYears)+1</f>
        <v>22</v>
      </c>
      <c r="E745" s="15">
        <f t="shared" si="1"/>
        <v>86</v>
      </c>
      <c r="F745" s="16">
        <f t="shared" si="2"/>
        <v>319395.4226</v>
      </c>
      <c r="G745" s="16">
        <f>IF(D745&lt;=mortTerm, -PMT(mortRate/12, mortTerm*12, C745)*12, 0)
</f>
        <v>46968.43234</v>
      </c>
      <c r="H745" s="16">
        <f>IF(D745&lt;=mortTerm, G745 - I745, 0)
</f>
        <v>19965.65994</v>
      </c>
      <c r="I745" s="16">
        <f>IF(D745&lt;=mortTerm, F745 - J745, 0)
</f>
        <v>27002.7724</v>
      </c>
      <c r="J745" s="16">
        <f>IF(D745&lt;=mortTerm,
   F745*(1+mortRate/12)^12 - (-PMT(mortRate/12, mortTerm*12, C745))*(((1+mortRate/12)^12 - 1)/(mortRate/12)),
   0
)
</f>
        <v>292392.6502</v>
      </c>
      <c r="K745" s="13">
        <f>IFERROR(__xludf.DUMMYFUNCTION("IF(A745="""","""",
   IF(F745&gt;0,
      INDEX(FILTER('RE Portfolio'!L$2:L2000,'RE Portfolio'!D$2:D2000=""BUY""), INT((ROW()-2)/amortYears)+1) - G745,
      INDEX(FILTER('RE Portfolio'!L$2:L2000,'RE Portfolio'!D$2:D2000=""BUY""), INT((ROW()-2)/amortYears)+1"&amp;")
   )
)
"),14460.458155562548)</f>
        <v>14460.45816</v>
      </c>
      <c r="L745" s="15">
        <f>IFERROR(__xludf.DUMMYFUNCTION("IF(A745="""","""",
  INDEX(FILTER('RE Portfolio'!C$2:C2000,'RE Portfolio'!D$2:D2000=""BUY""), INT((ROW()-2)/amortYears)+1)
  * (1 + VALUE(Assumptions!$B$11))^(D745-1)
)
"),1881481.1042785237)</f>
        <v>1881481.104</v>
      </c>
    </row>
    <row r="746">
      <c r="A746" s="15">
        <f>IFERROR(__xludf.DUMMYFUNCTION("IFERROR(INDEX(FILTER('RE Portfolio'!A$2:A2000,'RE Portfolio'!D$2:D2000=""BUY""), INT((ROW()-2)/amortYears)+1), )
"),20.0)</f>
        <v>20</v>
      </c>
      <c r="B746" s="15">
        <f>IFERROR(__xludf.DUMMYFUNCTION("IFERROR(INDEX(FILTER('RE Portfolio'!B$2:B2000,'RE Portfolio'!D$2:D2000=""BUY""), INT((ROW()-2)/amortYears)+1), )
"),65.0)</f>
        <v>65</v>
      </c>
      <c r="C746" s="15">
        <f>IFERROR(__xludf.DUMMYFUNCTION("IFERROR(INDEX(FILTER('RE Portfolio'!G$2:G2000,'RE Portfolio'!D$2:D2000=""BUY""), INT((ROW()-2)/amortYears)+1), )
"),619242.8477286852)</f>
        <v>619242.8477</v>
      </c>
      <c r="D746" s="15">
        <f>MOD(ROW()-2, amortYears)+1</f>
        <v>23</v>
      </c>
      <c r="E746" s="15">
        <f t="shared" si="1"/>
        <v>87</v>
      </c>
      <c r="F746" s="16">
        <f t="shared" si="2"/>
        <v>292392.6502</v>
      </c>
      <c r="G746" s="16">
        <f>IF(D746&lt;=mortTerm, -PMT(mortRate/12, mortTerm*12, C746)*12, 0)
</f>
        <v>46968.43234</v>
      </c>
      <c r="H746" s="16">
        <f>IF(D746&lt;=mortTerm, G746 - I746, 0)
</f>
        <v>18157.23426</v>
      </c>
      <c r="I746" s="16">
        <f>IF(D746&lt;=mortTerm, F746 - J746, 0)
</f>
        <v>28811.19808</v>
      </c>
      <c r="J746" s="16">
        <f>IF(D746&lt;=mortTerm,
   F746*(1+mortRate/12)^12 - (-PMT(mortRate/12, mortTerm*12, C746))*(((1+mortRate/12)^12 - 1)/(mortRate/12)),
   0
)
</f>
        <v>263581.4521</v>
      </c>
      <c r="K746" s="13">
        <f>IFERROR(__xludf.DUMMYFUNCTION("IF(A746="""","""",
   IF(F746&gt;0,
      INDEX(FILTER('RE Portfolio'!L$2:L2000,'RE Portfolio'!D$2:D2000=""BUY""), INT((ROW()-2)/amortYears)+1) - G746,
      INDEX(FILTER('RE Portfolio'!L$2:L2000,'RE Portfolio'!D$2:D2000=""BUY""), INT((ROW()-2)/amortYears)+1"&amp;")
   )
)
"),14460.458155562548)</f>
        <v>14460.45816</v>
      </c>
      <c r="L746" s="15">
        <f>IFERROR(__xludf.DUMMYFUNCTION("IF(A746="""","""",
  INDEX(FILTER('RE Portfolio'!C$2:C2000,'RE Portfolio'!D$2:D2000=""BUY""), INT((ROW()-2)/amortYears)+1)
  * (1 + VALUE(Assumptions!$B$11))^(D746-1)
)
"),1956740.3484496644)</f>
        <v>1956740.348</v>
      </c>
    </row>
    <row r="747">
      <c r="A747" s="15">
        <f>IFERROR(__xludf.DUMMYFUNCTION("IFERROR(INDEX(FILTER('RE Portfolio'!A$2:A2000,'RE Portfolio'!D$2:D2000=""BUY""), INT((ROW()-2)/amortYears)+1), )
"),20.0)</f>
        <v>20</v>
      </c>
      <c r="B747" s="15">
        <f>IFERROR(__xludf.DUMMYFUNCTION("IFERROR(INDEX(FILTER('RE Portfolio'!B$2:B2000,'RE Portfolio'!D$2:D2000=""BUY""), INT((ROW()-2)/amortYears)+1), )
"),65.0)</f>
        <v>65</v>
      </c>
      <c r="C747" s="15">
        <f>IFERROR(__xludf.DUMMYFUNCTION("IFERROR(INDEX(FILTER('RE Portfolio'!G$2:G2000,'RE Portfolio'!D$2:D2000=""BUY""), INT((ROW()-2)/amortYears)+1), )
"),619242.8477286852)</f>
        <v>619242.8477</v>
      </c>
      <c r="D747" s="15">
        <f>MOD(ROW()-2, amortYears)+1</f>
        <v>24</v>
      </c>
      <c r="E747" s="15">
        <f t="shared" si="1"/>
        <v>88</v>
      </c>
      <c r="F747" s="16">
        <f t="shared" si="2"/>
        <v>263581.4521</v>
      </c>
      <c r="G747" s="16">
        <f>IF(D747&lt;=mortTerm, -PMT(mortRate/12, mortTerm*12, C747)*12, 0)
</f>
        <v>46968.43234</v>
      </c>
      <c r="H747" s="16">
        <f>IF(D747&lt;=mortTerm, G747 - I747, 0)
</f>
        <v>16227.69496</v>
      </c>
      <c r="I747" s="16">
        <f>IF(D747&lt;=mortTerm, F747 - J747, 0)
</f>
        <v>30740.73737</v>
      </c>
      <c r="J747" s="16">
        <f>IF(D747&lt;=mortTerm,
   F747*(1+mortRate/12)^12 - (-PMT(mortRate/12, mortTerm*12, C747))*(((1+mortRate/12)^12 - 1)/(mortRate/12)),
   0
)
</f>
        <v>232840.7147</v>
      </c>
      <c r="K747" s="13">
        <f>IFERROR(__xludf.DUMMYFUNCTION("IF(A747="""","""",
   IF(F747&gt;0,
      INDEX(FILTER('RE Portfolio'!L$2:L2000,'RE Portfolio'!D$2:D2000=""BUY""), INT((ROW()-2)/amortYears)+1) - G747,
      INDEX(FILTER('RE Portfolio'!L$2:L2000,'RE Portfolio'!D$2:D2000=""BUY""), INT((ROW()-2)/amortYears)+1"&amp;")
   )
)
"),14460.458155562548)</f>
        <v>14460.45816</v>
      </c>
      <c r="L747" s="15">
        <f>IFERROR(__xludf.DUMMYFUNCTION("IF(A747="""","""",
  INDEX(FILTER('RE Portfolio'!C$2:C2000,'RE Portfolio'!D$2:D2000=""BUY""), INT((ROW()-2)/amortYears)+1)
  * (1 + VALUE(Assumptions!$B$11))^(D747-1)
)
"),2035009.9623876514)</f>
        <v>2035009.962</v>
      </c>
    </row>
    <row r="748">
      <c r="A748" s="15">
        <f>IFERROR(__xludf.DUMMYFUNCTION("IFERROR(INDEX(FILTER('RE Portfolio'!A$2:A2000,'RE Portfolio'!D$2:D2000=""BUY""), INT((ROW()-2)/amortYears)+1), )
"),20.0)</f>
        <v>20</v>
      </c>
      <c r="B748" s="15">
        <f>IFERROR(__xludf.DUMMYFUNCTION("IFERROR(INDEX(FILTER('RE Portfolio'!B$2:B2000,'RE Portfolio'!D$2:D2000=""BUY""), INT((ROW()-2)/amortYears)+1), )
"),65.0)</f>
        <v>65</v>
      </c>
      <c r="C748" s="15">
        <f>IFERROR(__xludf.DUMMYFUNCTION("IFERROR(INDEX(FILTER('RE Portfolio'!G$2:G2000,'RE Portfolio'!D$2:D2000=""BUY""), INT((ROW()-2)/amortYears)+1), )
"),619242.8477286852)</f>
        <v>619242.8477</v>
      </c>
      <c r="D748" s="15">
        <f>MOD(ROW()-2, amortYears)+1</f>
        <v>25</v>
      </c>
      <c r="E748" s="15">
        <f t="shared" si="1"/>
        <v>89</v>
      </c>
      <c r="F748" s="16">
        <f t="shared" si="2"/>
        <v>232840.7147</v>
      </c>
      <c r="G748" s="16">
        <f>IF(D748&lt;=mortTerm, -PMT(mortRate/12, mortTerm*12, C748)*12, 0)
</f>
        <v>46968.43234</v>
      </c>
      <c r="H748" s="16">
        <f>IF(D748&lt;=mortTerm, G748 - I748, 0)
</f>
        <v>14168.93085</v>
      </c>
      <c r="I748" s="16">
        <f>IF(D748&lt;=mortTerm, F748 - J748, 0)
</f>
        <v>32799.50149</v>
      </c>
      <c r="J748" s="16">
        <f>IF(D748&lt;=mortTerm,
   F748*(1+mortRate/12)^12 - (-PMT(mortRate/12, mortTerm*12, C748))*(((1+mortRate/12)^12 - 1)/(mortRate/12)),
   0
)
</f>
        <v>200041.2132</v>
      </c>
      <c r="K748" s="13">
        <f>IFERROR(__xludf.DUMMYFUNCTION("IF(A748="""","""",
   IF(F748&gt;0,
      INDEX(FILTER('RE Portfolio'!L$2:L2000,'RE Portfolio'!D$2:D2000=""BUY""), INT((ROW()-2)/amortYears)+1) - G748,
      INDEX(FILTER('RE Portfolio'!L$2:L2000,'RE Portfolio'!D$2:D2000=""BUY""), INT((ROW()-2)/amortYears)+1"&amp;")
   )
)
"),14460.458155562548)</f>
        <v>14460.45816</v>
      </c>
      <c r="L748" s="15">
        <f>IFERROR(__xludf.DUMMYFUNCTION("IF(A748="""","""",
  INDEX(FILTER('RE Portfolio'!C$2:C2000,'RE Portfolio'!D$2:D2000=""BUY""), INT((ROW()-2)/amortYears)+1)
  * (1 + VALUE(Assumptions!$B$11))^(D748-1)
)
"),2116410.3608831577)</f>
        <v>2116410.361</v>
      </c>
    </row>
    <row r="749">
      <c r="A749" s="15">
        <f>IFERROR(__xludf.DUMMYFUNCTION("IFERROR(INDEX(FILTER('RE Portfolio'!A$2:A2000,'RE Portfolio'!D$2:D2000=""BUY""), INT((ROW()-2)/amortYears)+1), )
"),20.0)</f>
        <v>20</v>
      </c>
      <c r="B749" s="15">
        <f>IFERROR(__xludf.DUMMYFUNCTION("IFERROR(INDEX(FILTER('RE Portfolio'!B$2:B2000,'RE Portfolio'!D$2:D2000=""BUY""), INT((ROW()-2)/amortYears)+1), )
"),65.0)</f>
        <v>65</v>
      </c>
      <c r="C749" s="15">
        <f>IFERROR(__xludf.DUMMYFUNCTION("IFERROR(INDEX(FILTER('RE Portfolio'!G$2:G2000,'RE Portfolio'!D$2:D2000=""BUY""), INT((ROW()-2)/amortYears)+1), )
"),619242.8477286852)</f>
        <v>619242.8477</v>
      </c>
      <c r="D749" s="15">
        <f>MOD(ROW()-2, amortYears)+1</f>
        <v>26</v>
      </c>
      <c r="E749" s="15">
        <f t="shared" si="1"/>
        <v>90</v>
      </c>
      <c r="F749" s="16">
        <f t="shared" si="2"/>
        <v>200041.2132</v>
      </c>
      <c r="G749" s="16">
        <f>IF(D749&lt;=mortTerm, -PMT(mortRate/12, mortTerm*12, C749)*12, 0)
</f>
        <v>46968.43234</v>
      </c>
      <c r="H749" s="16">
        <f>IF(D749&lt;=mortTerm, G749 - I749, 0)
</f>
        <v>11972.28749</v>
      </c>
      <c r="I749" s="16">
        <f>IF(D749&lt;=mortTerm, F749 - J749, 0)
</f>
        <v>34996.14485</v>
      </c>
      <c r="J749" s="16">
        <f>IF(D749&lt;=mortTerm,
   F749*(1+mortRate/12)^12 - (-PMT(mortRate/12, mortTerm*12, C749))*(((1+mortRate/12)^12 - 1)/(mortRate/12)),
   0
)
</f>
        <v>165045.0684</v>
      </c>
      <c r="K749" s="13">
        <f>IFERROR(__xludf.DUMMYFUNCTION("IF(A749="""","""",
   IF(F749&gt;0,
      INDEX(FILTER('RE Portfolio'!L$2:L2000,'RE Portfolio'!D$2:D2000=""BUY""), INT((ROW()-2)/amortYears)+1) - G749,
      INDEX(FILTER('RE Portfolio'!L$2:L2000,'RE Portfolio'!D$2:D2000=""BUY""), INT((ROW()-2)/amortYears)+1"&amp;")
   )
)
"),14460.458155562548)</f>
        <v>14460.45816</v>
      </c>
      <c r="L749" s="15">
        <f>IFERROR(__xludf.DUMMYFUNCTION("IF(A749="""","""",
  INDEX(FILTER('RE Portfolio'!C$2:C2000,'RE Portfolio'!D$2:D2000=""BUY""), INT((ROW()-2)/amortYears)+1)
  * (1 + VALUE(Assumptions!$B$11))^(D749-1)
)
"),2201066.775318484)</f>
        <v>2201066.775</v>
      </c>
    </row>
    <row r="750">
      <c r="A750" s="15">
        <f>IFERROR(__xludf.DUMMYFUNCTION("IFERROR(INDEX(FILTER('RE Portfolio'!A$2:A2000,'RE Portfolio'!D$2:D2000=""BUY""), INT((ROW()-2)/amortYears)+1), )
"),20.0)</f>
        <v>20</v>
      </c>
      <c r="B750" s="15">
        <f>IFERROR(__xludf.DUMMYFUNCTION("IFERROR(INDEX(FILTER('RE Portfolio'!B$2:B2000,'RE Portfolio'!D$2:D2000=""BUY""), INT((ROW()-2)/amortYears)+1), )
"),65.0)</f>
        <v>65</v>
      </c>
      <c r="C750" s="15">
        <f>IFERROR(__xludf.DUMMYFUNCTION("IFERROR(INDEX(FILTER('RE Portfolio'!G$2:G2000,'RE Portfolio'!D$2:D2000=""BUY""), INT((ROW()-2)/amortYears)+1), )
"),619242.8477286852)</f>
        <v>619242.8477</v>
      </c>
      <c r="D750" s="15">
        <f>MOD(ROW()-2, amortYears)+1</f>
        <v>27</v>
      </c>
      <c r="E750" s="15">
        <f t="shared" si="1"/>
        <v>91</v>
      </c>
      <c r="F750" s="16">
        <f t="shared" si="2"/>
        <v>165045.0684</v>
      </c>
      <c r="G750" s="16">
        <f>IF(D750&lt;=mortTerm, -PMT(mortRate/12, mortTerm*12, C750)*12, 0)
</f>
        <v>46968.43234</v>
      </c>
      <c r="H750" s="16">
        <f>IF(D750&lt;=mortTerm, G750 - I750, 0)
</f>
        <v>9628.530858</v>
      </c>
      <c r="I750" s="16">
        <f>IF(D750&lt;=mortTerm, F750 - J750, 0)
</f>
        <v>37339.90148</v>
      </c>
      <c r="J750" s="16">
        <f>IF(D750&lt;=mortTerm,
   F750*(1+mortRate/12)^12 - (-PMT(mortRate/12, mortTerm*12, C750))*(((1+mortRate/12)^12 - 1)/(mortRate/12)),
   0
)
</f>
        <v>127705.1669</v>
      </c>
      <c r="K750" s="13">
        <f>IFERROR(__xludf.DUMMYFUNCTION("IF(A750="""","""",
   IF(F750&gt;0,
      INDEX(FILTER('RE Portfolio'!L$2:L2000,'RE Portfolio'!D$2:D2000=""BUY""), INT((ROW()-2)/amortYears)+1) - G750,
      INDEX(FILTER('RE Portfolio'!L$2:L2000,'RE Portfolio'!D$2:D2000=""BUY""), INT((ROW()-2)/amortYears)+1"&amp;")
   )
)
"),14460.458155562548)</f>
        <v>14460.45816</v>
      </c>
      <c r="L750" s="15">
        <f>IFERROR(__xludf.DUMMYFUNCTION("IF(A750="""","""",
  INDEX(FILTER('RE Portfolio'!C$2:C2000,'RE Portfolio'!D$2:D2000=""BUY""), INT((ROW()-2)/amortYears)+1)
  * (1 + VALUE(Assumptions!$B$11))^(D750-1)
)
"),2289109.446331223)</f>
        <v>2289109.446</v>
      </c>
    </row>
    <row r="751">
      <c r="A751" s="15">
        <f>IFERROR(__xludf.DUMMYFUNCTION("IFERROR(INDEX(FILTER('RE Portfolio'!A$2:A2000,'RE Portfolio'!D$2:D2000=""BUY""), INT((ROW()-2)/amortYears)+1), )
"),20.0)</f>
        <v>20</v>
      </c>
      <c r="B751" s="15">
        <f>IFERROR(__xludf.DUMMYFUNCTION("IFERROR(INDEX(FILTER('RE Portfolio'!B$2:B2000,'RE Portfolio'!D$2:D2000=""BUY""), INT((ROW()-2)/amortYears)+1), )
"),65.0)</f>
        <v>65</v>
      </c>
      <c r="C751" s="15">
        <f>IFERROR(__xludf.DUMMYFUNCTION("IFERROR(INDEX(FILTER('RE Portfolio'!G$2:G2000,'RE Portfolio'!D$2:D2000=""BUY""), INT((ROW()-2)/amortYears)+1), )
"),619242.8477286852)</f>
        <v>619242.8477</v>
      </c>
      <c r="D751" s="15">
        <f>MOD(ROW()-2, amortYears)+1</f>
        <v>28</v>
      </c>
      <c r="E751" s="15">
        <f t="shared" si="1"/>
        <v>92</v>
      </c>
      <c r="F751" s="16">
        <f t="shared" si="2"/>
        <v>127705.1669</v>
      </c>
      <c r="G751" s="16">
        <f>IF(D751&lt;=mortTerm, -PMT(mortRate/12, mortTerm*12, C751)*12, 0)
</f>
        <v>46968.43234</v>
      </c>
      <c r="H751" s="16">
        <f>IF(D751&lt;=mortTerm, G751 - I751, 0)
</f>
        <v>7127.808503</v>
      </c>
      <c r="I751" s="16">
        <f>IF(D751&lt;=mortTerm, F751 - J751, 0)
</f>
        <v>39840.62384</v>
      </c>
      <c r="J751" s="16">
        <f>IF(D751&lt;=mortTerm,
   F751*(1+mortRate/12)^12 - (-PMT(mortRate/12, mortTerm*12, C751))*(((1+mortRate/12)^12 - 1)/(mortRate/12)),
   0
)
</f>
        <v>87864.54308</v>
      </c>
      <c r="K751" s="13">
        <f>IFERROR(__xludf.DUMMYFUNCTION("IF(A751="""","""",
   IF(F751&gt;0,
      INDEX(FILTER('RE Portfolio'!L$2:L2000,'RE Portfolio'!D$2:D2000=""BUY""), INT((ROW()-2)/amortYears)+1) - G751,
      INDEX(FILTER('RE Portfolio'!L$2:L2000,'RE Portfolio'!D$2:D2000=""BUY""), INT((ROW()-2)/amortYears)+1"&amp;")
   )
)
"),14460.458155562548)</f>
        <v>14460.45816</v>
      </c>
      <c r="L751" s="15">
        <f>IFERROR(__xludf.DUMMYFUNCTION("IF(A751="""","""",
  INDEX(FILTER('RE Portfolio'!C$2:C2000,'RE Portfolio'!D$2:D2000=""BUY""), INT((ROW()-2)/amortYears)+1)
  * (1 + VALUE(Assumptions!$B$11))^(D751-1)
)
"),2380673.824184472)</f>
        <v>2380673.824</v>
      </c>
    </row>
    <row r="752">
      <c r="A752" s="15">
        <f>IFERROR(__xludf.DUMMYFUNCTION("IFERROR(INDEX(FILTER('RE Portfolio'!A$2:A2000,'RE Portfolio'!D$2:D2000=""BUY""), INT((ROW()-2)/amortYears)+1), )
"),20.0)</f>
        <v>20</v>
      </c>
      <c r="B752" s="15">
        <f>IFERROR(__xludf.DUMMYFUNCTION("IFERROR(INDEX(FILTER('RE Portfolio'!B$2:B2000,'RE Portfolio'!D$2:D2000=""BUY""), INT((ROW()-2)/amortYears)+1), )
"),65.0)</f>
        <v>65</v>
      </c>
      <c r="C752" s="15">
        <f>IFERROR(__xludf.DUMMYFUNCTION("IFERROR(INDEX(FILTER('RE Portfolio'!G$2:G2000,'RE Portfolio'!D$2:D2000=""BUY""), INT((ROW()-2)/amortYears)+1), )
"),619242.8477286852)</f>
        <v>619242.8477</v>
      </c>
      <c r="D752" s="15">
        <f>MOD(ROW()-2, amortYears)+1</f>
        <v>29</v>
      </c>
      <c r="E752" s="15">
        <f t="shared" si="1"/>
        <v>93</v>
      </c>
      <c r="F752" s="16">
        <f t="shared" si="2"/>
        <v>87864.54308</v>
      </c>
      <c r="G752" s="16">
        <f>IF(D752&lt;=mortTerm, -PMT(mortRate/12, mortTerm*12, C752)*12, 0)
</f>
        <v>46968.43234</v>
      </c>
      <c r="H752" s="16">
        <f>IF(D752&lt;=mortTerm, G752 - I752, 0)
</f>
        <v>4459.608139</v>
      </c>
      <c r="I752" s="16">
        <f>IF(D752&lt;=mortTerm, F752 - J752, 0)
</f>
        <v>42508.8242</v>
      </c>
      <c r="J752" s="16">
        <f>IF(D752&lt;=mortTerm,
   F752*(1+mortRate/12)^12 - (-PMT(mortRate/12, mortTerm*12, C752))*(((1+mortRate/12)^12 - 1)/(mortRate/12)),
   0
)
</f>
        <v>45355.71888</v>
      </c>
      <c r="K752" s="13">
        <f>IFERROR(__xludf.DUMMYFUNCTION("IF(A752="""","""",
   IF(F752&gt;0,
      INDEX(FILTER('RE Portfolio'!L$2:L2000,'RE Portfolio'!D$2:D2000=""BUY""), INT((ROW()-2)/amortYears)+1) - G752,
      INDEX(FILTER('RE Portfolio'!L$2:L2000,'RE Portfolio'!D$2:D2000=""BUY""), INT((ROW()-2)/amortYears)+1"&amp;")
   )
)
"),14460.458155562548)</f>
        <v>14460.45816</v>
      </c>
      <c r="L752" s="15">
        <f>IFERROR(__xludf.DUMMYFUNCTION("IF(A752="""","""",
  INDEX(FILTER('RE Portfolio'!C$2:C2000,'RE Portfolio'!D$2:D2000=""BUY""), INT((ROW()-2)/amortYears)+1)
  * (1 + VALUE(Assumptions!$B$11))^(D752-1)
)
"),2475900.7771518514)</f>
        <v>2475900.777</v>
      </c>
    </row>
    <row r="753">
      <c r="A753" s="15">
        <f>IFERROR(__xludf.DUMMYFUNCTION("IFERROR(INDEX(FILTER('RE Portfolio'!A$2:A2000,'RE Portfolio'!D$2:D2000=""BUY""), INT((ROW()-2)/amortYears)+1), )
"),20.0)</f>
        <v>20</v>
      </c>
      <c r="B753" s="15">
        <f>IFERROR(__xludf.DUMMYFUNCTION("IFERROR(INDEX(FILTER('RE Portfolio'!B$2:B2000,'RE Portfolio'!D$2:D2000=""BUY""), INT((ROW()-2)/amortYears)+1), )
"),65.0)</f>
        <v>65</v>
      </c>
      <c r="C753" s="15">
        <f>IFERROR(__xludf.DUMMYFUNCTION("IFERROR(INDEX(FILTER('RE Portfolio'!G$2:G2000,'RE Portfolio'!D$2:D2000=""BUY""), INT((ROW()-2)/amortYears)+1), )
"),619242.8477286852)</f>
        <v>619242.8477</v>
      </c>
      <c r="D753" s="15">
        <f>MOD(ROW()-2, amortYears)+1</f>
        <v>30</v>
      </c>
      <c r="E753" s="15">
        <f t="shared" si="1"/>
        <v>94</v>
      </c>
      <c r="F753" s="16">
        <f t="shared" si="2"/>
        <v>45355.71888</v>
      </c>
      <c r="G753" s="16">
        <f>IF(D753&lt;=mortTerm, -PMT(mortRate/12, mortTerm*12, C753)*12, 0)
</f>
        <v>46968.43234</v>
      </c>
      <c r="H753" s="16">
        <f>IF(D753&lt;=mortTerm, G753 - I753, 0)
</f>
        <v>1612.713456</v>
      </c>
      <c r="I753" s="16">
        <f>IF(D753&lt;=mortTerm, F753 - J753, 0)
</f>
        <v>45355.71888</v>
      </c>
      <c r="J753" s="16">
        <f>IF(D753&lt;=mortTerm,
   F753*(1+mortRate/12)^12 - (-PMT(mortRate/12, mortTerm*12, C753))*(((1+mortRate/12)^12 - 1)/(mortRate/12)),
   0
)
</f>
        <v>-0.000000002451997716</v>
      </c>
      <c r="K753" s="13">
        <f>IFERROR(__xludf.DUMMYFUNCTION("IF(A753="""","""",
   IF(F753&gt;0,
      INDEX(FILTER('RE Portfolio'!L$2:L2000,'RE Portfolio'!D$2:D2000=""BUY""), INT((ROW()-2)/amortYears)+1) - G753,
      INDEX(FILTER('RE Portfolio'!L$2:L2000,'RE Portfolio'!D$2:D2000=""BUY""), INT((ROW()-2)/amortYears)+1"&amp;")
   )
)
"),14460.458155562548)</f>
        <v>14460.45816</v>
      </c>
      <c r="L753" s="15">
        <f>IFERROR(__xludf.DUMMYFUNCTION("IF(A753="""","""",
  INDEX(FILTER('RE Portfolio'!C$2:C2000,'RE Portfolio'!D$2:D2000=""BUY""), INT((ROW()-2)/amortYears)+1)
  * (1 + VALUE(Assumptions!$B$11))^(D753-1)
)
"),2574936.8082379256)</f>
        <v>2574936.808</v>
      </c>
    </row>
    <row r="754">
      <c r="A754" s="15">
        <f>IFERROR(__xludf.DUMMYFUNCTION("IFERROR(INDEX(FILTER('RE Portfolio'!A$2:A2000,'RE Portfolio'!D$2:D2000=""BUY""), INT((ROW()-2)/amortYears)+1), )
"),20.0)</f>
        <v>20</v>
      </c>
      <c r="B754" s="15">
        <f>IFERROR(__xludf.DUMMYFUNCTION("IFERROR(INDEX(FILTER('RE Portfolio'!B$2:B2000,'RE Portfolio'!D$2:D2000=""BUY""), INT((ROW()-2)/amortYears)+1), )
"),65.0)</f>
        <v>65</v>
      </c>
      <c r="C754" s="15">
        <f>IFERROR(__xludf.DUMMYFUNCTION("IFERROR(INDEX(FILTER('RE Portfolio'!G$2:G2000,'RE Portfolio'!D$2:D2000=""BUY""), INT((ROW()-2)/amortYears)+1), )
"),619242.8477286852)</f>
        <v>619242.8477</v>
      </c>
      <c r="D754" s="15">
        <f>MOD(ROW()-2, amortYears)+1</f>
        <v>31</v>
      </c>
      <c r="E754" s="15">
        <f t="shared" si="1"/>
        <v>95</v>
      </c>
      <c r="F754" s="16">
        <f t="shared" si="2"/>
        <v>-0.000000002451997716</v>
      </c>
      <c r="G754" s="15">
        <f>IF(D754&lt;=mortTerm, -PMT(mortRate/12, mortTerm*12, C754)*12, 0)
</f>
        <v>0</v>
      </c>
      <c r="H754" s="15">
        <f>IF(D754&lt;=mortTerm, G754 - I754, 0)
</f>
        <v>0</v>
      </c>
      <c r="I754" s="15">
        <f>IF(D754&lt;=mortTerm, F754 - J754, 0)
</f>
        <v>0</v>
      </c>
      <c r="J754" s="15">
        <f>IF(D754&lt;=mortTerm,
   F754*(1+mortRate/12)^12 - (-PMT(mortRate/12, mortTerm*12, C754))*(((1+mortRate/12)^12 - 1)/(mortRate/12)),
   0
)
</f>
        <v>0</v>
      </c>
      <c r="K754" s="13">
        <f>IFERROR(__xludf.DUMMYFUNCTION("IF(A754="""","""",
   IF(F754&gt;0,
      INDEX(FILTER('RE Portfolio'!L$2:L2000,'RE Portfolio'!D$2:D2000=""BUY""), INT((ROW()-2)/amortYears)+1) - G754,
      INDEX(FILTER('RE Portfolio'!L$2:L2000,'RE Portfolio'!D$2:D2000=""BUY""), INT((ROW()-2)/amortYears)+1"&amp;")
   )
)
"),61428.89049468559)</f>
        <v>61428.89049</v>
      </c>
      <c r="L754" s="15">
        <f>IFERROR(__xludf.DUMMYFUNCTION("IF(A754="""","""",
  INDEX(FILTER('RE Portfolio'!C$2:C2000,'RE Portfolio'!D$2:D2000=""BUY""), INT((ROW()-2)/amortYears)+1)
  * (1 + VALUE(Assumptions!$B$11))^(D754-1)
)
"),2677934.2805674425)</f>
        <v>2677934.281</v>
      </c>
    </row>
    <row r="755">
      <c r="A755" s="15">
        <f>IFERROR(__xludf.DUMMYFUNCTION("IFERROR(INDEX(FILTER('RE Portfolio'!A$2:A2000,'RE Portfolio'!D$2:D2000=""BUY""), INT((ROW()-2)/amortYears)+1), )
"),20.0)</f>
        <v>20</v>
      </c>
      <c r="B755" s="15">
        <f>IFERROR(__xludf.DUMMYFUNCTION("IFERROR(INDEX(FILTER('RE Portfolio'!B$2:B2000,'RE Portfolio'!D$2:D2000=""BUY""), INT((ROW()-2)/amortYears)+1), )
"),65.0)</f>
        <v>65</v>
      </c>
      <c r="C755" s="15">
        <f>IFERROR(__xludf.DUMMYFUNCTION("IFERROR(INDEX(FILTER('RE Portfolio'!G$2:G2000,'RE Portfolio'!D$2:D2000=""BUY""), INT((ROW()-2)/amortYears)+1), )
"),619242.8477286852)</f>
        <v>619242.8477</v>
      </c>
      <c r="D755" s="15">
        <f>MOD(ROW()-2, amortYears)+1</f>
        <v>32</v>
      </c>
      <c r="E755" s="15">
        <f t="shared" si="1"/>
        <v>96</v>
      </c>
      <c r="F755" s="15">
        <f t="shared" si="2"/>
        <v>0</v>
      </c>
      <c r="G755" s="15">
        <f>IF(D755&lt;=mortTerm, -PMT(mortRate/12, mortTerm*12, C755)*12, 0)
</f>
        <v>0</v>
      </c>
      <c r="H755" s="15">
        <f>IF(D755&lt;=mortTerm, G755 - I755, 0)
</f>
        <v>0</v>
      </c>
      <c r="I755" s="15">
        <f>IF(D755&lt;=mortTerm, F755 - J755, 0)
</f>
        <v>0</v>
      </c>
      <c r="J755" s="15">
        <f>IF(D755&lt;=mortTerm,
   F755*(1+mortRate/12)^12 - (-PMT(mortRate/12, mortTerm*12, C755))*(((1+mortRate/12)^12 - 1)/(mortRate/12)),
   0
)
</f>
        <v>0</v>
      </c>
      <c r="K755" s="13">
        <f>IFERROR(__xludf.DUMMYFUNCTION("IF(A755="""","""",
   IF(F755&gt;0,
      INDEX(FILTER('RE Portfolio'!L$2:L2000,'RE Portfolio'!D$2:D2000=""BUY""), INT((ROW()-2)/amortYears)+1) - G755,
      INDEX(FILTER('RE Portfolio'!L$2:L2000,'RE Portfolio'!D$2:D2000=""BUY""), INT((ROW()-2)/amortYears)+1"&amp;")
   )
)
"),61428.89049468559)</f>
        <v>61428.89049</v>
      </c>
      <c r="L755" s="15">
        <f>IFERROR(__xludf.DUMMYFUNCTION("IF(A755="""","""",
  INDEX(FILTER('RE Portfolio'!C$2:C2000,'RE Portfolio'!D$2:D2000=""BUY""), INT((ROW()-2)/amortYears)+1)
  * (1 + VALUE(Assumptions!$B$11))^(D755-1)
)
"),2785051.65179014)</f>
        <v>2785051.652</v>
      </c>
    </row>
    <row r="756">
      <c r="A756" s="15">
        <f>IFERROR(__xludf.DUMMYFUNCTION("IFERROR(INDEX(FILTER('RE Portfolio'!A$2:A2000,'RE Portfolio'!D$2:D2000=""BUY""), INT((ROW()-2)/amortYears)+1), )
"),20.0)</f>
        <v>20</v>
      </c>
      <c r="B756" s="15">
        <f>IFERROR(__xludf.DUMMYFUNCTION("IFERROR(INDEX(FILTER('RE Portfolio'!B$2:B2000,'RE Portfolio'!D$2:D2000=""BUY""), INT((ROW()-2)/amortYears)+1), )
"),65.0)</f>
        <v>65</v>
      </c>
      <c r="C756" s="15">
        <f>IFERROR(__xludf.DUMMYFUNCTION("IFERROR(INDEX(FILTER('RE Portfolio'!G$2:G2000,'RE Portfolio'!D$2:D2000=""BUY""), INT((ROW()-2)/amortYears)+1), )
"),619242.8477286852)</f>
        <v>619242.8477</v>
      </c>
      <c r="D756" s="15">
        <f>MOD(ROW()-2, amortYears)+1</f>
        <v>33</v>
      </c>
      <c r="E756" s="15">
        <f t="shared" si="1"/>
        <v>97</v>
      </c>
      <c r="F756" s="15">
        <f t="shared" si="2"/>
        <v>0</v>
      </c>
      <c r="G756" s="15">
        <f>IF(D756&lt;=mortTerm, -PMT(mortRate/12, mortTerm*12, C756)*12, 0)
</f>
        <v>0</v>
      </c>
      <c r="H756" s="15">
        <f>IF(D756&lt;=mortTerm, G756 - I756, 0)
</f>
        <v>0</v>
      </c>
      <c r="I756" s="15">
        <f>IF(D756&lt;=mortTerm, F756 - J756, 0)
</f>
        <v>0</v>
      </c>
      <c r="J756" s="15">
        <f>IF(D756&lt;=mortTerm,
   F756*(1+mortRate/12)^12 - (-PMT(mortRate/12, mortTerm*12, C756))*(((1+mortRate/12)^12 - 1)/(mortRate/12)),
   0
)
</f>
        <v>0</v>
      </c>
      <c r="K756" s="13">
        <f>IFERROR(__xludf.DUMMYFUNCTION("IF(A756="""","""",
   IF(F756&gt;0,
      INDEX(FILTER('RE Portfolio'!L$2:L2000,'RE Portfolio'!D$2:D2000=""BUY""), INT((ROW()-2)/amortYears)+1) - G756,
      INDEX(FILTER('RE Portfolio'!L$2:L2000,'RE Portfolio'!D$2:D2000=""BUY""), INT((ROW()-2)/amortYears)+1"&amp;")
   )
)
"),61428.89049468559)</f>
        <v>61428.89049</v>
      </c>
      <c r="L756" s="15">
        <f>IFERROR(__xludf.DUMMYFUNCTION("IF(A756="""","""",
  INDEX(FILTER('RE Portfolio'!C$2:C2000,'RE Portfolio'!D$2:D2000=""BUY""), INT((ROW()-2)/amortYears)+1)
  * (1 + VALUE(Assumptions!$B$11))^(D756-1)
)
"),2896453.717861746)</f>
        <v>2896453.718</v>
      </c>
    </row>
    <row r="757">
      <c r="A757" s="15">
        <f>IFERROR(__xludf.DUMMYFUNCTION("IFERROR(INDEX(FILTER('RE Portfolio'!A$2:A2000,'RE Portfolio'!D$2:D2000=""BUY""), INT((ROW()-2)/amortYears)+1), )
"),20.0)</f>
        <v>20</v>
      </c>
      <c r="B757" s="15">
        <f>IFERROR(__xludf.DUMMYFUNCTION("IFERROR(INDEX(FILTER('RE Portfolio'!B$2:B2000,'RE Portfolio'!D$2:D2000=""BUY""), INT((ROW()-2)/amortYears)+1), )
"),65.0)</f>
        <v>65</v>
      </c>
      <c r="C757" s="15">
        <f>IFERROR(__xludf.DUMMYFUNCTION("IFERROR(INDEX(FILTER('RE Portfolio'!G$2:G2000,'RE Portfolio'!D$2:D2000=""BUY""), INT((ROW()-2)/amortYears)+1), )
"),619242.8477286852)</f>
        <v>619242.8477</v>
      </c>
      <c r="D757" s="15">
        <f>MOD(ROW()-2, amortYears)+1</f>
        <v>34</v>
      </c>
      <c r="E757" s="15">
        <f t="shared" si="1"/>
        <v>98</v>
      </c>
      <c r="F757" s="15">
        <f t="shared" si="2"/>
        <v>0</v>
      </c>
      <c r="G757" s="15">
        <f>IF(D757&lt;=mortTerm, -PMT(mortRate/12, mortTerm*12, C757)*12, 0)
</f>
        <v>0</v>
      </c>
      <c r="H757" s="15">
        <f>IF(D757&lt;=mortTerm, G757 - I757, 0)
</f>
        <v>0</v>
      </c>
      <c r="I757" s="15">
        <f>IF(D757&lt;=mortTerm, F757 - J757, 0)
</f>
        <v>0</v>
      </c>
      <c r="J757" s="15">
        <f>IF(D757&lt;=mortTerm,
   F757*(1+mortRate/12)^12 - (-PMT(mortRate/12, mortTerm*12, C757))*(((1+mortRate/12)^12 - 1)/(mortRate/12)),
   0
)
</f>
        <v>0</v>
      </c>
      <c r="K757" s="13">
        <f>IFERROR(__xludf.DUMMYFUNCTION("IF(A757="""","""",
   IF(F757&gt;0,
      INDEX(FILTER('RE Portfolio'!L$2:L2000,'RE Portfolio'!D$2:D2000=""BUY""), INT((ROW()-2)/amortYears)+1) - G757,
      INDEX(FILTER('RE Portfolio'!L$2:L2000,'RE Portfolio'!D$2:D2000=""BUY""), INT((ROW()-2)/amortYears)+1"&amp;")
   )
)
"),61428.89049468559)</f>
        <v>61428.89049</v>
      </c>
      <c r="L757" s="15">
        <f>IFERROR(__xludf.DUMMYFUNCTION("IF(A757="""","""",
  INDEX(FILTER('RE Portfolio'!C$2:C2000,'RE Portfolio'!D$2:D2000=""BUY""), INT((ROW()-2)/amortYears)+1)
  * (1 + VALUE(Assumptions!$B$11))^(D757-1)
)
"),3012311.866576216)</f>
        <v>3012311.867</v>
      </c>
    </row>
    <row r="758">
      <c r="A758" s="15">
        <f>IFERROR(__xludf.DUMMYFUNCTION("IFERROR(INDEX(FILTER('RE Portfolio'!A$2:A2000,'RE Portfolio'!D$2:D2000=""BUY""), INT((ROW()-2)/amortYears)+1), )
"),20.0)</f>
        <v>20</v>
      </c>
      <c r="B758" s="15">
        <f>IFERROR(__xludf.DUMMYFUNCTION("IFERROR(INDEX(FILTER('RE Portfolio'!B$2:B2000,'RE Portfolio'!D$2:D2000=""BUY""), INT((ROW()-2)/amortYears)+1), )
"),65.0)</f>
        <v>65</v>
      </c>
      <c r="C758" s="15">
        <f>IFERROR(__xludf.DUMMYFUNCTION("IFERROR(INDEX(FILTER('RE Portfolio'!G$2:G2000,'RE Portfolio'!D$2:D2000=""BUY""), INT((ROW()-2)/amortYears)+1), )
"),619242.8477286852)</f>
        <v>619242.8477</v>
      </c>
      <c r="D758" s="15">
        <f>MOD(ROW()-2, amortYears)+1</f>
        <v>35</v>
      </c>
      <c r="E758" s="15">
        <f t="shared" si="1"/>
        <v>99</v>
      </c>
      <c r="F758" s="15">
        <f t="shared" si="2"/>
        <v>0</v>
      </c>
      <c r="G758" s="15">
        <f>IF(D758&lt;=mortTerm, -PMT(mortRate/12, mortTerm*12, C758)*12, 0)
</f>
        <v>0</v>
      </c>
      <c r="H758" s="15">
        <f>IF(D758&lt;=mortTerm, G758 - I758, 0)
</f>
        <v>0</v>
      </c>
      <c r="I758" s="15">
        <f>IF(D758&lt;=mortTerm, F758 - J758, 0)
</f>
        <v>0</v>
      </c>
      <c r="J758" s="15">
        <f>IF(D758&lt;=mortTerm,
   F758*(1+mortRate/12)^12 - (-PMT(mortRate/12, mortTerm*12, C758))*(((1+mortRate/12)^12 - 1)/(mortRate/12)),
   0
)
</f>
        <v>0</v>
      </c>
      <c r="K758" s="13">
        <f>IFERROR(__xludf.DUMMYFUNCTION("IF(A758="""","""",
   IF(F758&gt;0,
      INDEX(FILTER('RE Portfolio'!L$2:L2000,'RE Portfolio'!D$2:D2000=""BUY""), INT((ROW()-2)/amortYears)+1) - G758,
      INDEX(FILTER('RE Portfolio'!L$2:L2000,'RE Portfolio'!D$2:D2000=""BUY""), INT((ROW()-2)/amortYears)+1"&amp;")
   )
)
"),61428.89049468559)</f>
        <v>61428.89049</v>
      </c>
      <c r="L758" s="15">
        <f>IFERROR(__xludf.DUMMYFUNCTION("IF(A758="""","""",
  INDEX(FILTER('RE Portfolio'!C$2:C2000,'RE Portfolio'!D$2:D2000=""BUY""), INT((ROW()-2)/amortYears)+1)
  * (1 + VALUE(Assumptions!$B$11))^(D758-1)
)
"),3132804.3412392647)</f>
        <v>3132804.341</v>
      </c>
    </row>
    <row r="759">
      <c r="A759" s="15">
        <f>IFERROR(__xludf.DUMMYFUNCTION("IFERROR(INDEX(FILTER('RE Portfolio'!A$2:A2000,'RE Portfolio'!D$2:D2000=""BUY""), INT((ROW()-2)/amortYears)+1), )
"),20.0)</f>
        <v>20</v>
      </c>
      <c r="B759" s="15">
        <f>IFERROR(__xludf.DUMMYFUNCTION("IFERROR(INDEX(FILTER('RE Portfolio'!B$2:B2000,'RE Portfolio'!D$2:D2000=""BUY""), INT((ROW()-2)/amortYears)+1), )
"),65.0)</f>
        <v>65</v>
      </c>
      <c r="C759" s="15">
        <f>IFERROR(__xludf.DUMMYFUNCTION("IFERROR(INDEX(FILTER('RE Portfolio'!G$2:G2000,'RE Portfolio'!D$2:D2000=""BUY""), INT((ROW()-2)/amortYears)+1), )
"),619242.8477286852)</f>
        <v>619242.8477</v>
      </c>
      <c r="D759" s="15">
        <f>MOD(ROW()-2, amortYears)+1</f>
        <v>36</v>
      </c>
      <c r="E759" s="15">
        <f t="shared" si="1"/>
        <v>100</v>
      </c>
      <c r="F759" s="15">
        <f t="shared" si="2"/>
        <v>0</v>
      </c>
      <c r="G759" s="15">
        <f>IF(D759&lt;=mortTerm, -PMT(mortRate/12, mortTerm*12, C759)*12, 0)
</f>
        <v>0</v>
      </c>
      <c r="H759" s="15">
        <f>IF(D759&lt;=mortTerm, G759 - I759, 0)
</f>
        <v>0</v>
      </c>
      <c r="I759" s="15">
        <f>IF(D759&lt;=mortTerm, F759 - J759, 0)
</f>
        <v>0</v>
      </c>
      <c r="J759" s="15">
        <f>IF(D759&lt;=mortTerm,
   F759*(1+mortRate/12)^12 - (-PMT(mortRate/12, mortTerm*12, C759))*(((1+mortRate/12)^12 - 1)/(mortRate/12)),
   0
)
</f>
        <v>0</v>
      </c>
      <c r="K759" s="13">
        <f>IFERROR(__xludf.DUMMYFUNCTION("IF(A759="""","""",
   IF(F759&gt;0,
      INDEX(FILTER('RE Portfolio'!L$2:L2000,'RE Portfolio'!D$2:D2000=""BUY""), INT((ROW()-2)/amortYears)+1) - G759,
      INDEX(FILTER('RE Portfolio'!L$2:L2000,'RE Portfolio'!D$2:D2000=""BUY""), INT((ROW()-2)/amortYears)+1"&amp;")
   )
)
"),61428.89049468559)</f>
        <v>61428.89049</v>
      </c>
      <c r="L759" s="15">
        <f>IFERROR(__xludf.DUMMYFUNCTION("IF(A759="""","""",
  INDEX(FILTER('RE Portfolio'!C$2:C2000,'RE Portfolio'!D$2:D2000=""BUY""), INT((ROW()-2)/amortYears)+1)
  * (1 + VALUE(Assumptions!$B$11))^(D759-1)
)
"),3258116.5148888356)</f>
        <v>3258116.515</v>
      </c>
    </row>
    <row r="760">
      <c r="A760" s="15">
        <f>IFERROR(__xludf.DUMMYFUNCTION("IFERROR(INDEX(FILTER('RE Portfolio'!A$2:A2000,'RE Portfolio'!D$2:D2000=""BUY""), INT((ROW()-2)/amortYears)+1), )
"),20.0)</f>
        <v>20</v>
      </c>
      <c r="B760" s="15">
        <f>IFERROR(__xludf.DUMMYFUNCTION("IFERROR(INDEX(FILTER('RE Portfolio'!B$2:B2000,'RE Portfolio'!D$2:D2000=""BUY""), INT((ROW()-2)/amortYears)+1), )
"),65.0)</f>
        <v>65</v>
      </c>
      <c r="C760" s="15">
        <f>IFERROR(__xludf.DUMMYFUNCTION("IFERROR(INDEX(FILTER('RE Portfolio'!G$2:G2000,'RE Portfolio'!D$2:D2000=""BUY""), INT((ROW()-2)/amortYears)+1), )
"),619242.8477286852)</f>
        <v>619242.8477</v>
      </c>
      <c r="D760" s="15">
        <f>MOD(ROW()-2, amortYears)+1</f>
        <v>37</v>
      </c>
      <c r="E760" s="15">
        <f t="shared" si="1"/>
        <v>101</v>
      </c>
      <c r="F760" s="15">
        <f t="shared" si="2"/>
        <v>0</v>
      </c>
      <c r="G760" s="15">
        <f>IF(D760&lt;=mortTerm, -PMT(mortRate/12, mortTerm*12, C760)*12, 0)
</f>
        <v>0</v>
      </c>
      <c r="H760" s="15">
        <f>IF(D760&lt;=mortTerm, G760 - I760, 0)
</f>
        <v>0</v>
      </c>
      <c r="I760" s="15">
        <f>IF(D760&lt;=mortTerm, F760 - J760, 0)
</f>
        <v>0</v>
      </c>
      <c r="J760" s="15">
        <f>IF(D760&lt;=mortTerm,
   F760*(1+mortRate/12)^12 - (-PMT(mortRate/12, mortTerm*12, C760))*(((1+mortRate/12)^12 - 1)/(mortRate/12)),
   0
)
</f>
        <v>0</v>
      </c>
      <c r="K760" s="13">
        <f>IFERROR(__xludf.DUMMYFUNCTION("IF(A760="""","""",
   IF(F760&gt;0,
      INDEX(FILTER('RE Portfolio'!L$2:L2000,'RE Portfolio'!D$2:D2000=""BUY""), INT((ROW()-2)/amortYears)+1) - G760,
      INDEX(FILTER('RE Portfolio'!L$2:L2000,'RE Portfolio'!D$2:D2000=""BUY""), INT((ROW()-2)/amortYears)+1"&amp;")
   )
)
"),61428.89049468559)</f>
        <v>61428.89049</v>
      </c>
      <c r="L760" s="15">
        <f>IFERROR(__xludf.DUMMYFUNCTION("IF(A760="""","""",
  INDEX(FILTER('RE Portfolio'!C$2:C2000,'RE Portfolio'!D$2:D2000=""BUY""), INT((ROW()-2)/amortYears)+1)
  * (1 + VALUE(Assumptions!$B$11))^(D760-1)
)
"),3388441.175484389)</f>
        <v>3388441.175</v>
      </c>
    </row>
    <row r="761">
      <c r="A761" s="15">
        <f>IFERROR(__xludf.DUMMYFUNCTION("IFERROR(INDEX(FILTER('RE Portfolio'!A$2:A2000,'RE Portfolio'!D$2:D2000=""BUY""), INT((ROW()-2)/amortYears)+1), )
"),20.0)</f>
        <v>20</v>
      </c>
      <c r="B761" s="15">
        <f>IFERROR(__xludf.DUMMYFUNCTION("IFERROR(INDEX(FILTER('RE Portfolio'!B$2:B2000,'RE Portfolio'!D$2:D2000=""BUY""), INT((ROW()-2)/amortYears)+1), )
"),65.0)</f>
        <v>65</v>
      </c>
      <c r="C761" s="15">
        <f>IFERROR(__xludf.DUMMYFUNCTION("IFERROR(INDEX(FILTER('RE Portfolio'!G$2:G2000,'RE Portfolio'!D$2:D2000=""BUY""), INT((ROW()-2)/amortYears)+1), )
"),619242.8477286852)</f>
        <v>619242.8477</v>
      </c>
      <c r="D761" s="15">
        <f>MOD(ROW()-2, amortYears)+1</f>
        <v>38</v>
      </c>
      <c r="E761" s="15">
        <f t="shared" si="1"/>
        <v>102</v>
      </c>
      <c r="F761" s="15">
        <f t="shared" si="2"/>
        <v>0</v>
      </c>
      <c r="G761" s="15">
        <f>IF(D761&lt;=mortTerm, -PMT(mortRate/12, mortTerm*12, C761)*12, 0)
</f>
        <v>0</v>
      </c>
      <c r="H761" s="15">
        <f>IF(D761&lt;=mortTerm, G761 - I761, 0)
</f>
        <v>0</v>
      </c>
      <c r="I761" s="15">
        <f>IF(D761&lt;=mortTerm, F761 - J761, 0)
</f>
        <v>0</v>
      </c>
      <c r="J761" s="15">
        <f>IF(D761&lt;=mortTerm,
   F761*(1+mortRate/12)^12 - (-PMT(mortRate/12, mortTerm*12, C761))*(((1+mortRate/12)^12 - 1)/(mortRate/12)),
   0
)
</f>
        <v>0</v>
      </c>
      <c r="K761" s="13">
        <f>IFERROR(__xludf.DUMMYFUNCTION("IF(A761="""","""",
   IF(F761&gt;0,
      INDEX(FILTER('RE Portfolio'!L$2:L2000,'RE Portfolio'!D$2:D2000=""BUY""), INT((ROW()-2)/amortYears)+1) - G761,
      INDEX(FILTER('RE Portfolio'!L$2:L2000,'RE Portfolio'!D$2:D2000=""BUY""), INT((ROW()-2)/amortYears)+1"&amp;")
   )
)
"),61428.89049468559)</f>
        <v>61428.89049</v>
      </c>
      <c r="L761" s="15">
        <f>IFERROR(__xludf.DUMMYFUNCTION("IF(A761="""","""",
  INDEX(FILTER('RE Portfolio'!C$2:C2000,'RE Portfolio'!D$2:D2000=""BUY""), INT((ROW()-2)/amortYears)+1)
  * (1 + VALUE(Assumptions!$B$11))^(D761-1)
)
"),3523978.822503764)</f>
        <v>3523978.823</v>
      </c>
    </row>
    <row r="762">
      <c r="A762" s="15" t="str">
        <f>IFERROR(__xludf.DUMMYFUNCTION("IFERROR(INDEX(FILTER('RE Portfolio'!A$2:A2000,'RE Portfolio'!D$2:D2000=""BUY""), INT((ROW()-2)/amortYears)+1), )
"),"")</f>
        <v/>
      </c>
      <c r="B762" s="15" t="str">
        <f>IFERROR(__xludf.DUMMYFUNCTION("IFERROR(INDEX(FILTER('RE Portfolio'!B$2:B2000,'RE Portfolio'!D$2:D2000=""BUY""), INT((ROW()-2)/amortYears)+1), )
"),"")</f>
        <v/>
      </c>
      <c r="C762" s="15" t="str">
        <f>IFERROR(__xludf.DUMMYFUNCTION("IFERROR(INDEX(FILTER('RE Portfolio'!G$2:G2000,'RE Portfolio'!D$2:D2000=""BUY""), INT((ROW()-2)/amortYears)+1), )
"),"")</f>
        <v/>
      </c>
      <c r="D762" s="15">
        <f>MOD(ROW()-2, amortYears)+1</f>
        <v>1</v>
      </c>
      <c r="E762" s="15" t="str">
        <f t="shared" si="1"/>
        <v/>
      </c>
      <c r="F762" s="15" t="str">
        <f t="shared" si="2"/>
        <v/>
      </c>
      <c r="G762" s="16">
        <f>IF(D762&lt;=mortTerm, -PMT(mortRate/12, mortTerm*12, C762)*12, 0)
</f>
        <v>0</v>
      </c>
      <c r="H762" s="16">
        <f>IF(D762&lt;=mortTerm, G762 - I762, 0)
</f>
        <v>0</v>
      </c>
      <c r="I762" s="16">
        <f>IF(D762&lt;=mortTerm, F762 - J762, 0)
</f>
        <v>0</v>
      </c>
      <c r="J762" s="16">
        <f>IF(D762&lt;=mortTerm,
   F762*(1+mortRate/12)^12 - (-PMT(mortRate/12, mortTerm*12, C762))*(((1+mortRate/12)^12 - 1)/(mortRate/12)),
   0
)
</f>
        <v>0</v>
      </c>
      <c r="K762" s="13" t="str">
        <f>IFERROR(__xludf.DUMMYFUNCTION("IF(A762="""","""",
   IF(F762&gt;0,
      INDEX(FILTER('RE Portfolio'!L$2:L2000,'RE Portfolio'!D$2:D2000=""BUY""), INT((ROW()-2)/amortYears)+1) - G762,
      INDEX(FILTER('RE Portfolio'!L$2:L2000,'RE Portfolio'!D$2:D2000=""BUY""), INT((ROW()-2)/amortYears)+1"&amp;")
   )
)
"),"")</f>
        <v/>
      </c>
      <c r="L762" s="15" t="str">
        <f>IFERROR(__xludf.DUMMYFUNCTION("IF(A762="""","""",
  INDEX(FILTER('RE Portfolio'!C$2:C2000,'RE Portfolio'!D$2:D2000=""BUY""), INT((ROW()-2)/amortYears)+1)
  * (1 + VALUE(Assumptions!$B$11))^(D762-1)
)
"),"")</f>
        <v/>
      </c>
    </row>
    <row r="763">
      <c r="A763" s="15" t="str">
        <f>IFERROR(__xludf.DUMMYFUNCTION("IFERROR(INDEX(FILTER('RE Portfolio'!A$2:A2000,'RE Portfolio'!D$2:D2000=""BUY""), INT((ROW()-2)/amortYears)+1), )
"),"")</f>
        <v/>
      </c>
      <c r="B763" s="15" t="str">
        <f>IFERROR(__xludf.DUMMYFUNCTION("IFERROR(INDEX(FILTER('RE Portfolio'!B$2:B2000,'RE Portfolio'!D$2:D2000=""BUY""), INT((ROW()-2)/amortYears)+1), )
"),"")</f>
        <v/>
      </c>
      <c r="C763" s="15" t="str">
        <f>IFERROR(__xludf.DUMMYFUNCTION("IFERROR(INDEX(FILTER('RE Portfolio'!G$2:G2000,'RE Portfolio'!D$2:D2000=""BUY""), INT((ROW()-2)/amortYears)+1), )
"),"")</f>
        <v/>
      </c>
      <c r="D763" s="15">
        <f>MOD(ROW()-2, amortYears)+1</f>
        <v>2</v>
      </c>
      <c r="E763" s="15" t="str">
        <f t="shared" si="1"/>
        <v/>
      </c>
      <c r="F763" s="16">
        <f t="shared" si="2"/>
        <v>0</v>
      </c>
      <c r="G763" s="16">
        <f>IF(D763&lt;=mortTerm, -PMT(mortRate/12, mortTerm*12, C763)*12, 0)
</f>
        <v>0</v>
      </c>
      <c r="H763" s="16">
        <f>IF(D763&lt;=mortTerm, G763 - I763, 0)
</f>
        <v>0</v>
      </c>
      <c r="I763" s="16">
        <f>IF(D763&lt;=mortTerm, F763 - J763, 0)
</f>
        <v>0</v>
      </c>
      <c r="J763" s="16">
        <f>IF(D763&lt;=mortTerm,
   F763*(1+mortRate/12)^12 - (-PMT(mortRate/12, mortTerm*12, C763))*(((1+mortRate/12)^12 - 1)/(mortRate/12)),
   0
)
</f>
        <v>0</v>
      </c>
      <c r="K763" s="13" t="str">
        <f>IFERROR(__xludf.DUMMYFUNCTION("IF(A763="""","""",
   IF(F763&gt;0,
      INDEX(FILTER('RE Portfolio'!L$2:L2000,'RE Portfolio'!D$2:D2000=""BUY""), INT((ROW()-2)/amortYears)+1) - G763,
      INDEX(FILTER('RE Portfolio'!L$2:L2000,'RE Portfolio'!D$2:D2000=""BUY""), INT((ROW()-2)/amortYears)+1"&amp;")
   )
)
"),"")</f>
        <v/>
      </c>
      <c r="L763" s="15" t="str">
        <f>IFERROR(__xludf.DUMMYFUNCTION("IF(A763="""","""",
  INDEX(FILTER('RE Portfolio'!C$2:C2000,'RE Portfolio'!D$2:D2000=""BUY""), INT((ROW()-2)/amortYears)+1)
  * (1 + VALUE(Assumptions!$B$11))^(D763-1)
)
"),"")</f>
        <v/>
      </c>
    </row>
    <row r="764">
      <c r="A764" s="15" t="str">
        <f>IFERROR(__xludf.DUMMYFUNCTION("IFERROR(INDEX(FILTER('RE Portfolio'!A$2:A2000,'RE Portfolio'!D$2:D2000=""BUY""), INT((ROW()-2)/amortYears)+1), )
"),"")</f>
        <v/>
      </c>
      <c r="B764" s="15" t="str">
        <f>IFERROR(__xludf.DUMMYFUNCTION("IFERROR(INDEX(FILTER('RE Portfolio'!B$2:B2000,'RE Portfolio'!D$2:D2000=""BUY""), INT((ROW()-2)/amortYears)+1), )
"),"")</f>
        <v/>
      </c>
      <c r="C764" s="15" t="str">
        <f>IFERROR(__xludf.DUMMYFUNCTION("IFERROR(INDEX(FILTER('RE Portfolio'!G$2:G2000,'RE Portfolio'!D$2:D2000=""BUY""), INT((ROW()-2)/amortYears)+1), )
"),"")</f>
        <v/>
      </c>
      <c r="D764" s="15">
        <f>MOD(ROW()-2, amortYears)+1</f>
        <v>3</v>
      </c>
      <c r="E764" s="15" t="str">
        <f t="shared" si="1"/>
        <v/>
      </c>
      <c r="F764" s="16">
        <f t="shared" si="2"/>
        <v>0</v>
      </c>
      <c r="G764" s="16">
        <f>IF(D764&lt;=mortTerm, -PMT(mortRate/12, mortTerm*12, C764)*12, 0)
</f>
        <v>0</v>
      </c>
      <c r="H764" s="16">
        <f>IF(D764&lt;=mortTerm, G764 - I764, 0)
</f>
        <v>0</v>
      </c>
      <c r="I764" s="16">
        <f>IF(D764&lt;=mortTerm, F764 - J764, 0)
</f>
        <v>0</v>
      </c>
      <c r="J764" s="16">
        <f>IF(D764&lt;=mortTerm,
   F764*(1+mortRate/12)^12 - (-PMT(mortRate/12, mortTerm*12, C764))*(((1+mortRate/12)^12 - 1)/(mortRate/12)),
   0
)
</f>
        <v>0</v>
      </c>
      <c r="K764" s="13" t="str">
        <f>IFERROR(__xludf.DUMMYFUNCTION("IF(A764="""","""",
   IF(F764&gt;0,
      INDEX(FILTER('RE Portfolio'!L$2:L2000,'RE Portfolio'!D$2:D2000=""BUY""), INT((ROW()-2)/amortYears)+1) - G764,
      INDEX(FILTER('RE Portfolio'!L$2:L2000,'RE Portfolio'!D$2:D2000=""BUY""), INT((ROW()-2)/amortYears)+1"&amp;")
   )
)
"),"")</f>
        <v/>
      </c>
      <c r="L764" s="15" t="str">
        <f>IFERROR(__xludf.DUMMYFUNCTION("IF(A764="""","""",
  INDEX(FILTER('RE Portfolio'!C$2:C2000,'RE Portfolio'!D$2:D2000=""BUY""), INT((ROW()-2)/amortYears)+1)
  * (1 + VALUE(Assumptions!$B$11))^(D764-1)
)
"),"")</f>
        <v/>
      </c>
    </row>
    <row r="765">
      <c r="A765" s="15" t="str">
        <f>IFERROR(__xludf.DUMMYFUNCTION("IFERROR(INDEX(FILTER('RE Portfolio'!A$2:A2000,'RE Portfolio'!D$2:D2000=""BUY""), INT((ROW()-2)/amortYears)+1), )
"),"")</f>
        <v/>
      </c>
      <c r="B765" s="15" t="str">
        <f>IFERROR(__xludf.DUMMYFUNCTION("IFERROR(INDEX(FILTER('RE Portfolio'!B$2:B2000,'RE Portfolio'!D$2:D2000=""BUY""), INT((ROW()-2)/amortYears)+1), )
"),"")</f>
        <v/>
      </c>
      <c r="C765" s="15" t="str">
        <f>IFERROR(__xludf.DUMMYFUNCTION("IFERROR(INDEX(FILTER('RE Portfolio'!G$2:G2000,'RE Portfolio'!D$2:D2000=""BUY""), INT((ROW()-2)/amortYears)+1), )
"),"")</f>
        <v/>
      </c>
      <c r="D765" s="15">
        <f>MOD(ROW()-2, amortYears)+1</f>
        <v>4</v>
      </c>
      <c r="E765" s="15" t="str">
        <f t="shared" si="1"/>
        <v/>
      </c>
      <c r="F765" s="16">
        <f t="shared" si="2"/>
        <v>0</v>
      </c>
      <c r="G765" s="16">
        <f>IF(D765&lt;=mortTerm, -PMT(mortRate/12, mortTerm*12, C765)*12, 0)
</f>
        <v>0</v>
      </c>
      <c r="H765" s="16">
        <f>IF(D765&lt;=mortTerm, G765 - I765, 0)
</f>
        <v>0</v>
      </c>
      <c r="I765" s="16">
        <f>IF(D765&lt;=mortTerm, F765 - J765, 0)
</f>
        <v>0</v>
      </c>
      <c r="J765" s="16">
        <f>IF(D765&lt;=mortTerm,
   F765*(1+mortRate/12)^12 - (-PMT(mortRate/12, mortTerm*12, C765))*(((1+mortRate/12)^12 - 1)/(mortRate/12)),
   0
)
</f>
        <v>0</v>
      </c>
      <c r="K765" s="13" t="str">
        <f>IFERROR(__xludf.DUMMYFUNCTION("IF(A765="""","""",
   IF(F765&gt;0,
      INDEX(FILTER('RE Portfolio'!L$2:L2000,'RE Portfolio'!D$2:D2000=""BUY""), INT((ROW()-2)/amortYears)+1) - G765,
      INDEX(FILTER('RE Portfolio'!L$2:L2000,'RE Portfolio'!D$2:D2000=""BUY""), INT((ROW()-2)/amortYears)+1"&amp;")
   )
)
"),"")</f>
        <v/>
      </c>
      <c r="L765" s="15" t="str">
        <f>IFERROR(__xludf.DUMMYFUNCTION("IF(A765="""","""",
  INDEX(FILTER('RE Portfolio'!C$2:C2000,'RE Portfolio'!D$2:D2000=""BUY""), INT((ROW()-2)/amortYears)+1)
  * (1 + VALUE(Assumptions!$B$11))^(D765-1)
)
"),"")</f>
        <v/>
      </c>
    </row>
    <row r="766">
      <c r="A766" s="15" t="str">
        <f>IFERROR(__xludf.DUMMYFUNCTION("IFERROR(INDEX(FILTER('RE Portfolio'!A$2:A2000,'RE Portfolio'!D$2:D2000=""BUY""), INT((ROW()-2)/amortYears)+1), )
"),"")</f>
        <v/>
      </c>
      <c r="B766" s="15" t="str">
        <f>IFERROR(__xludf.DUMMYFUNCTION("IFERROR(INDEX(FILTER('RE Portfolio'!B$2:B2000,'RE Portfolio'!D$2:D2000=""BUY""), INT((ROW()-2)/amortYears)+1), )
"),"")</f>
        <v/>
      </c>
      <c r="C766" s="15" t="str">
        <f>IFERROR(__xludf.DUMMYFUNCTION("IFERROR(INDEX(FILTER('RE Portfolio'!G$2:G2000,'RE Portfolio'!D$2:D2000=""BUY""), INT((ROW()-2)/amortYears)+1), )
"),"")</f>
        <v/>
      </c>
      <c r="D766" s="15">
        <f>MOD(ROW()-2, amortYears)+1</f>
        <v>5</v>
      </c>
      <c r="E766" s="15" t="str">
        <f t="shared" si="1"/>
        <v/>
      </c>
      <c r="F766" s="16">
        <f t="shared" si="2"/>
        <v>0</v>
      </c>
      <c r="G766" s="16">
        <f>IF(D766&lt;=mortTerm, -PMT(mortRate/12, mortTerm*12, C766)*12, 0)
</f>
        <v>0</v>
      </c>
      <c r="H766" s="16">
        <f>IF(D766&lt;=mortTerm, G766 - I766, 0)
</f>
        <v>0</v>
      </c>
      <c r="I766" s="16">
        <f>IF(D766&lt;=mortTerm, F766 - J766, 0)
</f>
        <v>0</v>
      </c>
      <c r="J766" s="16">
        <f>IF(D766&lt;=mortTerm,
   F766*(1+mortRate/12)^12 - (-PMT(mortRate/12, mortTerm*12, C766))*(((1+mortRate/12)^12 - 1)/(mortRate/12)),
   0
)
</f>
        <v>0</v>
      </c>
      <c r="K766" s="13" t="str">
        <f>IFERROR(__xludf.DUMMYFUNCTION("IF(A766="""","""",
   IF(F766&gt;0,
      INDEX(FILTER('RE Portfolio'!L$2:L2000,'RE Portfolio'!D$2:D2000=""BUY""), INT((ROW()-2)/amortYears)+1) - G766,
      INDEX(FILTER('RE Portfolio'!L$2:L2000,'RE Portfolio'!D$2:D2000=""BUY""), INT((ROW()-2)/amortYears)+1"&amp;")
   )
)
"),"")</f>
        <v/>
      </c>
      <c r="L766" s="15" t="str">
        <f>IFERROR(__xludf.DUMMYFUNCTION("IF(A766="""","""",
  INDEX(FILTER('RE Portfolio'!C$2:C2000,'RE Portfolio'!D$2:D2000=""BUY""), INT((ROW()-2)/amortYears)+1)
  * (1 + VALUE(Assumptions!$B$11))^(D766-1)
)
"),"")</f>
        <v/>
      </c>
    </row>
    <row r="767">
      <c r="A767" s="15" t="str">
        <f>IFERROR(__xludf.DUMMYFUNCTION("IFERROR(INDEX(FILTER('RE Portfolio'!A$2:A2000,'RE Portfolio'!D$2:D2000=""BUY""), INT((ROW()-2)/amortYears)+1), )
"),"")</f>
        <v/>
      </c>
      <c r="B767" s="15" t="str">
        <f>IFERROR(__xludf.DUMMYFUNCTION("IFERROR(INDEX(FILTER('RE Portfolio'!B$2:B2000,'RE Portfolio'!D$2:D2000=""BUY""), INT((ROW()-2)/amortYears)+1), )
"),"")</f>
        <v/>
      </c>
      <c r="C767" s="15" t="str">
        <f>IFERROR(__xludf.DUMMYFUNCTION("IFERROR(INDEX(FILTER('RE Portfolio'!G$2:G2000,'RE Portfolio'!D$2:D2000=""BUY""), INT((ROW()-2)/amortYears)+1), )
"),"")</f>
        <v/>
      </c>
      <c r="D767" s="15">
        <f>MOD(ROW()-2, amortYears)+1</f>
        <v>6</v>
      </c>
      <c r="E767" s="15" t="str">
        <f t="shared" si="1"/>
        <v/>
      </c>
      <c r="F767" s="16">
        <f t="shared" si="2"/>
        <v>0</v>
      </c>
      <c r="G767" s="16">
        <f>IF(D767&lt;=mortTerm, -PMT(mortRate/12, mortTerm*12, C767)*12, 0)
</f>
        <v>0</v>
      </c>
      <c r="H767" s="16">
        <f>IF(D767&lt;=mortTerm, G767 - I767, 0)
</f>
        <v>0</v>
      </c>
      <c r="I767" s="16">
        <f>IF(D767&lt;=mortTerm, F767 - J767, 0)
</f>
        <v>0</v>
      </c>
      <c r="J767" s="16">
        <f>IF(D767&lt;=mortTerm,
   F767*(1+mortRate/12)^12 - (-PMT(mortRate/12, mortTerm*12, C767))*(((1+mortRate/12)^12 - 1)/(mortRate/12)),
   0
)
</f>
        <v>0</v>
      </c>
      <c r="K767" s="13" t="str">
        <f>IFERROR(__xludf.DUMMYFUNCTION("IF(A767="""","""",
   IF(F767&gt;0,
      INDEX(FILTER('RE Portfolio'!L$2:L2000,'RE Portfolio'!D$2:D2000=""BUY""), INT((ROW()-2)/amortYears)+1) - G767,
      INDEX(FILTER('RE Portfolio'!L$2:L2000,'RE Portfolio'!D$2:D2000=""BUY""), INT((ROW()-2)/amortYears)+1"&amp;")
   )
)
"),"")</f>
        <v/>
      </c>
      <c r="L767" s="15" t="str">
        <f>IFERROR(__xludf.DUMMYFUNCTION("IF(A767="""","""",
  INDEX(FILTER('RE Portfolio'!C$2:C2000,'RE Portfolio'!D$2:D2000=""BUY""), INT((ROW()-2)/amortYears)+1)
  * (1 + VALUE(Assumptions!$B$11))^(D767-1)
)
"),"")</f>
        <v/>
      </c>
    </row>
    <row r="768">
      <c r="A768" s="15" t="str">
        <f>IFERROR(__xludf.DUMMYFUNCTION("IFERROR(INDEX(FILTER('RE Portfolio'!A$2:A2000,'RE Portfolio'!D$2:D2000=""BUY""), INT((ROW()-2)/amortYears)+1), )
"),"")</f>
        <v/>
      </c>
      <c r="B768" s="15" t="str">
        <f>IFERROR(__xludf.DUMMYFUNCTION("IFERROR(INDEX(FILTER('RE Portfolio'!B$2:B2000,'RE Portfolio'!D$2:D2000=""BUY""), INT((ROW()-2)/amortYears)+1), )
"),"")</f>
        <v/>
      </c>
      <c r="C768" s="15" t="str">
        <f>IFERROR(__xludf.DUMMYFUNCTION("IFERROR(INDEX(FILTER('RE Portfolio'!G$2:G2000,'RE Portfolio'!D$2:D2000=""BUY""), INT((ROW()-2)/amortYears)+1), )
"),"")</f>
        <v/>
      </c>
      <c r="D768" s="15">
        <f>MOD(ROW()-2, amortYears)+1</f>
        <v>7</v>
      </c>
      <c r="E768" s="15" t="str">
        <f t="shared" si="1"/>
        <v/>
      </c>
      <c r="F768" s="16">
        <f t="shared" si="2"/>
        <v>0</v>
      </c>
      <c r="G768" s="16">
        <f>IF(D768&lt;=mortTerm, -PMT(mortRate/12, mortTerm*12, C768)*12, 0)
</f>
        <v>0</v>
      </c>
      <c r="H768" s="16">
        <f>IF(D768&lt;=mortTerm, G768 - I768, 0)
</f>
        <v>0</v>
      </c>
      <c r="I768" s="16">
        <f>IF(D768&lt;=mortTerm, F768 - J768, 0)
</f>
        <v>0</v>
      </c>
      <c r="J768" s="16">
        <f>IF(D768&lt;=mortTerm,
   F768*(1+mortRate/12)^12 - (-PMT(mortRate/12, mortTerm*12, C768))*(((1+mortRate/12)^12 - 1)/(mortRate/12)),
   0
)
</f>
        <v>0</v>
      </c>
      <c r="K768" s="13" t="str">
        <f>IFERROR(__xludf.DUMMYFUNCTION("IF(A768="""","""",
   IF(F768&gt;0,
      INDEX(FILTER('RE Portfolio'!L$2:L2000,'RE Portfolio'!D$2:D2000=""BUY""), INT((ROW()-2)/amortYears)+1) - G768,
      INDEX(FILTER('RE Portfolio'!L$2:L2000,'RE Portfolio'!D$2:D2000=""BUY""), INT((ROW()-2)/amortYears)+1"&amp;")
   )
)
"),"")</f>
        <v/>
      </c>
      <c r="L768" s="15" t="str">
        <f>IFERROR(__xludf.DUMMYFUNCTION("IF(A768="""","""",
  INDEX(FILTER('RE Portfolio'!C$2:C2000,'RE Portfolio'!D$2:D2000=""BUY""), INT((ROW()-2)/amortYears)+1)
  * (1 + VALUE(Assumptions!$B$11))^(D768-1)
)
"),"")</f>
        <v/>
      </c>
    </row>
    <row r="769">
      <c r="A769" s="15" t="str">
        <f>IFERROR(__xludf.DUMMYFUNCTION("IFERROR(INDEX(FILTER('RE Portfolio'!A$2:A2000,'RE Portfolio'!D$2:D2000=""BUY""), INT((ROW()-2)/amortYears)+1), )
"),"")</f>
        <v/>
      </c>
      <c r="B769" s="15" t="str">
        <f>IFERROR(__xludf.DUMMYFUNCTION("IFERROR(INDEX(FILTER('RE Portfolio'!B$2:B2000,'RE Portfolio'!D$2:D2000=""BUY""), INT((ROW()-2)/amortYears)+1), )
"),"")</f>
        <v/>
      </c>
      <c r="C769" s="15" t="str">
        <f>IFERROR(__xludf.DUMMYFUNCTION("IFERROR(INDEX(FILTER('RE Portfolio'!G$2:G2000,'RE Portfolio'!D$2:D2000=""BUY""), INT((ROW()-2)/amortYears)+1), )
"),"")</f>
        <v/>
      </c>
      <c r="D769" s="15">
        <f>MOD(ROW()-2, amortYears)+1</f>
        <v>8</v>
      </c>
      <c r="E769" s="15" t="str">
        <f t="shared" si="1"/>
        <v/>
      </c>
      <c r="F769" s="16">
        <f t="shared" si="2"/>
        <v>0</v>
      </c>
      <c r="G769" s="16">
        <f>IF(D769&lt;=mortTerm, -PMT(mortRate/12, mortTerm*12, C769)*12, 0)
</f>
        <v>0</v>
      </c>
      <c r="H769" s="16">
        <f>IF(D769&lt;=mortTerm, G769 - I769, 0)
</f>
        <v>0</v>
      </c>
      <c r="I769" s="16">
        <f>IF(D769&lt;=mortTerm, F769 - J769, 0)
</f>
        <v>0</v>
      </c>
      <c r="J769" s="16">
        <f>IF(D769&lt;=mortTerm,
   F769*(1+mortRate/12)^12 - (-PMT(mortRate/12, mortTerm*12, C769))*(((1+mortRate/12)^12 - 1)/(mortRate/12)),
   0
)
</f>
        <v>0</v>
      </c>
      <c r="K769" s="13" t="str">
        <f>IFERROR(__xludf.DUMMYFUNCTION("IF(A769="""","""",
   IF(F769&gt;0,
      INDEX(FILTER('RE Portfolio'!L$2:L2000,'RE Portfolio'!D$2:D2000=""BUY""), INT((ROW()-2)/amortYears)+1) - G769,
      INDEX(FILTER('RE Portfolio'!L$2:L2000,'RE Portfolio'!D$2:D2000=""BUY""), INT((ROW()-2)/amortYears)+1"&amp;")
   )
)
"),"")</f>
        <v/>
      </c>
      <c r="L769" s="15" t="str">
        <f>IFERROR(__xludf.DUMMYFUNCTION("IF(A769="""","""",
  INDEX(FILTER('RE Portfolio'!C$2:C2000,'RE Portfolio'!D$2:D2000=""BUY""), INT((ROW()-2)/amortYears)+1)
  * (1 + VALUE(Assumptions!$B$11))^(D769-1)
)
"),"")</f>
        <v/>
      </c>
    </row>
    <row r="770">
      <c r="A770" s="15" t="str">
        <f>IFERROR(__xludf.DUMMYFUNCTION("IFERROR(INDEX(FILTER('RE Portfolio'!A$2:A2000,'RE Portfolio'!D$2:D2000=""BUY""), INT((ROW()-2)/amortYears)+1), )
"),"")</f>
        <v/>
      </c>
      <c r="B770" s="15" t="str">
        <f>IFERROR(__xludf.DUMMYFUNCTION("IFERROR(INDEX(FILTER('RE Portfolio'!B$2:B2000,'RE Portfolio'!D$2:D2000=""BUY""), INT((ROW()-2)/amortYears)+1), )
"),"")</f>
        <v/>
      </c>
      <c r="C770" s="15" t="str">
        <f>IFERROR(__xludf.DUMMYFUNCTION("IFERROR(INDEX(FILTER('RE Portfolio'!G$2:G2000,'RE Portfolio'!D$2:D2000=""BUY""), INT((ROW()-2)/amortYears)+1), )
"),"")</f>
        <v/>
      </c>
      <c r="D770" s="15">
        <f>MOD(ROW()-2, amortYears)+1</f>
        <v>9</v>
      </c>
      <c r="E770" s="15" t="str">
        <f t="shared" si="1"/>
        <v/>
      </c>
      <c r="F770" s="16">
        <f t="shared" si="2"/>
        <v>0</v>
      </c>
      <c r="G770" s="16">
        <f>IF(D770&lt;=mortTerm, -PMT(mortRate/12, mortTerm*12, C770)*12, 0)
</f>
        <v>0</v>
      </c>
      <c r="H770" s="16">
        <f>IF(D770&lt;=mortTerm, G770 - I770, 0)
</f>
        <v>0</v>
      </c>
      <c r="I770" s="16">
        <f>IF(D770&lt;=mortTerm, F770 - J770, 0)
</f>
        <v>0</v>
      </c>
      <c r="J770" s="16">
        <f>IF(D770&lt;=mortTerm,
   F770*(1+mortRate/12)^12 - (-PMT(mortRate/12, mortTerm*12, C770))*(((1+mortRate/12)^12 - 1)/(mortRate/12)),
   0
)
</f>
        <v>0</v>
      </c>
      <c r="K770" s="13" t="str">
        <f>IFERROR(__xludf.DUMMYFUNCTION("IF(A770="""","""",
   IF(F770&gt;0,
      INDEX(FILTER('RE Portfolio'!L$2:L2000,'RE Portfolio'!D$2:D2000=""BUY""), INT((ROW()-2)/amortYears)+1) - G770,
      INDEX(FILTER('RE Portfolio'!L$2:L2000,'RE Portfolio'!D$2:D2000=""BUY""), INT((ROW()-2)/amortYears)+1"&amp;")
   )
)
"),"")</f>
        <v/>
      </c>
      <c r="L770" s="15" t="str">
        <f>IFERROR(__xludf.DUMMYFUNCTION("IF(A770="""","""",
  INDEX(FILTER('RE Portfolio'!C$2:C2000,'RE Portfolio'!D$2:D2000=""BUY""), INT((ROW()-2)/amortYears)+1)
  * (1 + VALUE(Assumptions!$B$11))^(D770-1)
)
"),"")</f>
        <v/>
      </c>
    </row>
    <row r="771">
      <c r="A771" s="15" t="str">
        <f>IFERROR(__xludf.DUMMYFUNCTION("IFERROR(INDEX(FILTER('RE Portfolio'!A$2:A2000,'RE Portfolio'!D$2:D2000=""BUY""), INT((ROW()-2)/amortYears)+1), )
"),"")</f>
        <v/>
      </c>
      <c r="B771" s="15" t="str">
        <f>IFERROR(__xludf.DUMMYFUNCTION("IFERROR(INDEX(FILTER('RE Portfolio'!B$2:B2000,'RE Portfolio'!D$2:D2000=""BUY""), INT((ROW()-2)/amortYears)+1), )
"),"")</f>
        <v/>
      </c>
      <c r="C771" s="15" t="str">
        <f>IFERROR(__xludf.DUMMYFUNCTION("IFERROR(INDEX(FILTER('RE Portfolio'!G$2:G2000,'RE Portfolio'!D$2:D2000=""BUY""), INT((ROW()-2)/amortYears)+1), )
"),"")</f>
        <v/>
      </c>
      <c r="D771" s="15">
        <f>MOD(ROW()-2, amortYears)+1</f>
        <v>10</v>
      </c>
      <c r="E771" s="15" t="str">
        <f t="shared" si="1"/>
        <v/>
      </c>
      <c r="F771" s="16">
        <f t="shared" si="2"/>
        <v>0</v>
      </c>
      <c r="G771" s="16">
        <f>IF(D771&lt;=mortTerm, -PMT(mortRate/12, mortTerm*12, C771)*12, 0)
</f>
        <v>0</v>
      </c>
      <c r="H771" s="16">
        <f>IF(D771&lt;=mortTerm, G771 - I771, 0)
</f>
        <v>0</v>
      </c>
      <c r="I771" s="16">
        <f>IF(D771&lt;=mortTerm, F771 - J771, 0)
</f>
        <v>0</v>
      </c>
      <c r="J771" s="16">
        <f>IF(D771&lt;=mortTerm,
   F771*(1+mortRate/12)^12 - (-PMT(mortRate/12, mortTerm*12, C771))*(((1+mortRate/12)^12 - 1)/(mortRate/12)),
   0
)
</f>
        <v>0</v>
      </c>
      <c r="K771" s="13" t="str">
        <f>IFERROR(__xludf.DUMMYFUNCTION("IF(A771="""","""",
   IF(F771&gt;0,
      INDEX(FILTER('RE Portfolio'!L$2:L2000,'RE Portfolio'!D$2:D2000=""BUY""), INT((ROW()-2)/amortYears)+1) - G771,
      INDEX(FILTER('RE Portfolio'!L$2:L2000,'RE Portfolio'!D$2:D2000=""BUY""), INT((ROW()-2)/amortYears)+1"&amp;")
   )
)
"),"")</f>
        <v/>
      </c>
      <c r="L771" s="15" t="str">
        <f>IFERROR(__xludf.DUMMYFUNCTION("IF(A771="""","""",
  INDEX(FILTER('RE Portfolio'!C$2:C2000,'RE Portfolio'!D$2:D2000=""BUY""), INT((ROW()-2)/amortYears)+1)
  * (1 + VALUE(Assumptions!$B$11))^(D771-1)
)
"),"")</f>
        <v/>
      </c>
    </row>
    <row r="772">
      <c r="A772" s="15" t="str">
        <f>IFERROR(__xludf.DUMMYFUNCTION("IFERROR(INDEX(FILTER('RE Portfolio'!A$2:A2000,'RE Portfolio'!D$2:D2000=""BUY""), INT((ROW()-2)/amortYears)+1), )
"),"")</f>
        <v/>
      </c>
      <c r="B772" s="15" t="str">
        <f>IFERROR(__xludf.DUMMYFUNCTION("IFERROR(INDEX(FILTER('RE Portfolio'!B$2:B2000,'RE Portfolio'!D$2:D2000=""BUY""), INT((ROW()-2)/amortYears)+1), )
"),"")</f>
        <v/>
      </c>
      <c r="C772" s="15" t="str">
        <f>IFERROR(__xludf.DUMMYFUNCTION("IFERROR(INDEX(FILTER('RE Portfolio'!G$2:G2000,'RE Portfolio'!D$2:D2000=""BUY""), INT((ROW()-2)/amortYears)+1), )
"),"")</f>
        <v/>
      </c>
      <c r="D772" s="15">
        <f>MOD(ROW()-2, amortYears)+1</f>
        <v>11</v>
      </c>
      <c r="E772" s="15" t="str">
        <f t="shared" si="1"/>
        <v/>
      </c>
      <c r="F772" s="16">
        <f t="shared" si="2"/>
        <v>0</v>
      </c>
      <c r="G772" s="16">
        <f>IF(D772&lt;=mortTerm, -PMT(mortRate/12, mortTerm*12, C772)*12, 0)
</f>
        <v>0</v>
      </c>
      <c r="H772" s="16">
        <f>IF(D772&lt;=mortTerm, G772 - I772, 0)
</f>
        <v>0</v>
      </c>
      <c r="I772" s="16">
        <f>IF(D772&lt;=mortTerm, F772 - J772, 0)
</f>
        <v>0</v>
      </c>
      <c r="J772" s="16">
        <f>IF(D772&lt;=mortTerm,
   F772*(1+mortRate/12)^12 - (-PMT(mortRate/12, mortTerm*12, C772))*(((1+mortRate/12)^12 - 1)/(mortRate/12)),
   0
)
</f>
        <v>0</v>
      </c>
      <c r="K772" s="13" t="str">
        <f>IFERROR(__xludf.DUMMYFUNCTION("IF(A772="""","""",
   IF(F772&gt;0,
      INDEX(FILTER('RE Portfolio'!L$2:L2000,'RE Portfolio'!D$2:D2000=""BUY""), INT((ROW()-2)/amortYears)+1) - G772,
      INDEX(FILTER('RE Portfolio'!L$2:L2000,'RE Portfolio'!D$2:D2000=""BUY""), INT((ROW()-2)/amortYears)+1"&amp;")
   )
)
"),"")</f>
        <v/>
      </c>
      <c r="L772" s="15" t="str">
        <f>IFERROR(__xludf.DUMMYFUNCTION("IF(A772="""","""",
  INDEX(FILTER('RE Portfolio'!C$2:C2000,'RE Portfolio'!D$2:D2000=""BUY""), INT((ROW()-2)/amortYears)+1)
  * (1 + VALUE(Assumptions!$B$11))^(D772-1)
)
"),"")</f>
        <v/>
      </c>
    </row>
    <row r="773">
      <c r="A773" s="15" t="str">
        <f>IFERROR(__xludf.DUMMYFUNCTION("IFERROR(INDEX(FILTER('RE Portfolio'!A$2:A2000,'RE Portfolio'!D$2:D2000=""BUY""), INT((ROW()-2)/amortYears)+1), )
"),"")</f>
        <v/>
      </c>
      <c r="B773" s="15" t="str">
        <f>IFERROR(__xludf.DUMMYFUNCTION("IFERROR(INDEX(FILTER('RE Portfolio'!B$2:B2000,'RE Portfolio'!D$2:D2000=""BUY""), INT((ROW()-2)/amortYears)+1), )
"),"")</f>
        <v/>
      </c>
      <c r="C773" s="15" t="str">
        <f>IFERROR(__xludf.DUMMYFUNCTION("IFERROR(INDEX(FILTER('RE Portfolio'!G$2:G2000,'RE Portfolio'!D$2:D2000=""BUY""), INT((ROW()-2)/amortYears)+1), )
"),"")</f>
        <v/>
      </c>
      <c r="D773" s="15">
        <f>MOD(ROW()-2, amortYears)+1</f>
        <v>12</v>
      </c>
      <c r="E773" s="15" t="str">
        <f t="shared" si="1"/>
        <v/>
      </c>
      <c r="F773" s="16">
        <f t="shared" si="2"/>
        <v>0</v>
      </c>
      <c r="G773" s="16">
        <f>IF(D773&lt;=mortTerm, -PMT(mortRate/12, mortTerm*12, C773)*12, 0)
</f>
        <v>0</v>
      </c>
      <c r="H773" s="16">
        <f>IF(D773&lt;=mortTerm, G773 - I773, 0)
</f>
        <v>0</v>
      </c>
      <c r="I773" s="16">
        <f>IF(D773&lt;=mortTerm, F773 - J773, 0)
</f>
        <v>0</v>
      </c>
      <c r="J773" s="16">
        <f>IF(D773&lt;=mortTerm,
   F773*(1+mortRate/12)^12 - (-PMT(mortRate/12, mortTerm*12, C773))*(((1+mortRate/12)^12 - 1)/(mortRate/12)),
   0
)
</f>
        <v>0</v>
      </c>
      <c r="K773" s="13" t="str">
        <f>IFERROR(__xludf.DUMMYFUNCTION("IF(A773="""","""",
   IF(F773&gt;0,
      INDEX(FILTER('RE Portfolio'!L$2:L2000,'RE Portfolio'!D$2:D2000=""BUY""), INT((ROW()-2)/amortYears)+1) - G773,
      INDEX(FILTER('RE Portfolio'!L$2:L2000,'RE Portfolio'!D$2:D2000=""BUY""), INT((ROW()-2)/amortYears)+1"&amp;")
   )
)
"),"")</f>
        <v/>
      </c>
      <c r="L773" s="15" t="str">
        <f>IFERROR(__xludf.DUMMYFUNCTION("IF(A773="""","""",
  INDEX(FILTER('RE Portfolio'!C$2:C2000,'RE Portfolio'!D$2:D2000=""BUY""), INT((ROW()-2)/amortYears)+1)
  * (1 + VALUE(Assumptions!$B$11))^(D773-1)
)
"),"")</f>
        <v/>
      </c>
    </row>
    <row r="774">
      <c r="A774" s="15" t="str">
        <f>IFERROR(__xludf.DUMMYFUNCTION("IFERROR(INDEX(FILTER('RE Portfolio'!A$2:A2000,'RE Portfolio'!D$2:D2000=""BUY""), INT((ROW()-2)/amortYears)+1), )
"),"")</f>
        <v/>
      </c>
      <c r="B774" s="15" t="str">
        <f>IFERROR(__xludf.DUMMYFUNCTION("IFERROR(INDEX(FILTER('RE Portfolio'!B$2:B2000,'RE Portfolio'!D$2:D2000=""BUY""), INT((ROW()-2)/amortYears)+1), )
"),"")</f>
        <v/>
      </c>
      <c r="C774" s="15" t="str">
        <f>IFERROR(__xludf.DUMMYFUNCTION("IFERROR(INDEX(FILTER('RE Portfolio'!G$2:G2000,'RE Portfolio'!D$2:D2000=""BUY""), INT((ROW()-2)/amortYears)+1), )
"),"")</f>
        <v/>
      </c>
      <c r="D774" s="15">
        <f>MOD(ROW()-2, amortYears)+1</f>
        <v>13</v>
      </c>
      <c r="E774" s="15" t="str">
        <f t="shared" si="1"/>
        <v/>
      </c>
      <c r="F774" s="16">
        <f t="shared" si="2"/>
        <v>0</v>
      </c>
      <c r="G774" s="16">
        <f>IF(D774&lt;=mortTerm, -PMT(mortRate/12, mortTerm*12, C774)*12, 0)
</f>
        <v>0</v>
      </c>
      <c r="H774" s="16">
        <f>IF(D774&lt;=mortTerm, G774 - I774, 0)
</f>
        <v>0</v>
      </c>
      <c r="I774" s="16">
        <f>IF(D774&lt;=mortTerm, F774 - J774, 0)
</f>
        <v>0</v>
      </c>
      <c r="J774" s="16">
        <f>IF(D774&lt;=mortTerm,
   F774*(1+mortRate/12)^12 - (-PMT(mortRate/12, mortTerm*12, C774))*(((1+mortRate/12)^12 - 1)/(mortRate/12)),
   0
)
</f>
        <v>0</v>
      </c>
      <c r="K774" s="13" t="str">
        <f>IFERROR(__xludf.DUMMYFUNCTION("IF(A774="""","""",
   IF(F774&gt;0,
      INDEX(FILTER('RE Portfolio'!L$2:L2000,'RE Portfolio'!D$2:D2000=""BUY""), INT((ROW()-2)/amortYears)+1) - G774,
      INDEX(FILTER('RE Portfolio'!L$2:L2000,'RE Portfolio'!D$2:D2000=""BUY""), INT((ROW()-2)/amortYears)+1"&amp;")
   )
)
"),"")</f>
        <v/>
      </c>
      <c r="L774" s="15" t="str">
        <f>IFERROR(__xludf.DUMMYFUNCTION("IF(A774="""","""",
  INDEX(FILTER('RE Portfolio'!C$2:C2000,'RE Portfolio'!D$2:D2000=""BUY""), INT((ROW()-2)/amortYears)+1)
  * (1 + VALUE(Assumptions!$B$11))^(D774-1)
)
"),"")</f>
        <v/>
      </c>
    </row>
    <row r="775">
      <c r="A775" s="15" t="str">
        <f>IFERROR(__xludf.DUMMYFUNCTION("IFERROR(INDEX(FILTER('RE Portfolio'!A$2:A2000,'RE Portfolio'!D$2:D2000=""BUY""), INT((ROW()-2)/amortYears)+1), )
"),"")</f>
        <v/>
      </c>
      <c r="B775" s="15" t="str">
        <f>IFERROR(__xludf.DUMMYFUNCTION("IFERROR(INDEX(FILTER('RE Portfolio'!B$2:B2000,'RE Portfolio'!D$2:D2000=""BUY""), INT((ROW()-2)/amortYears)+1), )
"),"")</f>
        <v/>
      </c>
      <c r="C775" s="15" t="str">
        <f>IFERROR(__xludf.DUMMYFUNCTION("IFERROR(INDEX(FILTER('RE Portfolio'!G$2:G2000,'RE Portfolio'!D$2:D2000=""BUY""), INT((ROW()-2)/amortYears)+1), )
"),"")</f>
        <v/>
      </c>
      <c r="D775" s="15">
        <f>MOD(ROW()-2, amortYears)+1</f>
        <v>14</v>
      </c>
      <c r="E775" s="15" t="str">
        <f t="shared" si="1"/>
        <v/>
      </c>
      <c r="F775" s="16">
        <f t="shared" si="2"/>
        <v>0</v>
      </c>
      <c r="G775" s="16">
        <f>IF(D775&lt;=mortTerm, -PMT(mortRate/12, mortTerm*12, C775)*12, 0)
</f>
        <v>0</v>
      </c>
      <c r="H775" s="16">
        <f>IF(D775&lt;=mortTerm, G775 - I775, 0)
</f>
        <v>0</v>
      </c>
      <c r="I775" s="16">
        <f>IF(D775&lt;=mortTerm, F775 - J775, 0)
</f>
        <v>0</v>
      </c>
      <c r="J775" s="16">
        <f>IF(D775&lt;=mortTerm,
   F775*(1+mortRate/12)^12 - (-PMT(mortRate/12, mortTerm*12, C775))*(((1+mortRate/12)^12 - 1)/(mortRate/12)),
   0
)
</f>
        <v>0</v>
      </c>
      <c r="K775" s="13" t="str">
        <f>IFERROR(__xludf.DUMMYFUNCTION("IF(A775="""","""",
   IF(F775&gt;0,
      INDEX(FILTER('RE Portfolio'!L$2:L2000,'RE Portfolio'!D$2:D2000=""BUY""), INT((ROW()-2)/amortYears)+1) - G775,
      INDEX(FILTER('RE Portfolio'!L$2:L2000,'RE Portfolio'!D$2:D2000=""BUY""), INT((ROW()-2)/amortYears)+1"&amp;")
   )
)
"),"")</f>
        <v/>
      </c>
      <c r="L775" s="15" t="str">
        <f>IFERROR(__xludf.DUMMYFUNCTION("IF(A775="""","""",
  INDEX(FILTER('RE Portfolio'!C$2:C2000,'RE Portfolio'!D$2:D2000=""BUY""), INT((ROW()-2)/amortYears)+1)
  * (1 + VALUE(Assumptions!$B$11))^(D775-1)
)
"),"")</f>
        <v/>
      </c>
    </row>
    <row r="776">
      <c r="A776" s="15" t="str">
        <f>IFERROR(__xludf.DUMMYFUNCTION("IFERROR(INDEX(FILTER('RE Portfolio'!A$2:A2000,'RE Portfolio'!D$2:D2000=""BUY""), INT((ROW()-2)/amortYears)+1), )
"),"")</f>
        <v/>
      </c>
      <c r="B776" s="15" t="str">
        <f>IFERROR(__xludf.DUMMYFUNCTION("IFERROR(INDEX(FILTER('RE Portfolio'!B$2:B2000,'RE Portfolio'!D$2:D2000=""BUY""), INT((ROW()-2)/amortYears)+1), )
"),"")</f>
        <v/>
      </c>
      <c r="C776" s="15" t="str">
        <f>IFERROR(__xludf.DUMMYFUNCTION("IFERROR(INDEX(FILTER('RE Portfolio'!G$2:G2000,'RE Portfolio'!D$2:D2000=""BUY""), INT((ROW()-2)/amortYears)+1), )
"),"")</f>
        <v/>
      </c>
      <c r="D776" s="15">
        <f>MOD(ROW()-2, amortYears)+1</f>
        <v>15</v>
      </c>
      <c r="E776" s="15" t="str">
        <f t="shared" si="1"/>
        <v/>
      </c>
      <c r="F776" s="16">
        <f t="shared" si="2"/>
        <v>0</v>
      </c>
      <c r="G776" s="16">
        <f>IF(D776&lt;=mortTerm, -PMT(mortRate/12, mortTerm*12, C776)*12, 0)
</f>
        <v>0</v>
      </c>
      <c r="H776" s="16">
        <f>IF(D776&lt;=mortTerm, G776 - I776, 0)
</f>
        <v>0</v>
      </c>
      <c r="I776" s="16">
        <f>IF(D776&lt;=mortTerm, F776 - J776, 0)
</f>
        <v>0</v>
      </c>
      <c r="J776" s="16">
        <f>IF(D776&lt;=mortTerm,
   F776*(1+mortRate/12)^12 - (-PMT(mortRate/12, mortTerm*12, C776))*(((1+mortRate/12)^12 - 1)/(mortRate/12)),
   0
)
</f>
        <v>0</v>
      </c>
      <c r="K776" s="13" t="str">
        <f>IFERROR(__xludf.DUMMYFUNCTION("IF(A776="""","""",
   IF(F776&gt;0,
      INDEX(FILTER('RE Portfolio'!L$2:L2000,'RE Portfolio'!D$2:D2000=""BUY""), INT((ROW()-2)/amortYears)+1) - G776,
      INDEX(FILTER('RE Portfolio'!L$2:L2000,'RE Portfolio'!D$2:D2000=""BUY""), INT((ROW()-2)/amortYears)+1"&amp;")
   )
)
"),"")</f>
        <v/>
      </c>
      <c r="L776" s="15" t="str">
        <f>IFERROR(__xludf.DUMMYFUNCTION("IF(A776="""","""",
  INDEX(FILTER('RE Portfolio'!C$2:C2000,'RE Portfolio'!D$2:D2000=""BUY""), INT((ROW()-2)/amortYears)+1)
  * (1 + VALUE(Assumptions!$B$11))^(D776-1)
)
"),"")</f>
        <v/>
      </c>
    </row>
    <row r="777">
      <c r="A777" s="15" t="str">
        <f>IFERROR(__xludf.DUMMYFUNCTION("IFERROR(INDEX(FILTER('RE Portfolio'!A$2:A2000,'RE Portfolio'!D$2:D2000=""BUY""), INT((ROW()-2)/amortYears)+1), )
"),"")</f>
        <v/>
      </c>
      <c r="B777" s="15" t="str">
        <f>IFERROR(__xludf.DUMMYFUNCTION("IFERROR(INDEX(FILTER('RE Portfolio'!B$2:B2000,'RE Portfolio'!D$2:D2000=""BUY""), INT((ROW()-2)/amortYears)+1), )
"),"")</f>
        <v/>
      </c>
      <c r="C777" s="15" t="str">
        <f>IFERROR(__xludf.DUMMYFUNCTION("IFERROR(INDEX(FILTER('RE Portfolio'!G$2:G2000,'RE Portfolio'!D$2:D2000=""BUY""), INT((ROW()-2)/amortYears)+1), )
"),"")</f>
        <v/>
      </c>
      <c r="D777" s="15">
        <f>MOD(ROW()-2, amortYears)+1</f>
        <v>16</v>
      </c>
      <c r="E777" s="15" t="str">
        <f t="shared" si="1"/>
        <v/>
      </c>
      <c r="F777" s="16">
        <f t="shared" si="2"/>
        <v>0</v>
      </c>
      <c r="G777" s="16">
        <f>IF(D777&lt;=mortTerm, -PMT(mortRate/12, mortTerm*12, C777)*12, 0)
</f>
        <v>0</v>
      </c>
      <c r="H777" s="16">
        <f>IF(D777&lt;=mortTerm, G777 - I777, 0)
</f>
        <v>0</v>
      </c>
      <c r="I777" s="16">
        <f>IF(D777&lt;=mortTerm, F777 - J777, 0)
</f>
        <v>0</v>
      </c>
      <c r="J777" s="16">
        <f>IF(D777&lt;=mortTerm,
   F777*(1+mortRate/12)^12 - (-PMT(mortRate/12, mortTerm*12, C777))*(((1+mortRate/12)^12 - 1)/(mortRate/12)),
   0
)
</f>
        <v>0</v>
      </c>
      <c r="K777" s="13" t="str">
        <f>IFERROR(__xludf.DUMMYFUNCTION("IF(A777="""","""",
   IF(F777&gt;0,
      INDEX(FILTER('RE Portfolio'!L$2:L2000,'RE Portfolio'!D$2:D2000=""BUY""), INT((ROW()-2)/amortYears)+1) - G777,
      INDEX(FILTER('RE Portfolio'!L$2:L2000,'RE Portfolio'!D$2:D2000=""BUY""), INT((ROW()-2)/amortYears)+1"&amp;")
   )
)
"),"")</f>
        <v/>
      </c>
      <c r="L777" s="15" t="str">
        <f>IFERROR(__xludf.DUMMYFUNCTION("IF(A777="""","""",
  INDEX(FILTER('RE Portfolio'!C$2:C2000,'RE Portfolio'!D$2:D2000=""BUY""), INT((ROW()-2)/amortYears)+1)
  * (1 + VALUE(Assumptions!$B$11))^(D777-1)
)
"),"")</f>
        <v/>
      </c>
    </row>
    <row r="778">
      <c r="A778" s="15" t="str">
        <f>IFERROR(__xludf.DUMMYFUNCTION("IFERROR(INDEX(FILTER('RE Portfolio'!A$2:A2000,'RE Portfolio'!D$2:D2000=""BUY""), INT((ROW()-2)/amortYears)+1), )
"),"")</f>
        <v/>
      </c>
      <c r="B778" s="15" t="str">
        <f>IFERROR(__xludf.DUMMYFUNCTION("IFERROR(INDEX(FILTER('RE Portfolio'!B$2:B2000,'RE Portfolio'!D$2:D2000=""BUY""), INT((ROW()-2)/amortYears)+1), )
"),"")</f>
        <v/>
      </c>
      <c r="C778" s="15" t="str">
        <f>IFERROR(__xludf.DUMMYFUNCTION("IFERROR(INDEX(FILTER('RE Portfolio'!G$2:G2000,'RE Portfolio'!D$2:D2000=""BUY""), INT((ROW()-2)/amortYears)+1), )
"),"")</f>
        <v/>
      </c>
      <c r="D778" s="15">
        <f>MOD(ROW()-2, amortYears)+1</f>
        <v>17</v>
      </c>
      <c r="E778" s="15" t="str">
        <f t="shared" si="1"/>
        <v/>
      </c>
      <c r="F778" s="16">
        <f t="shared" si="2"/>
        <v>0</v>
      </c>
      <c r="G778" s="16">
        <f>IF(D778&lt;=mortTerm, -PMT(mortRate/12, mortTerm*12, C778)*12, 0)
</f>
        <v>0</v>
      </c>
      <c r="H778" s="16">
        <f>IF(D778&lt;=mortTerm, G778 - I778, 0)
</f>
        <v>0</v>
      </c>
      <c r="I778" s="16">
        <f>IF(D778&lt;=mortTerm, F778 - J778, 0)
</f>
        <v>0</v>
      </c>
      <c r="J778" s="16">
        <f>IF(D778&lt;=mortTerm,
   F778*(1+mortRate/12)^12 - (-PMT(mortRate/12, mortTerm*12, C778))*(((1+mortRate/12)^12 - 1)/(mortRate/12)),
   0
)
</f>
        <v>0</v>
      </c>
      <c r="K778" s="13" t="str">
        <f>IFERROR(__xludf.DUMMYFUNCTION("IF(A778="""","""",
   IF(F778&gt;0,
      INDEX(FILTER('RE Portfolio'!L$2:L2000,'RE Portfolio'!D$2:D2000=""BUY""), INT((ROW()-2)/amortYears)+1) - G778,
      INDEX(FILTER('RE Portfolio'!L$2:L2000,'RE Portfolio'!D$2:D2000=""BUY""), INT((ROW()-2)/amortYears)+1"&amp;")
   )
)
"),"")</f>
        <v/>
      </c>
      <c r="L778" s="15" t="str">
        <f>IFERROR(__xludf.DUMMYFUNCTION("IF(A778="""","""",
  INDEX(FILTER('RE Portfolio'!C$2:C2000,'RE Portfolio'!D$2:D2000=""BUY""), INT((ROW()-2)/amortYears)+1)
  * (1 + VALUE(Assumptions!$B$11))^(D778-1)
)
"),"")</f>
        <v/>
      </c>
    </row>
    <row r="779">
      <c r="A779" s="15" t="str">
        <f>IFERROR(__xludf.DUMMYFUNCTION("IFERROR(INDEX(FILTER('RE Portfolio'!A$2:A2000,'RE Portfolio'!D$2:D2000=""BUY""), INT((ROW()-2)/amortYears)+1), )
"),"")</f>
        <v/>
      </c>
      <c r="B779" s="15" t="str">
        <f>IFERROR(__xludf.DUMMYFUNCTION("IFERROR(INDEX(FILTER('RE Portfolio'!B$2:B2000,'RE Portfolio'!D$2:D2000=""BUY""), INT((ROW()-2)/amortYears)+1), )
"),"")</f>
        <v/>
      </c>
      <c r="C779" s="15" t="str">
        <f>IFERROR(__xludf.DUMMYFUNCTION("IFERROR(INDEX(FILTER('RE Portfolio'!G$2:G2000,'RE Portfolio'!D$2:D2000=""BUY""), INT((ROW()-2)/amortYears)+1), )
"),"")</f>
        <v/>
      </c>
      <c r="D779" s="15">
        <f>MOD(ROW()-2, amortYears)+1</f>
        <v>18</v>
      </c>
      <c r="E779" s="15" t="str">
        <f t="shared" si="1"/>
        <v/>
      </c>
      <c r="F779" s="16">
        <f t="shared" si="2"/>
        <v>0</v>
      </c>
      <c r="G779" s="16">
        <f>IF(D779&lt;=mortTerm, -PMT(mortRate/12, mortTerm*12, C779)*12, 0)
</f>
        <v>0</v>
      </c>
      <c r="H779" s="16">
        <f>IF(D779&lt;=mortTerm, G779 - I779, 0)
</f>
        <v>0</v>
      </c>
      <c r="I779" s="16">
        <f>IF(D779&lt;=mortTerm, F779 - J779, 0)
</f>
        <v>0</v>
      </c>
      <c r="J779" s="16">
        <f>IF(D779&lt;=mortTerm,
   F779*(1+mortRate/12)^12 - (-PMT(mortRate/12, mortTerm*12, C779))*(((1+mortRate/12)^12 - 1)/(mortRate/12)),
   0
)
</f>
        <v>0</v>
      </c>
      <c r="K779" s="13" t="str">
        <f>IFERROR(__xludf.DUMMYFUNCTION("IF(A779="""","""",
   IF(F779&gt;0,
      INDEX(FILTER('RE Portfolio'!L$2:L2000,'RE Portfolio'!D$2:D2000=""BUY""), INT((ROW()-2)/amortYears)+1) - G779,
      INDEX(FILTER('RE Portfolio'!L$2:L2000,'RE Portfolio'!D$2:D2000=""BUY""), INT((ROW()-2)/amortYears)+1"&amp;")
   )
)
"),"")</f>
        <v/>
      </c>
      <c r="L779" s="15" t="str">
        <f>IFERROR(__xludf.DUMMYFUNCTION("IF(A779="""","""",
  INDEX(FILTER('RE Portfolio'!C$2:C2000,'RE Portfolio'!D$2:D2000=""BUY""), INT((ROW()-2)/amortYears)+1)
  * (1 + VALUE(Assumptions!$B$11))^(D779-1)
)
"),"")</f>
        <v/>
      </c>
    </row>
    <row r="780">
      <c r="A780" s="15" t="str">
        <f>IFERROR(__xludf.DUMMYFUNCTION("IFERROR(INDEX(FILTER('RE Portfolio'!A$2:A2000,'RE Portfolio'!D$2:D2000=""BUY""), INT((ROW()-2)/amortYears)+1), )
"),"")</f>
        <v/>
      </c>
      <c r="B780" s="15" t="str">
        <f>IFERROR(__xludf.DUMMYFUNCTION("IFERROR(INDEX(FILTER('RE Portfolio'!B$2:B2000,'RE Portfolio'!D$2:D2000=""BUY""), INT((ROW()-2)/amortYears)+1), )
"),"")</f>
        <v/>
      </c>
      <c r="C780" s="15" t="str">
        <f>IFERROR(__xludf.DUMMYFUNCTION("IFERROR(INDEX(FILTER('RE Portfolio'!G$2:G2000,'RE Portfolio'!D$2:D2000=""BUY""), INT((ROW()-2)/amortYears)+1), )
"),"")</f>
        <v/>
      </c>
      <c r="D780" s="15">
        <f>MOD(ROW()-2, amortYears)+1</f>
        <v>19</v>
      </c>
      <c r="E780" s="15" t="str">
        <f t="shared" si="1"/>
        <v/>
      </c>
      <c r="F780" s="16">
        <f t="shared" si="2"/>
        <v>0</v>
      </c>
      <c r="G780" s="16">
        <f>IF(D780&lt;=mortTerm, -PMT(mortRate/12, mortTerm*12, C780)*12, 0)
</f>
        <v>0</v>
      </c>
      <c r="H780" s="16">
        <f>IF(D780&lt;=mortTerm, G780 - I780, 0)
</f>
        <v>0</v>
      </c>
      <c r="I780" s="16">
        <f>IF(D780&lt;=mortTerm, F780 - J780, 0)
</f>
        <v>0</v>
      </c>
      <c r="J780" s="16">
        <f>IF(D780&lt;=mortTerm,
   F780*(1+mortRate/12)^12 - (-PMT(mortRate/12, mortTerm*12, C780))*(((1+mortRate/12)^12 - 1)/(mortRate/12)),
   0
)
</f>
        <v>0</v>
      </c>
      <c r="K780" s="13" t="str">
        <f>IFERROR(__xludf.DUMMYFUNCTION("IF(A780="""","""",
   IF(F780&gt;0,
      INDEX(FILTER('RE Portfolio'!L$2:L2000,'RE Portfolio'!D$2:D2000=""BUY""), INT((ROW()-2)/amortYears)+1) - G780,
      INDEX(FILTER('RE Portfolio'!L$2:L2000,'RE Portfolio'!D$2:D2000=""BUY""), INT((ROW()-2)/amortYears)+1"&amp;")
   )
)
"),"")</f>
        <v/>
      </c>
      <c r="L780" s="15" t="str">
        <f>IFERROR(__xludf.DUMMYFUNCTION("IF(A780="""","""",
  INDEX(FILTER('RE Portfolio'!C$2:C2000,'RE Portfolio'!D$2:D2000=""BUY""), INT((ROW()-2)/amortYears)+1)
  * (1 + VALUE(Assumptions!$B$11))^(D780-1)
)
"),"")</f>
        <v/>
      </c>
    </row>
    <row r="781">
      <c r="A781" s="15" t="str">
        <f>IFERROR(__xludf.DUMMYFUNCTION("IFERROR(INDEX(FILTER('RE Portfolio'!A$2:A2000,'RE Portfolio'!D$2:D2000=""BUY""), INT((ROW()-2)/amortYears)+1), )
"),"")</f>
        <v/>
      </c>
      <c r="B781" s="15" t="str">
        <f>IFERROR(__xludf.DUMMYFUNCTION("IFERROR(INDEX(FILTER('RE Portfolio'!B$2:B2000,'RE Portfolio'!D$2:D2000=""BUY""), INT((ROW()-2)/amortYears)+1), )
"),"")</f>
        <v/>
      </c>
      <c r="C781" s="15" t="str">
        <f>IFERROR(__xludf.DUMMYFUNCTION("IFERROR(INDEX(FILTER('RE Portfolio'!G$2:G2000,'RE Portfolio'!D$2:D2000=""BUY""), INT((ROW()-2)/amortYears)+1), )
"),"")</f>
        <v/>
      </c>
      <c r="D781" s="15">
        <f>MOD(ROW()-2, amortYears)+1</f>
        <v>20</v>
      </c>
      <c r="E781" s="15" t="str">
        <f t="shared" si="1"/>
        <v/>
      </c>
      <c r="F781" s="16">
        <f t="shared" si="2"/>
        <v>0</v>
      </c>
      <c r="G781" s="16">
        <f>IF(D781&lt;=mortTerm, -PMT(mortRate/12, mortTerm*12, C781)*12, 0)
</f>
        <v>0</v>
      </c>
      <c r="H781" s="16">
        <f>IF(D781&lt;=mortTerm, G781 - I781, 0)
</f>
        <v>0</v>
      </c>
      <c r="I781" s="16">
        <f>IF(D781&lt;=mortTerm, F781 - J781, 0)
</f>
        <v>0</v>
      </c>
      <c r="J781" s="16">
        <f>IF(D781&lt;=mortTerm,
   F781*(1+mortRate/12)^12 - (-PMT(mortRate/12, mortTerm*12, C781))*(((1+mortRate/12)^12 - 1)/(mortRate/12)),
   0
)
</f>
        <v>0</v>
      </c>
      <c r="K781" s="13" t="str">
        <f>IFERROR(__xludf.DUMMYFUNCTION("IF(A781="""","""",
   IF(F781&gt;0,
      INDEX(FILTER('RE Portfolio'!L$2:L2000,'RE Portfolio'!D$2:D2000=""BUY""), INT((ROW()-2)/amortYears)+1) - G781,
      INDEX(FILTER('RE Portfolio'!L$2:L2000,'RE Portfolio'!D$2:D2000=""BUY""), INT((ROW()-2)/amortYears)+1"&amp;")
   )
)
"),"")</f>
        <v/>
      </c>
      <c r="L781" s="15" t="str">
        <f>IFERROR(__xludf.DUMMYFUNCTION("IF(A781="""","""",
  INDEX(FILTER('RE Portfolio'!C$2:C2000,'RE Portfolio'!D$2:D2000=""BUY""), INT((ROW()-2)/amortYears)+1)
  * (1 + VALUE(Assumptions!$B$11))^(D781-1)
)
"),"")</f>
        <v/>
      </c>
    </row>
    <row r="782">
      <c r="A782" s="15" t="str">
        <f>IFERROR(__xludf.DUMMYFUNCTION("IFERROR(INDEX(FILTER('RE Portfolio'!A$2:A2000,'RE Portfolio'!D$2:D2000=""BUY""), INT((ROW()-2)/amortYears)+1), )
"),"")</f>
        <v/>
      </c>
      <c r="B782" s="15" t="str">
        <f>IFERROR(__xludf.DUMMYFUNCTION("IFERROR(INDEX(FILTER('RE Portfolio'!B$2:B2000,'RE Portfolio'!D$2:D2000=""BUY""), INT((ROW()-2)/amortYears)+1), )
"),"")</f>
        <v/>
      </c>
      <c r="C782" s="15" t="str">
        <f>IFERROR(__xludf.DUMMYFUNCTION("IFERROR(INDEX(FILTER('RE Portfolio'!G$2:G2000,'RE Portfolio'!D$2:D2000=""BUY""), INT((ROW()-2)/amortYears)+1), )
"),"")</f>
        <v/>
      </c>
      <c r="D782" s="15">
        <f>MOD(ROW()-2, amortYears)+1</f>
        <v>21</v>
      </c>
      <c r="E782" s="15" t="str">
        <f t="shared" si="1"/>
        <v/>
      </c>
      <c r="F782" s="16">
        <f t="shared" si="2"/>
        <v>0</v>
      </c>
      <c r="G782" s="16">
        <f>IF(D782&lt;=mortTerm, -PMT(mortRate/12, mortTerm*12, C782)*12, 0)
</f>
        <v>0</v>
      </c>
      <c r="H782" s="16">
        <f>IF(D782&lt;=mortTerm, G782 - I782, 0)
</f>
        <v>0</v>
      </c>
      <c r="I782" s="16">
        <f>IF(D782&lt;=mortTerm, F782 - J782, 0)
</f>
        <v>0</v>
      </c>
      <c r="J782" s="16">
        <f>IF(D782&lt;=mortTerm,
   F782*(1+mortRate/12)^12 - (-PMT(mortRate/12, mortTerm*12, C782))*(((1+mortRate/12)^12 - 1)/(mortRate/12)),
   0
)
</f>
        <v>0</v>
      </c>
      <c r="K782" s="13" t="str">
        <f>IFERROR(__xludf.DUMMYFUNCTION("IF(A782="""","""",
   IF(F782&gt;0,
      INDEX(FILTER('RE Portfolio'!L$2:L2000,'RE Portfolio'!D$2:D2000=""BUY""), INT((ROW()-2)/amortYears)+1) - G782,
      INDEX(FILTER('RE Portfolio'!L$2:L2000,'RE Portfolio'!D$2:D2000=""BUY""), INT((ROW()-2)/amortYears)+1"&amp;")
   )
)
"),"")</f>
        <v/>
      </c>
      <c r="L782" s="15" t="str">
        <f>IFERROR(__xludf.DUMMYFUNCTION("IF(A782="""","""",
  INDEX(FILTER('RE Portfolio'!C$2:C2000,'RE Portfolio'!D$2:D2000=""BUY""), INT((ROW()-2)/amortYears)+1)
  * (1 + VALUE(Assumptions!$B$11))^(D782-1)
)
"),"")</f>
        <v/>
      </c>
    </row>
    <row r="783">
      <c r="A783" s="15" t="str">
        <f>IFERROR(__xludf.DUMMYFUNCTION("IFERROR(INDEX(FILTER('RE Portfolio'!A$2:A2000,'RE Portfolio'!D$2:D2000=""BUY""), INT((ROW()-2)/amortYears)+1), )
"),"")</f>
        <v/>
      </c>
      <c r="B783" s="15" t="str">
        <f>IFERROR(__xludf.DUMMYFUNCTION("IFERROR(INDEX(FILTER('RE Portfolio'!B$2:B2000,'RE Portfolio'!D$2:D2000=""BUY""), INT((ROW()-2)/amortYears)+1), )
"),"")</f>
        <v/>
      </c>
      <c r="C783" s="15" t="str">
        <f>IFERROR(__xludf.DUMMYFUNCTION("IFERROR(INDEX(FILTER('RE Portfolio'!G$2:G2000,'RE Portfolio'!D$2:D2000=""BUY""), INT((ROW()-2)/amortYears)+1), )
"),"")</f>
        <v/>
      </c>
      <c r="D783" s="15">
        <f>MOD(ROW()-2, amortYears)+1</f>
        <v>22</v>
      </c>
      <c r="E783" s="15" t="str">
        <f t="shared" si="1"/>
        <v/>
      </c>
      <c r="F783" s="16">
        <f t="shared" si="2"/>
        <v>0</v>
      </c>
      <c r="G783" s="16">
        <f>IF(D783&lt;=mortTerm, -PMT(mortRate/12, mortTerm*12, C783)*12, 0)
</f>
        <v>0</v>
      </c>
      <c r="H783" s="16">
        <f>IF(D783&lt;=mortTerm, G783 - I783, 0)
</f>
        <v>0</v>
      </c>
      <c r="I783" s="16">
        <f>IF(D783&lt;=mortTerm, F783 - J783, 0)
</f>
        <v>0</v>
      </c>
      <c r="J783" s="16">
        <f>IF(D783&lt;=mortTerm,
   F783*(1+mortRate/12)^12 - (-PMT(mortRate/12, mortTerm*12, C783))*(((1+mortRate/12)^12 - 1)/(mortRate/12)),
   0
)
</f>
        <v>0</v>
      </c>
      <c r="K783" s="13" t="str">
        <f>IFERROR(__xludf.DUMMYFUNCTION("IF(A783="""","""",
   IF(F783&gt;0,
      INDEX(FILTER('RE Portfolio'!L$2:L2000,'RE Portfolio'!D$2:D2000=""BUY""), INT((ROW()-2)/amortYears)+1) - G783,
      INDEX(FILTER('RE Portfolio'!L$2:L2000,'RE Portfolio'!D$2:D2000=""BUY""), INT((ROW()-2)/amortYears)+1"&amp;")
   )
)
"),"")</f>
        <v/>
      </c>
      <c r="L783" s="15" t="str">
        <f>IFERROR(__xludf.DUMMYFUNCTION("IF(A783="""","""",
  INDEX(FILTER('RE Portfolio'!C$2:C2000,'RE Portfolio'!D$2:D2000=""BUY""), INT((ROW()-2)/amortYears)+1)
  * (1 + VALUE(Assumptions!$B$11))^(D783-1)
)
"),"")</f>
        <v/>
      </c>
    </row>
    <row r="784">
      <c r="A784" s="15" t="str">
        <f>IFERROR(__xludf.DUMMYFUNCTION("IFERROR(INDEX(FILTER('RE Portfolio'!A$2:A2000,'RE Portfolio'!D$2:D2000=""BUY""), INT((ROW()-2)/amortYears)+1), )
"),"")</f>
        <v/>
      </c>
      <c r="B784" s="15" t="str">
        <f>IFERROR(__xludf.DUMMYFUNCTION("IFERROR(INDEX(FILTER('RE Portfolio'!B$2:B2000,'RE Portfolio'!D$2:D2000=""BUY""), INT((ROW()-2)/amortYears)+1), )
"),"")</f>
        <v/>
      </c>
      <c r="C784" s="15" t="str">
        <f>IFERROR(__xludf.DUMMYFUNCTION("IFERROR(INDEX(FILTER('RE Portfolio'!G$2:G2000,'RE Portfolio'!D$2:D2000=""BUY""), INT((ROW()-2)/amortYears)+1), )
"),"")</f>
        <v/>
      </c>
      <c r="D784" s="15">
        <f>MOD(ROW()-2, amortYears)+1</f>
        <v>23</v>
      </c>
      <c r="E784" s="15" t="str">
        <f t="shared" si="1"/>
        <v/>
      </c>
      <c r="F784" s="16">
        <f t="shared" si="2"/>
        <v>0</v>
      </c>
      <c r="G784" s="16">
        <f>IF(D784&lt;=mortTerm, -PMT(mortRate/12, mortTerm*12, C784)*12, 0)
</f>
        <v>0</v>
      </c>
      <c r="H784" s="16">
        <f>IF(D784&lt;=mortTerm, G784 - I784, 0)
</f>
        <v>0</v>
      </c>
      <c r="I784" s="16">
        <f>IF(D784&lt;=mortTerm, F784 - J784, 0)
</f>
        <v>0</v>
      </c>
      <c r="J784" s="16">
        <f>IF(D784&lt;=mortTerm,
   F784*(1+mortRate/12)^12 - (-PMT(mortRate/12, mortTerm*12, C784))*(((1+mortRate/12)^12 - 1)/(mortRate/12)),
   0
)
</f>
        <v>0</v>
      </c>
      <c r="K784" s="13" t="str">
        <f>IFERROR(__xludf.DUMMYFUNCTION("IF(A784="""","""",
   IF(F784&gt;0,
      INDEX(FILTER('RE Portfolio'!L$2:L2000,'RE Portfolio'!D$2:D2000=""BUY""), INT((ROW()-2)/amortYears)+1) - G784,
      INDEX(FILTER('RE Portfolio'!L$2:L2000,'RE Portfolio'!D$2:D2000=""BUY""), INT((ROW()-2)/amortYears)+1"&amp;")
   )
)
"),"")</f>
        <v/>
      </c>
      <c r="L784" s="15" t="str">
        <f>IFERROR(__xludf.DUMMYFUNCTION("IF(A784="""","""",
  INDEX(FILTER('RE Portfolio'!C$2:C2000,'RE Portfolio'!D$2:D2000=""BUY""), INT((ROW()-2)/amortYears)+1)
  * (1 + VALUE(Assumptions!$B$11))^(D784-1)
)
"),"")</f>
        <v/>
      </c>
    </row>
    <row r="785">
      <c r="A785" s="15" t="str">
        <f>IFERROR(__xludf.DUMMYFUNCTION("IFERROR(INDEX(FILTER('RE Portfolio'!A$2:A2000,'RE Portfolio'!D$2:D2000=""BUY""), INT((ROW()-2)/amortYears)+1), )
"),"")</f>
        <v/>
      </c>
      <c r="B785" s="15" t="str">
        <f>IFERROR(__xludf.DUMMYFUNCTION("IFERROR(INDEX(FILTER('RE Portfolio'!B$2:B2000,'RE Portfolio'!D$2:D2000=""BUY""), INT((ROW()-2)/amortYears)+1), )
"),"")</f>
        <v/>
      </c>
      <c r="C785" s="15" t="str">
        <f>IFERROR(__xludf.DUMMYFUNCTION("IFERROR(INDEX(FILTER('RE Portfolio'!G$2:G2000,'RE Portfolio'!D$2:D2000=""BUY""), INT((ROW()-2)/amortYears)+1), )
"),"")</f>
        <v/>
      </c>
      <c r="D785" s="15">
        <f>MOD(ROW()-2, amortYears)+1</f>
        <v>24</v>
      </c>
      <c r="E785" s="15" t="str">
        <f t="shared" si="1"/>
        <v/>
      </c>
      <c r="F785" s="16">
        <f t="shared" si="2"/>
        <v>0</v>
      </c>
      <c r="G785" s="16">
        <f>IF(D785&lt;=mortTerm, -PMT(mortRate/12, mortTerm*12, C785)*12, 0)
</f>
        <v>0</v>
      </c>
      <c r="H785" s="16">
        <f>IF(D785&lt;=mortTerm, G785 - I785, 0)
</f>
        <v>0</v>
      </c>
      <c r="I785" s="16">
        <f>IF(D785&lt;=mortTerm, F785 - J785, 0)
</f>
        <v>0</v>
      </c>
      <c r="J785" s="16">
        <f>IF(D785&lt;=mortTerm,
   F785*(1+mortRate/12)^12 - (-PMT(mortRate/12, mortTerm*12, C785))*(((1+mortRate/12)^12 - 1)/(mortRate/12)),
   0
)
</f>
        <v>0</v>
      </c>
      <c r="K785" s="13" t="str">
        <f>IFERROR(__xludf.DUMMYFUNCTION("IF(A785="""","""",
   IF(F785&gt;0,
      INDEX(FILTER('RE Portfolio'!L$2:L2000,'RE Portfolio'!D$2:D2000=""BUY""), INT((ROW()-2)/amortYears)+1) - G785,
      INDEX(FILTER('RE Portfolio'!L$2:L2000,'RE Portfolio'!D$2:D2000=""BUY""), INT((ROW()-2)/amortYears)+1"&amp;")
   )
)
"),"")</f>
        <v/>
      </c>
      <c r="L785" s="15" t="str">
        <f>IFERROR(__xludf.DUMMYFUNCTION("IF(A785="""","""",
  INDEX(FILTER('RE Portfolio'!C$2:C2000,'RE Portfolio'!D$2:D2000=""BUY""), INT((ROW()-2)/amortYears)+1)
  * (1 + VALUE(Assumptions!$B$11))^(D785-1)
)
"),"")</f>
        <v/>
      </c>
    </row>
    <row r="786">
      <c r="A786" s="15" t="str">
        <f>IFERROR(__xludf.DUMMYFUNCTION("IFERROR(INDEX(FILTER('RE Portfolio'!A$2:A2000,'RE Portfolio'!D$2:D2000=""BUY""), INT((ROW()-2)/amortYears)+1), )
"),"")</f>
        <v/>
      </c>
      <c r="B786" s="15" t="str">
        <f>IFERROR(__xludf.DUMMYFUNCTION("IFERROR(INDEX(FILTER('RE Portfolio'!B$2:B2000,'RE Portfolio'!D$2:D2000=""BUY""), INT((ROW()-2)/amortYears)+1), )
"),"")</f>
        <v/>
      </c>
      <c r="C786" s="15" t="str">
        <f>IFERROR(__xludf.DUMMYFUNCTION("IFERROR(INDEX(FILTER('RE Portfolio'!G$2:G2000,'RE Portfolio'!D$2:D2000=""BUY""), INT((ROW()-2)/amortYears)+1), )
"),"")</f>
        <v/>
      </c>
      <c r="D786" s="15">
        <f>MOD(ROW()-2, amortYears)+1</f>
        <v>25</v>
      </c>
      <c r="E786" s="15" t="str">
        <f t="shared" si="1"/>
        <v/>
      </c>
      <c r="F786" s="16">
        <f t="shared" si="2"/>
        <v>0</v>
      </c>
      <c r="G786" s="16">
        <f>IF(D786&lt;=mortTerm, -PMT(mortRate/12, mortTerm*12, C786)*12, 0)
</f>
        <v>0</v>
      </c>
      <c r="H786" s="16">
        <f>IF(D786&lt;=mortTerm, G786 - I786, 0)
</f>
        <v>0</v>
      </c>
      <c r="I786" s="16">
        <f>IF(D786&lt;=mortTerm, F786 - J786, 0)
</f>
        <v>0</v>
      </c>
      <c r="J786" s="16">
        <f>IF(D786&lt;=mortTerm,
   F786*(1+mortRate/12)^12 - (-PMT(mortRate/12, mortTerm*12, C786))*(((1+mortRate/12)^12 - 1)/(mortRate/12)),
   0
)
</f>
        <v>0</v>
      </c>
      <c r="K786" s="13" t="str">
        <f>IFERROR(__xludf.DUMMYFUNCTION("IF(A786="""","""",
   IF(F786&gt;0,
      INDEX(FILTER('RE Portfolio'!L$2:L2000,'RE Portfolio'!D$2:D2000=""BUY""), INT((ROW()-2)/amortYears)+1) - G786,
      INDEX(FILTER('RE Portfolio'!L$2:L2000,'RE Portfolio'!D$2:D2000=""BUY""), INT((ROW()-2)/amortYears)+1"&amp;")
   )
)
"),"")</f>
        <v/>
      </c>
      <c r="L786" s="15" t="str">
        <f>IFERROR(__xludf.DUMMYFUNCTION("IF(A786="""","""",
  INDEX(FILTER('RE Portfolio'!C$2:C2000,'RE Portfolio'!D$2:D2000=""BUY""), INT((ROW()-2)/amortYears)+1)
  * (1 + VALUE(Assumptions!$B$11))^(D786-1)
)
"),"")</f>
        <v/>
      </c>
    </row>
    <row r="787">
      <c r="A787" s="15" t="str">
        <f>IFERROR(__xludf.DUMMYFUNCTION("IFERROR(INDEX(FILTER('RE Portfolio'!A$2:A2000,'RE Portfolio'!D$2:D2000=""BUY""), INT((ROW()-2)/amortYears)+1), )
"),"")</f>
        <v/>
      </c>
      <c r="B787" s="15" t="str">
        <f>IFERROR(__xludf.DUMMYFUNCTION("IFERROR(INDEX(FILTER('RE Portfolio'!B$2:B2000,'RE Portfolio'!D$2:D2000=""BUY""), INT((ROW()-2)/amortYears)+1), )
"),"")</f>
        <v/>
      </c>
      <c r="C787" s="15" t="str">
        <f>IFERROR(__xludf.DUMMYFUNCTION("IFERROR(INDEX(FILTER('RE Portfolio'!G$2:G2000,'RE Portfolio'!D$2:D2000=""BUY""), INT((ROW()-2)/amortYears)+1), )
"),"")</f>
        <v/>
      </c>
      <c r="D787" s="15">
        <f>MOD(ROW()-2, amortYears)+1</f>
        <v>26</v>
      </c>
      <c r="E787" s="15" t="str">
        <f t="shared" si="1"/>
        <v/>
      </c>
      <c r="F787" s="16">
        <f t="shared" si="2"/>
        <v>0</v>
      </c>
      <c r="G787" s="16">
        <f>IF(D787&lt;=mortTerm, -PMT(mortRate/12, mortTerm*12, C787)*12, 0)
</f>
        <v>0</v>
      </c>
      <c r="H787" s="16">
        <f>IF(D787&lt;=mortTerm, G787 - I787, 0)
</f>
        <v>0</v>
      </c>
      <c r="I787" s="16">
        <f>IF(D787&lt;=mortTerm, F787 - J787, 0)
</f>
        <v>0</v>
      </c>
      <c r="J787" s="16">
        <f>IF(D787&lt;=mortTerm,
   F787*(1+mortRate/12)^12 - (-PMT(mortRate/12, mortTerm*12, C787))*(((1+mortRate/12)^12 - 1)/(mortRate/12)),
   0
)
</f>
        <v>0</v>
      </c>
      <c r="K787" s="13" t="str">
        <f>IFERROR(__xludf.DUMMYFUNCTION("IF(A787="""","""",
   IF(F787&gt;0,
      INDEX(FILTER('RE Portfolio'!L$2:L2000,'RE Portfolio'!D$2:D2000=""BUY""), INT((ROW()-2)/amortYears)+1) - G787,
      INDEX(FILTER('RE Portfolio'!L$2:L2000,'RE Portfolio'!D$2:D2000=""BUY""), INT((ROW()-2)/amortYears)+1"&amp;")
   )
)
"),"")</f>
        <v/>
      </c>
      <c r="L787" s="15" t="str">
        <f>IFERROR(__xludf.DUMMYFUNCTION("IF(A787="""","""",
  INDEX(FILTER('RE Portfolio'!C$2:C2000,'RE Portfolio'!D$2:D2000=""BUY""), INT((ROW()-2)/amortYears)+1)
  * (1 + VALUE(Assumptions!$B$11))^(D787-1)
)
"),"")</f>
        <v/>
      </c>
    </row>
    <row r="788">
      <c r="A788" s="15" t="str">
        <f>IFERROR(__xludf.DUMMYFUNCTION("IFERROR(INDEX(FILTER('RE Portfolio'!A$2:A2000,'RE Portfolio'!D$2:D2000=""BUY""), INT((ROW()-2)/amortYears)+1), )
"),"")</f>
        <v/>
      </c>
      <c r="B788" s="15" t="str">
        <f>IFERROR(__xludf.DUMMYFUNCTION("IFERROR(INDEX(FILTER('RE Portfolio'!B$2:B2000,'RE Portfolio'!D$2:D2000=""BUY""), INT((ROW()-2)/amortYears)+1), )
"),"")</f>
        <v/>
      </c>
      <c r="C788" s="15" t="str">
        <f>IFERROR(__xludf.DUMMYFUNCTION("IFERROR(INDEX(FILTER('RE Portfolio'!G$2:G2000,'RE Portfolio'!D$2:D2000=""BUY""), INT((ROW()-2)/amortYears)+1), )
"),"")</f>
        <v/>
      </c>
      <c r="D788" s="15">
        <f>MOD(ROW()-2, amortYears)+1</f>
        <v>27</v>
      </c>
      <c r="E788" s="15" t="str">
        <f t="shared" si="1"/>
        <v/>
      </c>
      <c r="F788" s="16">
        <f t="shared" si="2"/>
        <v>0</v>
      </c>
      <c r="G788" s="16">
        <f>IF(D788&lt;=mortTerm, -PMT(mortRate/12, mortTerm*12, C788)*12, 0)
</f>
        <v>0</v>
      </c>
      <c r="H788" s="16">
        <f>IF(D788&lt;=mortTerm, G788 - I788, 0)
</f>
        <v>0</v>
      </c>
      <c r="I788" s="16">
        <f>IF(D788&lt;=mortTerm, F788 - J788, 0)
</f>
        <v>0</v>
      </c>
      <c r="J788" s="16">
        <f>IF(D788&lt;=mortTerm,
   F788*(1+mortRate/12)^12 - (-PMT(mortRate/12, mortTerm*12, C788))*(((1+mortRate/12)^12 - 1)/(mortRate/12)),
   0
)
</f>
        <v>0</v>
      </c>
      <c r="K788" s="13" t="str">
        <f>IFERROR(__xludf.DUMMYFUNCTION("IF(A788="""","""",
   IF(F788&gt;0,
      INDEX(FILTER('RE Portfolio'!L$2:L2000,'RE Portfolio'!D$2:D2000=""BUY""), INT((ROW()-2)/amortYears)+1) - G788,
      INDEX(FILTER('RE Portfolio'!L$2:L2000,'RE Portfolio'!D$2:D2000=""BUY""), INT((ROW()-2)/amortYears)+1"&amp;")
   )
)
"),"")</f>
        <v/>
      </c>
      <c r="L788" s="15" t="str">
        <f>IFERROR(__xludf.DUMMYFUNCTION("IF(A788="""","""",
  INDEX(FILTER('RE Portfolio'!C$2:C2000,'RE Portfolio'!D$2:D2000=""BUY""), INT((ROW()-2)/amortYears)+1)
  * (1 + VALUE(Assumptions!$B$11))^(D788-1)
)
"),"")</f>
        <v/>
      </c>
    </row>
    <row r="789">
      <c r="A789" s="15" t="str">
        <f>IFERROR(__xludf.DUMMYFUNCTION("IFERROR(INDEX(FILTER('RE Portfolio'!A$2:A2000,'RE Portfolio'!D$2:D2000=""BUY""), INT((ROW()-2)/amortYears)+1), )
"),"")</f>
        <v/>
      </c>
      <c r="B789" s="15" t="str">
        <f>IFERROR(__xludf.DUMMYFUNCTION("IFERROR(INDEX(FILTER('RE Portfolio'!B$2:B2000,'RE Portfolio'!D$2:D2000=""BUY""), INT((ROW()-2)/amortYears)+1), )
"),"")</f>
        <v/>
      </c>
      <c r="C789" s="15" t="str">
        <f>IFERROR(__xludf.DUMMYFUNCTION("IFERROR(INDEX(FILTER('RE Portfolio'!G$2:G2000,'RE Portfolio'!D$2:D2000=""BUY""), INT((ROW()-2)/amortYears)+1), )
"),"")</f>
        <v/>
      </c>
      <c r="D789" s="15">
        <f>MOD(ROW()-2, amortYears)+1</f>
        <v>28</v>
      </c>
      <c r="E789" s="15" t="str">
        <f t="shared" si="1"/>
        <v/>
      </c>
      <c r="F789" s="16">
        <f t="shared" si="2"/>
        <v>0</v>
      </c>
      <c r="G789" s="16">
        <f>IF(D789&lt;=mortTerm, -PMT(mortRate/12, mortTerm*12, C789)*12, 0)
</f>
        <v>0</v>
      </c>
      <c r="H789" s="16">
        <f>IF(D789&lt;=mortTerm, G789 - I789, 0)
</f>
        <v>0</v>
      </c>
      <c r="I789" s="16">
        <f>IF(D789&lt;=mortTerm, F789 - J789, 0)
</f>
        <v>0</v>
      </c>
      <c r="J789" s="16">
        <f>IF(D789&lt;=mortTerm,
   F789*(1+mortRate/12)^12 - (-PMT(mortRate/12, mortTerm*12, C789))*(((1+mortRate/12)^12 - 1)/(mortRate/12)),
   0
)
</f>
        <v>0</v>
      </c>
      <c r="K789" s="13" t="str">
        <f>IFERROR(__xludf.DUMMYFUNCTION("IF(A789="""","""",
   IF(F789&gt;0,
      INDEX(FILTER('RE Portfolio'!L$2:L2000,'RE Portfolio'!D$2:D2000=""BUY""), INT((ROW()-2)/amortYears)+1) - G789,
      INDEX(FILTER('RE Portfolio'!L$2:L2000,'RE Portfolio'!D$2:D2000=""BUY""), INT((ROW()-2)/amortYears)+1"&amp;")
   )
)
"),"")</f>
        <v/>
      </c>
      <c r="L789" s="15" t="str">
        <f>IFERROR(__xludf.DUMMYFUNCTION("IF(A789="""","""",
  INDEX(FILTER('RE Portfolio'!C$2:C2000,'RE Portfolio'!D$2:D2000=""BUY""), INT((ROW()-2)/amortYears)+1)
  * (1 + VALUE(Assumptions!$B$11))^(D789-1)
)
"),"")</f>
        <v/>
      </c>
    </row>
    <row r="790">
      <c r="A790" s="15" t="str">
        <f>IFERROR(__xludf.DUMMYFUNCTION("IFERROR(INDEX(FILTER('RE Portfolio'!A$2:A2000,'RE Portfolio'!D$2:D2000=""BUY""), INT((ROW()-2)/amortYears)+1), )
"),"")</f>
        <v/>
      </c>
      <c r="B790" s="15" t="str">
        <f>IFERROR(__xludf.DUMMYFUNCTION("IFERROR(INDEX(FILTER('RE Portfolio'!B$2:B2000,'RE Portfolio'!D$2:D2000=""BUY""), INT((ROW()-2)/amortYears)+1), )
"),"")</f>
        <v/>
      </c>
      <c r="C790" s="15" t="str">
        <f>IFERROR(__xludf.DUMMYFUNCTION("IFERROR(INDEX(FILTER('RE Portfolio'!G$2:G2000,'RE Portfolio'!D$2:D2000=""BUY""), INT((ROW()-2)/amortYears)+1), )
"),"")</f>
        <v/>
      </c>
      <c r="D790" s="15">
        <f>MOD(ROW()-2, amortYears)+1</f>
        <v>29</v>
      </c>
      <c r="E790" s="15" t="str">
        <f t="shared" si="1"/>
        <v/>
      </c>
      <c r="F790" s="16">
        <f t="shared" si="2"/>
        <v>0</v>
      </c>
      <c r="G790" s="16">
        <f>IF(D790&lt;=mortTerm, -PMT(mortRate/12, mortTerm*12, C790)*12, 0)
</f>
        <v>0</v>
      </c>
      <c r="H790" s="16">
        <f>IF(D790&lt;=mortTerm, G790 - I790, 0)
</f>
        <v>0</v>
      </c>
      <c r="I790" s="16">
        <f>IF(D790&lt;=mortTerm, F790 - J790, 0)
</f>
        <v>0</v>
      </c>
      <c r="J790" s="16">
        <f>IF(D790&lt;=mortTerm,
   F790*(1+mortRate/12)^12 - (-PMT(mortRate/12, mortTerm*12, C790))*(((1+mortRate/12)^12 - 1)/(mortRate/12)),
   0
)
</f>
        <v>0</v>
      </c>
      <c r="K790" s="13" t="str">
        <f>IFERROR(__xludf.DUMMYFUNCTION("IF(A790="""","""",
   IF(F790&gt;0,
      INDEX(FILTER('RE Portfolio'!L$2:L2000,'RE Portfolio'!D$2:D2000=""BUY""), INT((ROW()-2)/amortYears)+1) - G790,
      INDEX(FILTER('RE Portfolio'!L$2:L2000,'RE Portfolio'!D$2:D2000=""BUY""), INT((ROW()-2)/amortYears)+1"&amp;")
   )
)
"),"")</f>
        <v/>
      </c>
      <c r="L790" s="15" t="str">
        <f>IFERROR(__xludf.DUMMYFUNCTION("IF(A790="""","""",
  INDEX(FILTER('RE Portfolio'!C$2:C2000,'RE Portfolio'!D$2:D2000=""BUY""), INT((ROW()-2)/amortYears)+1)
  * (1 + VALUE(Assumptions!$B$11))^(D790-1)
)
"),"")</f>
        <v/>
      </c>
    </row>
    <row r="791">
      <c r="A791" s="15" t="str">
        <f>IFERROR(__xludf.DUMMYFUNCTION("IFERROR(INDEX(FILTER('RE Portfolio'!A$2:A2000,'RE Portfolio'!D$2:D2000=""BUY""), INT((ROW()-2)/amortYears)+1), )
"),"")</f>
        <v/>
      </c>
      <c r="B791" s="15" t="str">
        <f>IFERROR(__xludf.DUMMYFUNCTION("IFERROR(INDEX(FILTER('RE Portfolio'!B$2:B2000,'RE Portfolio'!D$2:D2000=""BUY""), INT((ROW()-2)/amortYears)+1), )
"),"")</f>
        <v/>
      </c>
      <c r="C791" s="15" t="str">
        <f>IFERROR(__xludf.DUMMYFUNCTION("IFERROR(INDEX(FILTER('RE Portfolio'!G$2:G2000,'RE Portfolio'!D$2:D2000=""BUY""), INT((ROW()-2)/amortYears)+1), )
"),"")</f>
        <v/>
      </c>
      <c r="D791" s="15">
        <f>MOD(ROW()-2, amortYears)+1</f>
        <v>30</v>
      </c>
      <c r="E791" s="15" t="str">
        <f t="shared" si="1"/>
        <v/>
      </c>
      <c r="F791" s="16">
        <f t="shared" si="2"/>
        <v>0</v>
      </c>
      <c r="G791" s="16">
        <f>IF(D791&lt;=mortTerm, -PMT(mortRate/12, mortTerm*12, C791)*12, 0)
</f>
        <v>0</v>
      </c>
      <c r="H791" s="16">
        <f>IF(D791&lt;=mortTerm, G791 - I791, 0)
</f>
        <v>0</v>
      </c>
      <c r="I791" s="16">
        <f>IF(D791&lt;=mortTerm, F791 - J791, 0)
</f>
        <v>0</v>
      </c>
      <c r="J791" s="16">
        <f>IF(D791&lt;=mortTerm,
   F791*(1+mortRate/12)^12 - (-PMT(mortRate/12, mortTerm*12, C791))*(((1+mortRate/12)^12 - 1)/(mortRate/12)),
   0
)
</f>
        <v>0</v>
      </c>
      <c r="K791" s="13" t="str">
        <f>IFERROR(__xludf.DUMMYFUNCTION("IF(A791="""","""",
   IF(F791&gt;0,
      INDEX(FILTER('RE Portfolio'!L$2:L2000,'RE Portfolio'!D$2:D2000=""BUY""), INT((ROW()-2)/amortYears)+1) - G791,
      INDEX(FILTER('RE Portfolio'!L$2:L2000,'RE Portfolio'!D$2:D2000=""BUY""), INT((ROW()-2)/amortYears)+1"&amp;")
   )
)
"),"")</f>
        <v/>
      </c>
      <c r="L791" s="15" t="str">
        <f>IFERROR(__xludf.DUMMYFUNCTION("IF(A791="""","""",
  INDEX(FILTER('RE Portfolio'!C$2:C2000,'RE Portfolio'!D$2:D2000=""BUY""), INT((ROW()-2)/amortYears)+1)
  * (1 + VALUE(Assumptions!$B$11))^(D791-1)
)
"),"")</f>
        <v/>
      </c>
    </row>
    <row r="792">
      <c r="A792" s="15" t="str">
        <f>IFERROR(__xludf.DUMMYFUNCTION("IFERROR(INDEX(FILTER('RE Portfolio'!A$2:A2000,'RE Portfolio'!D$2:D2000=""BUY""), INT((ROW()-2)/amortYears)+1), )
"),"")</f>
        <v/>
      </c>
      <c r="B792" s="15" t="str">
        <f>IFERROR(__xludf.DUMMYFUNCTION("IFERROR(INDEX(FILTER('RE Portfolio'!B$2:B2000,'RE Portfolio'!D$2:D2000=""BUY""), INT((ROW()-2)/amortYears)+1), )
"),"")</f>
        <v/>
      </c>
      <c r="C792" s="15" t="str">
        <f>IFERROR(__xludf.DUMMYFUNCTION("IFERROR(INDEX(FILTER('RE Portfolio'!G$2:G2000,'RE Portfolio'!D$2:D2000=""BUY""), INT((ROW()-2)/amortYears)+1), )
"),"")</f>
        <v/>
      </c>
      <c r="D792" s="15">
        <f>MOD(ROW()-2, amortYears)+1</f>
        <v>31</v>
      </c>
      <c r="E792" s="15" t="str">
        <f t="shared" si="1"/>
        <v/>
      </c>
      <c r="F792" s="16">
        <f t="shared" si="2"/>
        <v>0</v>
      </c>
      <c r="G792" s="15">
        <f>IF(D792&lt;=mortTerm, -PMT(mortRate/12, mortTerm*12, C792)*12, 0)
</f>
        <v>0</v>
      </c>
      <c r="H792" s="15">
        <f>IF(D792&lt;=mortTerm, G792 - I792, 0)
</f>
        <v>0</v>
      </c>
      <c r="I792" s="15">
        <f>IF(D792&lt;=mortTerm, F792 - J792, 0)
</f>
        <v>0</v>
      </c>
      <c r="J792" s="15">
        <f>IF(D792&lt;=mortTerm,
   F792*(1+mortRate/12)^12 - (-PMT(mortRate/12, mortTerm*12, C792))*(((1+mortRate/12)^12 - 1)/(mortRate/12)),
   0
)
</f>
        <v>0</v>
      </c>
      <c r="K792" s="13" t="str">
        <f>IFERROR(__xludf.DUMMYFUNCTION("IF(A792="""","""",
   IF(F792&gt;0,
      INDEX(FILTER('RE Portfolio'!L$2:L2000,'RE Portfolio'!D$2:D2000=""BUY""), INT((ROW()-2)/amortYears)+1) - G792,
      INDEX(FILTER('RE Portfolio'!L$2:L2000,'RE Portfolio'!D$2:D2000=""BUY""), INT((ROW()-2)/amortYears)+1"&amp;")
   )
)
"),"")</f>
        <v/>
      </c>
      <c r="L792" s="15" t="str">
        <f>IFERROR(__xludf.DUMMYFUNCTION("IF(A792="""","""",
  INDEX(FILTER('RE Portfolio'!C$2:C2000,'RE Portfolio'!D$2:D2000=""BUY""), INT((ROW()-2)/amortYears)+1)
  * (1 + VALUE(Assumptions!$B$11))^(D792-1)
)
"),"")</f>
        <v/>
      </c>
    </row>
    <row r="793">
      <c r="A793" s="15" t="str">
        <f>IFERROR(__xludf.DUMMYFUNCTION("IFERROR(INDEX(FILTER('RE Portfolio'!A$2:A2000,'RE Portfolio'!D$2:D2000=""BUY""), INT((ROW()-2)/amortYears)+1), )
"),"")</f>
        <v/>
      </c>
      <c r="B793" s="15" t="str">
        <f>IFERROR(__xludf.DUMMYFUNCTION("IFERROR(INDEX(FILTER('RE Portfolio'!B$2:B2000,'RE Portfolio'!D$2:D2000=""BUY""), INT((ROW()-2)/amortYears)+1), )
"),"")</f>
        <v/>
      </c>
      <c r="C793" s="15" t="str">
        <f>IFERROR(__xludf.DUMMYFUNCTION("IFERROR(INDEX(FILTER('RE Portfolio'!G$2:G2000,'RE Portfolio'!D$2:D2000=""BUY""), INT((ROW()-2)/amortYears)+1), )
"),"")</f>
        <v/>
      </c>
      <c r="D793" s="15">
        <f>MOD(ROW()-2, amortYears)+1</f>
        <v>32</v>
      </c>
      <c r="E793" s="15" t="str">
        <f t="shared" si="1"/>
        <v/>
      </c>
      <c r="F793" s="15">
        <f t="shared" si="2"/>
        <v>0</v>
      </c>
      <c r="G793" s="15">
        <f>IF(D793&lt;=mortTerm, -PMT(mortRate/12, mortTerm*12, C793)*12, 0)
</f>
        <v>0</v>
      </c>
      <c r="H793" s="15">
        <f>IF(D793&lt;=mortTerm, G793 - I793, 0)
</f>
        <v>0</v>
      </c>
      <c r="I793" s="15">
        <f>IF(D793&lt;=mortTerm, F793 - J793, 0)
</f>
        <v>0</v>
      </c>
      <c r="J793" s="15">
        <f>IF(D793&lt;=mortTerm,
   F793*(1+mortRate/12)^12 - (-PMT(mortRate/12, mortTerm*12, C793))*(((1+mortRate/12)^12 - 1)/(mortRate/12)),
   0
)
</f>
        <v>0</v>
      </c>
      <c r="K793" s="13" t="str">
        <f>IFERROR(__xludf.DUMMYFUNCTION("IF(A793="""","""",
   IF(F793&gt;0,
      INDEX(FILTER('RE Portfolio'!L$2:L2000,'RE Portfolio'!D$2:D2000=""BUY""), INT((ROW()-2)/amortYears)+1) - G793,
      INDEX(FILTER('RE Portfolio'!L$2:L2000,'RE Portfolio'!D$2:D2000=""BUY""), INT((ROW()-2)/amortYears)+1"&amp;")
   )
)
"),"")</f>
        <v/>
      </c>
      <c r="L793" s="15" t="str">
        <f>IFERROR(__xludf.DUMMYFUNCTION("IF(A793="""","""",
  INDEX(FILTER('RE Portfolio'!C$2:C2000,'RE Portfolio'!D$2:D2000=""BUY""), INT((ROW()-2)/amortYears)+1)
  * (1 + VALUE(Assumptions!$B$11))^(D793-1)
)
"),"")</f>
        <v/>
      </c>
    </row>
    <row r="794">
      <c r="A794" s="15" t="str">
        <f>IFERROR(__xludf.DUMMYFUNCTION("IFERROR(INDEX(FILTER('RE Portfolio'!A$2:A2000,'RE Portfolio'!D$2:D2000=""BUY""), INT((ROW()-2)/amortYears)+1), )
"),"")</f>
        <v/>
      </c>
      <c r="B794" s="15" t="str">
        <f>IFERROR(__xludf.DUMMYFUNCTION("IFERROR(INDEX(FILTER('RE Portfolio'!B$2:B2000,'RE Portfolio'!D$2:D2000=""BUY""), INT((ROW()-2)/amortYears)+1), )
"),"")</f>
        <v/>
      </c>
      <c r="C794" s="15" t="str">
        <f>IFERROR(__xludf.DUMMYFUNCTION("IFERROR(INDEX(FILTER('RE Portfolio'!G$2:G2000,'RE Portfolio'!D$2:D2000=""BUY""), INT((ROW()-2)/amortYears)+1), )
"),"")</f>
        <v/>
      </c>
      <c r="D794" s="15">
        <f>MOD(ROW()-2, amortYears)+1</f>
        <v>33</v>
      </c>
      <c r="E794" s="15" t="str">
        <f t="shared" si="1"/>
        <v/>
      </c>
      <c r="F794" s="15">
        <f t="shared" si="2"/>
        <v>0</v>
      </c>
      <c r="G794" s="15">
        <f>IF(D794&lt;=mortTerm, -PMT(mortRate/12, mortTerm*12, C794)*12, 0)
</f>
        <v>0</v>
      </c>
      <c r="H794" s="15">
        <f>IF(D794&lt;=mortTerm, G794 - I794, 0)
</f>
        <v>0</v>
      </c>
      <c r="I794" s="15">
        <f>IF(D794&lt;=mortTerm, F794 - J794, 0)
</f>
        <v>0</v>
      </c>
      <c r="J794" s="15">
        <f>IF(D794&lt;=mortTerm,
   F794*(1+mortRate/12)^12 - (-PMT(mortRate/12, mortTerm*12, C794))*(((1+mortRate/12)^12 - 1)/(mortRate/12)),
   0
)
</f>
        <v>0</v>
      </c>
      <c r="K794" s="13" t="str">
        <f>IFERROR(__xludf.DUMMYFUNCTION("IF(A794="""","""",
   IF(F794&gt;0,
      INDEX(FILTER('RE Portfolio'!L$2:L2000,'RE Portfolio'!D$2:D2000=""BUY""), INT((ROW()-2)/amortYears)+1) - G794,
      INDEX(FILTER('RE Portfolio'!L$2:L2000,'RE Portfolio'!D$2:D2000=""BUY""), INT((ROW()-2)/amortYears)+1"&amp;")
   )
)
"),"")</f>
        <v/>
      </c>
      <c r="L794" s="15" t="str">
        <f>IFERROR(__xludf.DUMMYFUNCTION("IF(A794="""","""",
  INDEX(FILTER('RE Portfolio'!C$2:C2000,'RE Portfolio'!D$2:D2000=""BUY""), INT((ROW()-2)/amortYears)+1)
  * (1 + VALUE(Assumptions!$B$11))^(D794-1)
)
"),"")</f>
        <v/>
      </c>
    </row>
    <row r="795">
      <c r="A795" s="15" t="str">
        <f>IFERROR(__xludf.DUMMYFUNCTION("IFERROR(INDEX(FILTER('RE Portfolio'!A$2:A2000,'RE Portfolio'!D$2:D2000=""BUY""), INT((ROW()-2)/amortYears)+1), )
"),"")</f>
        <v/>
      </c>
      <c r="B795" s="15" t="str">
        <f>IFERROR(__xludf.DUMMYFUNCTION("IFERROR(INDEX(FILTER('RE Portfolio'!B$2:B2000,'RE Portfolio'!D$2:D2000=""BUY""), INT((ROW()-2)/amortYears)+1), )
"),"")</f>
        <v/>
      </c>
      <c r="C795" s="15" t="str">
        <f>IFERROR(__xludf.DUMMYFUNCTION("IFERROR(INDEX(FILTER('RE Portfolio'!G$2:G2000,'RE Portfolio'!D$2:D2000=""BUY""), INT((ROW()-2)/amortYears)+1), )
"),"")</f>
        <v/>
      </c>
      <c r="D795" s="15">
        <f>MOD(ROW()-2, amortYears)+1</f>
        <v>34</v>
      </c>
      <c r="E795" s="15" t="str">
        <f t="shared" si="1"/>
        <v/>
      </c>
      <c r="F795" s="15">
        <f t="shared" si="2"/>
        <v>0</v>
      </c>
      <c r="G795" s="15">
        <f>IF(D795&lt;=mortTerm, -PMT(mortRate/12, mortTerm*12, C795)*12, 0)
</f>
        <v>0</v>
      </c>
      <c r="H795" s="15">
        <f>IF(D795&lt;=mortTerm, G795 - I795, 0)
</f>
        <v>0</v>
      </c>
      <c r="I795" s="15">
        <f>IF(D795&lt;=mortTerm, F795 - J795, 0)
</f>
        <v>0</v>
      </c>
      <c r="J795" s="15">
        <f>IF(D795&lt;=mortTerm,
   F795*(1+mortRate/12)^12 - (-PMT(mortRate/12, mortTerm*12, C795))*(((1+mortRate/12)^12 - 1)/(mortRate/12)),
   0
)
</f>
        <v>0</v>
      </c>
      <c r="K795" s="13" t="str">
        <f>IFERROR(__xludf.DUMMYFUNCTION("IF(A795="""","""",
   IF(F795&gt;0,
      INDEX(FILTER('RE Portfolio'!L$2:L2000,'RE Portfolio'!D$2:D2000=""BUY""), INT((ROW()-2)/amortYears)+1) - G795,
      INDEX(FILTER('RE Portfolio'!L$2:L2000,'RE Portfolio'!D$2:D2000=""BUY""), INT((ROW()-2)/amortYears)+1"&amp;")
   )
)
"),"")</f>
        <v/>
      </c>
      <c r="L795" s="15" t="str">
        <f>IFERROR(__xludf.DUMMYFUNCTION("IF(A795="""","""",
  INDEX(FILTER('RE Portfolio'!C$2:C2000,'RE Portfolio'!D$2:D2000=""BUY""), INT((ROW()-2)/amortYears)+1)
  * (1 + VALUE(Assumptions!$B$11))^(D795-1)
)
"),"")</f>
        <v/>
      </c>
    </row>
    <row r="796">
      <c r="A796" s="15" t="str">
        <f>IFERROR(__xludf.DUMMYFUNCTION("IFERROR(INDEX(FILTER('RE Portfolio'!A$2:A2000,'RE Portfolio'!D$2:D2000=""BUY""), INT((ROW()-2)/amortYears)+1), )
"),"")</f>
        <v/>
      </c>
      <c r="B796" s="15" t="str">
        <f>IFERROR(__xludf.DUMMYFUNCTION("IFERROR(INDEX(FILTER('RE Portfolio'!B$2:B2000,'RE Portfolio'!D$2:D2000=""BUY""), INT((ROW()-2)/amortYears)+1), )
"),"")</f>
        <v/>
      </c>
      <c r="C796" s="15" t="str">
        <f>IFERROR(__xludf.DUMMYFUNCTION("IFERROR(INDEX(FILTER('RE Portfolio'!G$2:G2000,'RE Portfolio'!D$2:D2000=""BUY""), INT((ROW()-2)/amortYears)+1), )
"),"")</f>
        <v/>
      </c>
      <c r="D796" s="15">
        <f>MOD(ROW()-2, amortYears)+1</f>
        <v>35</v>
      </c>
      <c r="E796" s="15" t="str">
        <f t="shared" si="1"/>
        <v/>
      </c>
      <c r="F796" s="15">
        <f t="shared" si="2"/>
        <v>0</v>
      </c>
      <c r="G796" s="15">
        <f>IF(D796&lt;=mortTerm, -PMT(mortRate/12, mortTerm*12, C796)*12, 0)
</f>
        <v>0</v>
      </c>
      <c r="H796" s="15">
        <f>IF(D796&lt;=mortTerm, G796 - I796, 0)
</f>
        <v>0</v>
      </c>
      <c r="I796" s="15">
        <f>IF(D796&lt;=mortTerm, F796 - J796, 0)
</f>
        <v>0</v>
      </c>
      <c r="J796" s="15">
        <f>IF(D796&lt;=mortTerm,
   F796*(1+mortRate/12)^12 - (-PMT(mortRate/12, mortTerm*12, C796))*(((1+mortRate/12)^12 - 1)/(mortRate/12)),
   0
)
</f>
        <v>0</v>
      </c>
      <c r="K796" s="13" t="str">
        <f>IFERROR(__xludf.DUMMYFUNCTION("IF(A796="""","""",
   IF(F796&gt;0,
      INDEX(FILTER('RE Portfolio'!L$2:L2000,'RE Portfolio'!D$2:D2000=""BUY""), INT((ROW()-2)/amortYears)+1) - G796,
      INDEX(FILTER('RE Portfolio'!L$2:L2000,'RE Portfolio'!D$2:D2000=""BUY""), INT((ROW()-2)/amortYears)+1"&amp;")
   )
)
"),"")</f>
        <v/>
      </c>
      <c r="L796" s="15" t="str">
        <f>IFERROR(__xludf.DUMMYFUNCTION("IF(A796="""","""",
  INDEX(FILTER('RE Portfolio'!C$2:C2000,'RE Portfolio'!D$2:D2000=""BUY""), INT((ROW()-2)/amortYears)+1)
  * (1 + VALUE(Assumptions!$B$11))^(D796-1)
)
"),"")</f>
        <v/>
      </c>
    </row>
    <row r="797">
      <c r="A797" s="15" t="str">
        <f>IFERROR(__xludf.DUMMYFUNCTION("IFERROR(INDEX(FILTER('RE Portfolio'!A$2:A2000,'RE Portfolio'!D$2:D2000=""BUY""), INT((ROW()-2)/amortYears)+1), )
"),"")</f>
        <v/>
      </c>
      <c r="B797" s="15" t="str">
        <f>IFERROR(__xludf.DUMMYFUNCTION("IFERROR(INDEX(FILTER('RE Portfolio'!B$2:B2000,'RE Portfolio'!D$2:D2000=""BUY""), INT((ROW()-2)/amortYears)+1), )
"),"")</f>
        <v/>
      </c>
      <c r="C797" s="15" t="str">
        <f>IFERROR(__xludf.DUMMYFUNCTION("IFERROR(INDEX(FILTER('RE Portfolio'!G$2:G2000,'RE Portfolio'!D$2:D2000=""BUY""), INT((ROW()-2)/amortYears)+1), )
"),"")</f>
        <v/>
      </c>
      <c r="D797" s="15">
        <f>MOD(ROW()-2, amortYears)+1</f>
        <v>36</v>
      </c>
      <c r="E797" s="15" t="str">
        <f t="shared" si="1"/>
        <v/>
      </c>
      <c r="F797" s="15">
        <f t="shared" si="2"/>
        <v>0</v>
      </c>
      <c r="G797" s="15">
        <f>IF(D797&lt;=mortTerm, -PMT(mortRate/12, mortTerm*12, C797)*12, 0)
</f>
        <v>0</v>
      </c>
      <c r="H797" s="15">
        <f>IF(D797&lt;=mortTerm, G797 - I797, 0)
</f>
        <v>0</v>
      </c>
      <c r="I797" s="15">
        <f>IF(D797&lt;=mortTerm, F797 - J797, 0)
</f>
        <v>0</v>
      </c>
      <c r="J797" s="15">
        <f>IF(D797&lt;=mortTerm,
   F797*(1+mortRate/12)^12 - (-PMT(mortRate/12, mortTerm*12, C797))*(((1+mortRate/12)^12 - 1)/(mortRate/12)),
   0
)
</f>
        <v>0</v>
      </c>
      <c r="K797" s="13" t="str">
        <f>IFERROR(__xludf.DUMMYFUNCTION("IF(A797="""","""",
   IF(F797&gt;0,
      INDEX(FILTER('RE Portfolio'!L$2:L2000,'RE Portfolio'!D$2:D2000=""BUY""), INT((ROW()-2)/amortYears)+1) - G797,
      INDEX(FILTER('RE Portfolio'!L$2:L2000,'RE Portfolio'!D$2:D2000=""BUY""), INT((ROW()-2)/amortYears)+1"&amp;")
   )
)
"),"")</f>
        <v/>
      </c>
      <c r="L797" s="15" t="str">
        <f>IFERROR(__xludf.DUMMYFUNCTION("IF(A797="""","""",
  INDEX(FILTER('RE Portfolio'!C$2:C2000,'RE Portfolio'!D$2:D2000=""BUY""), INT((ROW()-2)/amortYears)+1)
  * (1 + VALUE(Assumptions!$B$11))^(D797-1)
)
"),"")</f>
        <v/>
      </c>
    </row>
    <row r="798">
      <c r="A798" s="15" t="str">
        <f>IFERROR(__xludf.DUMMYFUNCTION("IFERROR(INDEX(FILTER('RE Portfolio'!A$2:A2000,'RE Portfolio'!D$2:D2000=""BUY""), INT((ROW()-2)/amortYears)+1), )
"),"")</f>
        <v/>
      </c>
      <c r="B798" s="15" t="str">
        <f>IFERROR(__xludf.DUMMYFUNCTION("IFERROR(INDEX(FILTER('RE Portfolio'!B$2:B2000,'RE Portfolio'!D$2:D2000=""BUY""), INT((ROW()-2)/amortYears)+1), )
"),"")</f>
        <v/>
      </c>
      <c r="C798" s="15" t="str">
        <f>IFERROR(__xludf.DUMMYFUNCTION("IFERROR(INDEX(FILTER('RE Portfolio'!G$2:G2000,'RE Portfolio'!D$2:D2000=""BUY""), INT((ROW()-2)/amortYears)+1), )
"),"")</f>
        <v/>
      </c>
      <c r="D798" s="15">
        <f>MOD(ROW()-2, amortYears)+1</f>
        <v>37</v>
      </c>
      <c r="E798" s="15" t="str">
        <f t="shared" si="1"/>
        <v/>
      </c>
      <c r="F798" s="15">
        <f t="shared" si="2"/>
        <v>0</v>
      </c>
      <c r="G798" s="15">
        <f>IF(D798&lt;=mortTerm, -PMT(mortRate/12, mortTerm*12, C798)*12, 0)
</f>
        <v>0</v>
      </c>
      <c r="H798" s="15">
        <f>IF(D798&lt;=mortTerm, G798 - I798, 0)
</f>
        <v>0</v>
      </c>
      <c r="I798" s="15">
        <f>IF(D798&lt;=mortTerm, F798 - J798, 0)
</f>
        <v>0</v>
      </c>
      <c r="J798" s="15">
        <f>IF(D798&lt;=mortTerm,
   F798*(1+mortRate/12)^12 - (-PMT(mortRate/12, mortTerm*12, C798))*(((1+mortRate/12)^12 - 1)/(mortRate/12)),
   0
)
</f>
        <v>0</v>
      </c>
      <c r="K798" s="13" t="str">
        <f>IFERROR(__xludf.DUMMYFUNCTION("IF(A798="""","""",
   IF(F798&gt;0,
      INDEX(FILTER('RE Portfolio'!L$2:L2000,'RE Portfolio'!D$2:D2000=""BUY""), INT((ROW()-2)/amortYears)+1) - G798,
      INDEX(FILTER('RE Portfolio'!L$2:L2000,'RE Portfolio'!D$2:D2000=""BUY""), INT((ROW()-2)/amortYears)+1"&amp;")
   )
)
"),"")</f>
        <v/>
      </c>
      <c r="L798" s="15" t="str">
        <f>IFERROR(__xludf.DUMMYFUNCTION("IF(A798="""","""",
  INDEX(FILTER('RE Portfolio'!C$2:C2000,'RE Portfolio'!D$2:D2000=""BUY""), INT((ROW()-2)/amortYears)+1)
  * (1 + VALUE(Assumptions!$B$11))^(D798-1)
)
"),"")</f>
        <v/>
      </c>
    </row>
    <row r="799">
      <c r="A799" s="15" t="str">
        <f>IFERROR(__xludf.DUMMYFUNCTION("IFERROR(INDEX(FILTER('RE Portfolio'!A$2:A2000,'RE Portfolio'!D$2:D2000=""BUY""), INT((ROW()-2)/amortYears)+1), )
"),"")</f>
        <v/>
      </c>
      <c r="B799" s="15" t="str">
        <f>IFERROR(__xludf.DUMMYFUNCTION("IFERROR(INDEX(FILTER('RE Portfolio'!B$2:B2000,'RE Portfolio'!D$2:D2000=""BUY""), INT((ROW()-2)/amortYears)+1), )
"),"")</f>
        <v/>
      </c>
      <c r="C799" s="15" t="str">
        <f>IFERROR(__xludf.DUMMYFUNCTION("IFERROR(INDEX(FILTER('RE Portfolio'!G$2:G2000,'RE Portfolio'!D$2:D2000=""BUY""), INT((ROW()-2)/amortYears)+1), )
"),"")</f>
        <v/>
      </c>
      <c r="D799" s="15">
        <f>MOD(ROW()-2, amortYears)+1</f>
        <v>38</v>
      </c>
      <c r="E799" s="15" t="str">
        <f t="shared" si="1"/>
        <v/>
      </c>
      <c r="F799" s="15">
        <f t="shared" si="2"/>
        <v>0</v>
      </c>
      <c r="G799" s="15">
        <f>IF(D799&lt;=mortTerm, -PMT(mortRate/12, mortTerm*12, C799)*12, 0)
</f>
        <v>0</v>
      </c>
      <c r="H799" s="15">
        <f>IF(D799&lt;=mortTerm, G799 - I799, 0)
</f>
        <v>0</v>
      </c>
      <c r="I799" s="15">
        <f>IF(D799&lt;=mortTerm, F799 - J799, 0)
</f>
        <v>0</v>
      </c>
      <c r="J799" s="15">
        <f>IF(D799&lt;=mortTerm,
   F799*(1+mortRate/12)^12 - (-PMT(mortRate/12, mortTerm*12, C799))*(((1+mortRate/12)^12 - 1)/(mortRate/12)),
   0
)
</f>
        <v>0</v>
      </c>
      <c r="K799" s="13" t="str">
        <f>IFERROR(__xludf.DUMMYFUNCTION("IF(A799="""","""",
   IF(F799&gt;0,
      INDEX(FILTER('RE Portfolio'!L$2:L2000,'RE Portfolio'!D$2:D2000=""BUY""), INT((ROW()-2)/amortYears)+1) - G799,
      INDEX(FILTER('RE Portfolio'!L$2:L2000,'RE Portfolio'!D$2:D2000=""BUY""), INT((ROW()-2)/amortYears)+1"&amp;")
   )
)
"),"")</f>
        <v/>
      </c>
      <c r="L799" s="15" t="str">
        <f>IFERROR(__xludf.DUMMYFUNCTION("IF(A799="""","""",
  INDEX(FILTER('RE Portfolio'!C$2:C2000,'RE Portfolio'!D$2:D2000=""BUY""), INT((ROW()-2)/amortYears)+1)
  * (1 + VALUE(Assumptions!$B$11))^(D799-1)
)
"),"")</f>
        <v/>
      </c>
    </row>
    <row r="800">
      <c r="A800" s="15" t="str">
        <f>IFERROR(__xludf.DUMMYFUNCTION("IFERROR(INDEX(FILTER('RE Portfolio'!A$2:A2000,'RE Portfolio'!D$2:D2000=""BUY""), INT((ROW()-2)/amortYears)+1), )
"),"")</f>
        <v/>
      </c>
      <c r="B800" s="15" t="str">
        <f>IFERROR(__xludf.DUMMYFUNCTION("IFERROR(INDEX(FILTER('RE Portfolio'!B$2:B2000,'RE Portfolio'!D$2:D2000=""BUY""), INT((ROW()-2)/amortYears)+1), )
"),"")</f>
        <v/>
      </c>
      <c r="C800" s="15" t="str">
        <f>IFERROR(__xludf.DUMMYFUNCTION("IFERROR(INDEX(FILTER('RE Portfolio'!G$2:G2000,'RE Portfolio'!D$2:D2000=""BUY""), INT((ROW()-2)/amortYears)+1), )
"),"")</f>
        <v/>
      </c>
      <c r="D800" s="15">
        <f>MOD(ROW()-2, amortYears)+1</f>
        <v>1</v>
      </c>
      <c r="E800" s="15" t="str">
        <f t="shared" si="1"/>
        <v/>
      </c>
      <c r="F800" s="15" t="str">
        <f t="shared" si="2"/>
        <v/>
      </c>
      <c r="G800" s="16">
        <f>IF(D800&lt;=mortTerm, -PMT(mortRate/12, mortTerm*12, C800)*12, 0)
</f>
        <v>0</v>
      </c>
      <c r="H800" s="16">
        <f>IF(D800&lt;=mortTerm, G800 - I800, 0)
</f>
        <v>0</v>
      </c>
      <c r="I800" s="16">
        <f>IF(D800&lt;=mortTerm, F800 - J800, 0)
</f>
        <v>0</v>
      </c>
      <c r="J800" s="16">
        <f>IF(D800&lt;=mortTerm,
   F800*(1+mortRate/12)^12 - (-PMT(mortRate/12, mortTerm*12, C800))*(((1+mortRate/12)^12 - 1)/(mortRate/12)),
   0
)
</f>
        <v>0</v>
      </c>
      <c r="K800" s="13" t="str">
        <f>IFERROR(__xludf.DUMMYFUNCTION("IF(A800="""","""",
   IF(F800&gt;0,
      INDEX(FILTER('RE Portfolio'!L$2:L2000,'RE Portfolio'!D$2:D2000=""BUY""), INT((ROW()-2)/amortYears)+1) - G800,
      INDEX(FILTER('RE Portfolio'!L$2:L2000,'RE Portfolio'!D$2:D2000=""BUY""), INT((ROW()-2)/amortYears)+1"&amp;")
   )
)
"),"")</f>
        <v/>
      </c>
      <c r="L800" s="15" t="str">
        <f>IFERROR(__xludf.DUMMYFUNCTION("IF(A800="""","""",
  INDEX(FILTER('RE Portfolio'!C$2:C2000,'RE Portfolio'!D$2:D2000=""BUY""), INT((ROW()-2)/amortYears)+1)
  * (1 + VALUE(Assumptions!$B$11))^(D800-1)
)
"),"")</f>
        <v/>
      </c>
    </row>
    <row r="801">
      <c r="A801" s="15" t="str">
        <f>IFERROR(__xludf.DUMMYFUNCTION("IFERROR(INDEX(FILTER('RE Portfolio'!A$2:A2000,'RE Portfolio'!D$2:D2000=""BUY""), INT((ROW()-2)/amortYears)+1), )
"),"")</f>
        <v/>
      </c>
      <c r="B801" s="15" t="str">
        <f>IFERROR(__xludf.DUMMYFUNCTION("IFERROR(INDEX(FILTER('RE Portfolio'!B$2:B2000,'RE Portfolio'!D$2:D2000=""BUY""), INT((ROW()-2)/amortYears)+1), )
"),"")</f>
        <v/>
      </c>
      <c r="C801" s="15" t="str">
        <f>IFERROR(__xludf.DUMMYFUNCTION("IFERROR(INDEX(FILTER('RE Portfolio'!G$2:G2000,'RE Portfolio'!D$2:D2000=""BUY""), INT((ROW()-2)/amortYears)+1), )
"),"")</f>
        <v/>
      </c>
      <c r="D801" s="15">
        <f>MOD(ROW()-2, amortYears)+1</f>
        <v>2</v>
      </c>
      <c r="E801" s="15" t="str">
        <f t="shared" si="1"/>
        <v/>
      </c>
      <c r="F801" s="16">
        <f t="shared" si="2"/>
        <v>0</v>
      </c>
      <c r="G801" s="16">
        <f>IF(D801&lt;=mortTerm, -PMT(mortRate/12, mortTerm*12, C801)*12, 0)
</f>
        <v>0</v>
      </c>
      <c r="H801" s="16">
        <f>IF(D801&lt;=mortTerm, G801 - I801, 0)
</f>
        <v>0</v>
      </c>
      <c r="I801" s="16">
        <f>IF(D801&lt;=mortTerm, F801 - J801, 0)
</f>
        <v>0</v>
      </c>
      <c r="J801" s="16">
        <f>IF(D801&lt;=mortTerm,
   F801*(1+mortRate/12)^12 - (-PMT(mortRate/12, mortTerm*12, C801))*(((1+mortRate/12)^12 - 1)/(mortRate/12)),
   0
)
</f>
        <v>0</v>
      </c>
      <c r="K801" s="13" t="str">
        <f>IFERROR(__xludf.DUMMYFUNCTION("IF(A801="""","""",
   IF(F801&gt;0,
      INDEX(FILTER('RE Portfolio'!L$2:L2000,'RE Portfolio'!D$2:D2000=""BUY""), INT((ROW()-2)/amortYears)+1) - G801,
      INDEX(FILTER('RE Portfolio'!L$2:L2000,'RE Portfolio'!D$2:D2000=""BUY""), INT((ROW()-2)/amortYears)+1"&amp;")
   )
)
"),"")</f>
        <v/>
      </c>
      <c r="L801" s="15" t="str">
        <f>IFERROR(__xludf.DUMMYFUNCTION("IF(A801="""","""",
  INDEX(FILTER('RE Portfolio'!C$2:C2000,'RE Portfolio'!D$2:D2000=""BUY""), INT((ROW()-2)/amortYears)+1)
  * (1 + VALUE(Assumptions!$B$11))^(D801-1)
)
"),"")</f>
        <v/>
      </c>
    </row>
    <row r="802">
      <c r="A802" s="15" t="str">
        <f>IFERROR(__xludf.DUMMYFUNCTION("IFERROR(INDEX(FILTER('RE Portfolio'!A$2:A2000,'RE Portfolio'!D$2:D2000=""BUY""), INT((ROW()-2)/amortYears)+1), )
"),"")</f>
        <v/>
      </c>
      <c r="B802" s="15" t="str">
        <f>IFERROR(__xludf.DUMMYFUNCTION("IFERROR(INDEX(FILTER('RE Portfolio'!B$2:B2000,'RE Portfolio'!D$2:D2000=""BUY""), INT((ROW()-2)/amortYears)+1), )
"),"")</f>
        <v/>
      </c>
      <c r="C802" s="15" t="str">
        <f>IFERROR(__xludf.DUMMYFUNCTION("IFERROR(INDEX(FILTER('RE Portfolio'!G$2:G2000,'RE Portfolio'!D$2:D2000=""BUY""), INT((ROW()-2)/amortYears)+1), )
"),"")</f>
        <v/>
      </c>
      <c r="D802" s="15">
        <f>MOD(ROW()-2, amortYears)+1</f>
        <v>3</v>
      </c>
      <c r="E802" s="15" t="str">
        <f t="shared" si="1"/>
        <v/>
      </c>
      <c r="F802" s="16">
        <f t="shared" si="2"/>
        <v>0</v>
      </c>
      <c r="G802" s="16">
        <f>IF(D802&lt;=mortTerm, -PMT(mortRate/12, mortTerm*12, C802)*12, 0)
</f>
        <v>0</v>
      </c>
      <c r="H802" s="16">
        <f>IF(D802&lt;=mortTerm, G802 - I802, 0)
</f>
        <v>0</v>
      </c>
      <c r="I802" s="16">
        <f>IF(D802&lt;=mortTerm, F802 - J802, 0)
</f>
        <v>0</v>
      </c>
      <c r="J802" s="16">
        <f>IF(D802&lt;=mortTerm,
   F802*(1+mortRate/12)^12 - (-PMT(mortRate/12, mortTerm*12, C802))*(((1+mortRate/12)^12 - 1)/(mortRate/12)),
   0
)
</f>
        <v>0</v>
      </c>
      <c r="K802" s="13" t="str">
        <f>IFERROR(__xludf.DUMMYFUNCTION("IF(A802="""","""",
   IF(F802&gt;0,
      INDEX(FILTER('RE Portfolio'!L$2:L2000,'RE Portfolio'!D$2:D2000=""BUY""), INT((ROW()-2)/amortYears)+1) - G802,
      INDEX(FILTER('RE Portfolio'!L$2:L2000,'RE Portfolio'!D$2:D2000=""BUY""), INT((ROW()-2)/amortYears)+1"&amp;")
   )
)
"),"")</f>
        <v/>
      </c>
      <c r="L802" s="15" t="str">
        <f>IFERROR(__xludf.DUMMYFUNCTION("IF(A802="""","""",
  INDEX(FILTER('RE Portfolio'!C$2:C2000,'RE Portfolio'!D$2:D2000=""BUY""), INT((ROW()-2)/amortYears)+1)
  * (1 + VALUE(Assumptions!$B$11))^(D802-1)
)
"),"")</f>
        <v/>
      </c>
    </row>
    <row r="803">
      <c r="A803" s="15" t="str">
        <f>IFERROR(__xludf.DUMMYFUNCTION("IFERROR(INDEX(FILTER('RE Portfolio'!A$2:A2000,'RE Portfolio'!D$2:D2000=""BUY""), INT((ROW()-2)/amortYears)+1), )
"),"")</f>
        <v/>
      </c>
      <c r="B803" s="15" t="str">
        <f>IFERROR(__xludf.DUMMYFUNCTION("IFERROR(INDEX(FILTER('RE Portfolio'!B$2:B2000,'RE Portfolio'!D$2:D2000=""BUY""), INT((ROW()-2)/amortYears)+1), )
"),"")</f>
        <v/>
      </c>
      <c r="C803" s="15" t="str">
        <f>IFERROR(__xludf.DUMMYFUNCTION("IFERROR(INDEX(FILTER('RE Portfolio'!G$2:G2000,'RE Portfolio'!D$2:D2000=""BUY""), INT((ROW()-2)/amortYears)+1), )
"),"")</f>
        <v/>
      </c>
      <c r="D803" s="15">
        <f>MOD(ROW()-2, amortYears)+1</f>
        <v>4</v>
      </c>
      <c r="E803" s="15" t="str">
        <f t="shared" si="1"/>
        <v/>
      </c>
      <c r="F803" s="16">
        <f t="shared" si="2"/>
        <v>0</v>
      </c>
      <c r="G803" s="16">
        <f>IF(D803&lt;=mortTerm, -PMT(mortRate/12, mortTerm*12, C803)*12, 0)
</f>
        <v>0</v>
      </c>
      <c r="H803" s="16">
        <f>IF(D803&lt;=mortTerm, G803 - I803, 0)
</f>
        <v>0</v>
      </c>
      <c r="I803" s="16">
        <f>IF(D803&lt;=mortTerm, F803 - J803, 0)
</f>
        <v>0</v>
      </c>
      <c r="J803" s="16">
        <f>IF(D803&lt;=mortTerm,
   F803*(1+mortRate/12)^12 - (-PMT(mortRate/12, mortTerm*12, C803))*(((1+mortRate/12)^12 - 1)/(mortRate/12)),
   0
)
</f>
        <v>0</v>
      </c>
      <c r="K803" s="13" t="str">
        <f>IFERROR(__xludf.DUMMYFUNCTION("IF(A803="""","""",
   IF(F803&gt;0,
      INDEX(FILTER('RE Portfolio'!L$2:L2000,'RE Portfolio'!D$2:D2000=""BUY""), INT((ROW()-2)/amortYears)+1) - G803,
      INDEX(FILTER('RE Portfolio'!L$2:L2000,'RE Portfolio'!D$2:D2000=""BUY""), INT((ROW()-2)/amortYears)+1"&amp;")
   )
)
"),"")</f>
        <v/>
      </c>
      <c r="L803" s="15" t="str">
        <f>IFERROR(__xludf.DUMMYFUNCTION("IF(A803="""","""",
  INDEX(FILTER('RE Portfolio'!C$2:C2000,'RE Portfolio'!D$2:D2000=""BUY""), INT((ROW()-2)/amortYears)+1)
  * (1 + VALUE(Assumptions!$B$11))^(D803-1)
)
"),"")</f>
        <v/>
      </c>
    </row>
    <row r="804">
      <c r="A804" s="15" t="str">
        <f>IFERROR(__xludf.DUMMYFUNCTION("IFERROR(INDEX(FILTER('RE Portfolio'!A$2:A2000,'RE Portfolio'!D$2:D2000=""BUY""), INT((ROW()-2)/amortYears)+1), )
"),"")</f>
        <v/>
      </c>
      <c r="B804" s="15" t="str">
        <f>IFERROR(__xludf.DUMMYFUNCTION("IFERROR(INDEX(FILTER('RE Portfolio'!B$2:B2000,'RE Portfolio'!D$2:D2000=""BUY""), INT((ROW()-2)/amortYears)+1), )
"),"")</f>
        <v/>
      </c>
      <c r="C804" s="15" t="str">
        <f>IFERROR(__xludf.DUMMYFUNCTION("IFERROR(INDEX(FILTER('RE Portfolio'!G$2:G2000,'RE Portfolio'!D$2:D2000=""BUY""), INT((ROW()-2)/amortYears)+1), )
"),"")</f>
        <v/>
      </c>
      <c r="D804" s="15">
        <f>MOD(ROW()-2, amortYears)+1</f>
        <v>5</v>
      </c>
      <c r="E804" s="15" t="str">
        <f t="shared" si="1"/>
        <v/>
      </c>
      <c r="F804" s="16">
        <f t="shared" si="2"/>
        <v>0</v>
      </c>
      <c r="G804" s="16">
        <f>IF(D804&lt;=mortTerm, -PMT(mortRate/12, mortTerm*12, C804)*12, 0)
</f>
        <v>0</v>
      </c>
      <c r="H804" s="16">
        <f>IF(D804&lt;=mortTerm, G804 - I804, 0)
</f>
        <v>0</v>
      </c>
      <c r="I804" s="16">
        <f>IF(D804&lt;=mortTerm, F804 - J804, 0)
</f>
        <v>0</v>
      </c>
      <c r="J804" s="16">
        <f>IF(D804&lt;=mortTerm,
   F804*(1+mortRate/12)^12 - (-PMT(mortRate/12, mortTerm*12, C804))*(((1+mortRate/12)^12 - 1)/(mortRate/12)),
   0
)
</f>
        <v>0</v>
      </c>
      <c r="K804" s="13" t="str">
        <f>IFERROR(__xludf.DUMMYFUNCTION("IF(A804="""","""",
   IF(F804&gt;0,
      INDEX(FILTER('RE Portfolio'!L$2:L2000,'RE Portfolio'!D$2:D2000=""BUY""), INT((ROW()-2)/amortYears)+1) - G804,
      INDEX(FILTER('RE Portfolio'!L$2:L2000,'RE Portfolio'!D$2:D2000=""BUY""), INT((ROW()-2)/amortYears)+1"&amp;")
   )
)
"),"")</f>
        <v/>
      </c>
      <c r="L804" s="15" t="str">
        <f>IFERROR(__xludf.DUMMYFUNCTION("IF(A804="""","""",
  INDEX(FILTER('RE Portfolio'!C$2:C2000,'RE Portfolio'!D$2:D2000=""BUY""), INT((ROW()-2)/amortYears)+1)
  * (1 + VALUE(Assumptions!$B$11))^(D804-1)
)
"),"")</f>
        <v/>
      </c>
    </row>
    <row r="805">
      <c r="A805" s="15" t="str">
        <f>IFERROR(__xludf.DUMMYFUNCTION("IFERROR(INDEX(FILTER('RE Portfolio'!A$2:A2000,'RE Portfolio'!D$2:D2000=""BUY""), INT((ROW()-2)/amortYears)+1), )
"),"")</f>
        <v/>
      </c>
      <c r="B805" s="15" t="str">
        <f>IFERROR(__xludf.DUMMYFUNCTION("IFERROR(INDEX(FILTER('RE Portfolio'!B$2:B2000,'RE Portfolio'!D$2:D2000=""BUY""), INT((ROW()-2)/amortYears)+1), )
"),"")</f>
        <v/>
      </c>
      <c r="C805" s="15" t="str">
        <f>IFERROR(__xludf.DUMMYFUNCTION("IFERROR(INDEX(FILTER('RE Portfolio'!G$2:G2000,'RE Portfolio'!D$2:D2000=""BUY""), INT((ROW()-2)/amortYears)+1), )
"),"")</f>
        <v/>
      </c>
      <c r="D805" s="15">
        <f>MOD(ROW()-2, amortYears)+1</f>
        <v>6</v>
      </c>
      <c r="E805" s="15" t="str">
        <f t="shared" si="1"/>
        <v/>
      </c>
      <c r="F805" s="16">
        <f t="shared" si="2"/>
        <v>0</v>
      </c>
      <c r="G805" s="16">
        <f>IF(D805&lt;=mortTerm, -PMT(mortRate/12, mortTerm*12, C805)*12, 0)
</f>
        <v>0</v>
      </c>
      <c r="H805" s="16">
        <f>IF(D805&lt;=mortTerm, G805 - I805, 0)
</f>
        <v>0</v>
      </c>
      <c r="I805" s="16">
        <f>IF(D805&lt;=mortTerm, F805 - J805, 0)
</f>
        <v>0</v>
      </c>
      <c r="J805" s="16">
        <f>IF(D805&lt;=mortTerm,
   F805*(1+mortRate/12)^12 - (-PMT(mortRate/12, mortTerm*12, C805))*(((1+mortRate/12)^12 - 1)/(mortRate/12)),
   0
)
</f>
        <v>0</v>
      </c>
      <c r="K805" s="13" t="str">
        <f>IFERROR(__xludf.DUMMYFUNCTION("IF(A805="""","""",
   IF(F805&gt;0,
      INDEX(FILTER('RE Portfolio'!L$2:L2000,'RE Portfolio'!D$2:D2000=""BUY""), INT((ROW()-2)/amortYears)+1) - G805,
      INDEX(FILTER('RE Portfolio'!L$2:L2000,'RE Portfolio'!D$2:D2000=""BUY""), INT((ROW()-2)/amortYears)+1"&amp;")
   )
)
"),"")</f>
        <v/>
      </c>
      <c r="L805" s="15" t="str">
        <f>IFERROR(__xludf.DUMMYFUNCTION("IF(A805="""","""",
  INDEX(FILTER('RE Portfolio'!C$2:C2000,'RE Portfolio'!D$2:D2000=""BUY""), INT((ROW()-2)/amortYears)+1)
  * (1 + VALUE(Assumptions!$B$11))^(D805-1)
)
"),"")</f>
        <v/>
      </c>
    </row>
    <row r="806">
      <c r="A806" s="15" t="str">
        <f>IFERROR(__xludf.DUMMYFUNCTION("IFERROR(INDEX(FILTER('RE Portfolio'!A$2:A2000,'RE Portfolio'!D$2:D2000=""BUY""), INT((ROW()-2)/amortYears)+1), )
"),"")</f>
        <v/>
      </c>
      <c r="B806" s="15" t="str">
        <f>IFERROR(__xludf.DUMMYFUNCTION("IFERROR(INDEX(FILTER('RE Portfolio'!B$2:B2000,'RE Portfolio'!D$2:D2000=""BUY""), INT((ROW()-2)/amortYears)+1), )
"),"")</f>
        <v/>
      </c>
      <c r="C806" s="15" t="str">
        <f>IFERROR(__xludf.DUMMYFUNCTION("IFERROR(INDEX(FILTER('RE Portfolio'!G$2:G2000,'RE Portfolio'!D$2:D2000=""BUY""), INT((ROW()-2)/amortYears)+1), )
"),"")</f>
        <v/>
      </c>
      <c r="D806" s="15">
        <f>MOD(ROW()-2, amortYears)+1</f>
        <v>7</v>
      </c>
      <c r="E806" s="15" t="str">
        <f t="shared" si="1"/>
        <v/>
      </c>
      <c r="F806" s="16">
        <f t="shared" si="2"/>
        <v>0</v>
      </c>
      <c r="G806" s="16">
        <f>IF(D806&lt;=mortTerm, -PMT(mortRate/12, mortTerm*12, C806)*12, 0)
</f>
        <v>0</v>
      </c>
      <c r="H806" s="16">
        <f>IF(D806&lt;=mortTerm, G806 - I806, 0)
</f>
        <v>0</v>
      </c>
      <c r="I806" s="16">
        <f>IF(D806&lt;=mortTerm, F806 - J806, 0)
</f>
        <v>0</v>
      </c>
      <c r="J806" s="16">
        <f>IF(D806&lt;=mortTerm,
   F806*(1+mortRate/12)^12 - (-PMT(mortRate/12, mortTerm*12, C806))*(((1+mortRate/12)^12 - 1)/(mortRate/12)),
   0
)
</f>
        <v>0</v>
      </c>
      <c r="K806" s="13" t="str">
        <f>IFERROR(__xludf.DUMMYFUNCTION("IF(A806="""","""",
   IF(F806&gt;0,
      INDEX(FILTER('RE Portfolio'!L$2:L2000,'RE Portfolio'!D$2:D2000=""BUY""), INT((ROW()-2)/amortYears)+1) - G806,
      INDEX(FILTER('RE Portfolio'!L$2:L2000,'RE Portfolio'!D$2:D2000=""BUY""), INT((ROW()-2)/amortYears)+1"&amp;")
   )
)
"),"")</f>
        <v/>
      </c>
      <c r="L806" s="15" t="str">
        <f>IFERROR(__xludf.DUMMYFUNCTION("IF(A806="""","""",
  INDEX(FILTER('RE Portfolio'!C$2:C2000,'RE Portfolio'!D$2:D2000=""BUY""), INT((ROW()-2)/amortYears)+1)
  * (1 + VALUE(Assumptions!$B$11))^(D806-1)
)
"),"")</f>
        <v/>
      </c>
    </row>
    <row r="807">
      <c r="A807" s="15" t="str">
        <f>IFERROR(__xludf.DUMMYFUNCTION("IFERROR(INDEX(FILTER('RE Portfolio'!A$2:A2000,'RE Portfolio'!D$2:D2000=""BUY""), INT((ROW()-2)/amortYears)+1), )
"),"")</f>
        <v/>
      </c>
      <c r="B807" s="15" t="str">
        <f>IFERROR(__xludf.DUMMYFUNCTION("IFERROR(INDEX(FILTER('RE Portfolio'!B$2:B2000,'RE Portfolio'!D$2:D2000=""BUY""), INT((ROW()-2)/amortYears)+1), )
"),"")</f>
        <v/>
      </c>
      <c r="C807" s="15" t="str">
        <f>IFERROR(__xludf.DUMMYFUNCTION("IFERROR(INDEX(FILTER('RE Portfolio'!G$2:G2000,'RE Portfolio'!D$2:D2000=""BUY""), INT((ROW()-2)/amortYears)+1), )
"),"")</f>
        <v/>
      </c>
      <c r="D807" s="15">
        <f>MOD(ROW()-2, amortYears)+1</f>
        <v>8</v>
      </c>
      <c r="E807" s="15" t="str">
        <f t="shared" si="1"/>
        <v/>
      </c>
      <c r="F807" s="16">
        <f t="shared" si="2"/>
        <v>0</v>
      </c>
      <c r="G807" s="16">
        <f>IF(D807&lt;=mortTerm, -PMT(mortRate/12, mortTerm*12, C807)*12, 0)
</f>
        <v>0</v>
      </c>
      <c r="H807" s="16">
        <f>IF(D807&lt;=mortTerm, G807 - I807, 0)
</f>
        <v>0</v>
      </c>
      <c r="I807" s="16">
        <f>IF(D807&lt;=mortTerm, F807 - J807, 0)
</f>
        <v>0</v>
      </c>
      <c r="J807" s="16">
        <f>IF(D807&lt;=mortTerm,
   F807*(1+mortRate/12)^12 - (-PMT(mortRate/12, mortTerm*12, C807))*(((1+mortRate/12)^12 - 1)/(mortRate/12)),
   0
)
</f>
        <v>0</v>
      </c>
      <c r="K807" s="13" t="str">
        <f>IFERROR(__xludf.DUMMYFUNCTION("IF(A807="""","""",
   IF(F807&gt;0,
      INDEX(FILTER('RE Portfolio'!L$2:L2000,'RE Portfolio'!D$2:D2000=""BUY""), INT((ROW()-2)/amortYears)+1) - G807,
      INDEX(FILTER('RE Portfolio'!L$2:L2000,'RE Portfolio'!D$2:D2000=""BUY""), INT((ROW()-2)/amortYears)+1"&amp;")
   )
)
"),"")</f>
        <v/>
      </c>
      <c r="L807" s="15" t="str">
        <f>IFERROR(__xludf.DUMMYFUNCTION("IF(A807="""","""",
  INDEX(FILTER('RE Portfolio'!C$2:C2000,'RE Portfolio'!D$2:D2000=""BUY""), INT((ROW()-2)/amortYears)+1)
  * (1 + VALUE(Assumptions!$B$11))^(D807-1)
)
"),"")</f>
        <v/>
      </c>
    </row>
    <row r="808">
      <c r="A808" s="15" t="str">
        <f>IFERROR(__xludf.DUMMYFUNCTION("IFERROR(INDEX(FILTER('RE Portfolio'!A$2:A2000,'RE Portfolio'!D$2:D2000=""BUY""), INT((ROW()-2)/amortYears)+1), )
"),"")</f>
        <v/>
      </c>
      <c r="B808" s="15" t="str">
        <f>IFERROR(__xludf.DUMMYFUNCTION("IFERROR(INDEX(FILTER('RE Portfolio'!B$2:B2000,'RE Portfolio'!D$2:D2000=""BUY""), INT((ROW()-2)/amortYears)+1), )
"),"")</f>
        <v/>
      </c>
      <c r="C808" s="15" t="str">
        <f>IFERROR(__xludf.DUMMYFUNCTION("IFERROR(INDEX(FILTER('RE Portfolio'!G$2:G2000,'RE Portfolio'!D$2:D2000=""BUY""), INT((ROW()-2)/amortYears)+1), )
"),"")</f>
        <v/>
      </c>
      <c r="D808" s="15">
        <f>MOD(ROW()-2, amortYears)+1</f>
        <v>9</v>
      </c>
      <c r="E808" s="15" t="str">
        <f t="shared" si="1"/>
        <v/>
      </c>
      <c r="F808" s="16">
        <f t="shared" si="2"/>
        <v>0</v>
      </c>
      <c r="G808" s="16">
        <f>IF(D808&lt;=mortTerm, -PMT(mortRate/12, mortTerm*12, C808)*12, 0)
</f>
        <v>0</v>
      </c>
      <c r="H808" s="16">
        <f>IF(D808&lt;=mortTerm, G808 - I808, 0)
</f>
        <v>0</v>
      </c>
      <c r="I808" s="16">
        <f>IF(D808&lt;=mortTerm, F808 - J808, 0)
</f>
        <v>0</v>
      </c>
      <c r="J808" s="16">
        <f>IF(D808&lt;=mortTerm,
   F808*(1+mortRate/12)^12 - (-PMT(mortRate/12, mortTerm*12, C808))*(((1+mortRate/12)^12 - 1)/(mortRate/12)),
   0
)
</f>
        <v>0</v>
      </c>
      <c r="K808" s="13" t="str">
        <f>IFERROR(__xludf.DUMMYFUNCTION("IF(A808="""","""",
   IF(F808&gt;0,
      INDEX(FILTER('RE Portfolio'!L$2:L2000,'RE Portfolio'!D$2:D2000=""BUY""), INT((ROW()-2)/amortYears)+1) - G808,
      INDEX(FILTER('RE Portfolio'!L$2:L2000,'RE Portfolio'!D$2:D2000=""BUY""), INT((ROW()-2)/amortYears)+1"&amp;")
   )
)
"),"")</f>
        <v/>
      </c>
      <c r="L808" s="15" t="str">
        <f>IFERROR(__xludf.DUMMYFUNCTION("IF(A808="""","""",
  INDEX(FILTER('RE Portfolio'!C$2:C2000,'RE Portfolio'!D$2:D2000=""BUY""), INT((ROW()-2)/amortYears)+1)
  * (1 + VALUE(Assumptions!$B$11))^(D808-1)
)
"),"")</f>
        <v/>
      </c>
    </row>
    <row r="809">
      <c r="A809" s="15" t="str">
        <f>IFERROR(__xludf.DUMMYFUNCTION("IFERROR(INDEX(FILTER('RE Portfolio'!A$2:A2000,'RE Portfolio'!D$2:D2000=""BUY""), INT((ROW()-2)/amortYears)+1), )
"),"")</f>
        <v/>
      </c>
      <c r="B809" s="15" t="str">
        <f>IFERROR(__xludf.DUMMYFUNCTION("IFERROR(INDEX(FILTER('RE Portfolio'!B$2:B2000,'RE Portfolio'!D$2:D2000=""BUY""), INT((ROW()-2)/amortYears)+1), )
"),"")</f>
        <v/>
      </c>
      <c r="C809" s="15" t="str">
        <f>IFERROR(__xludf.DUMMYFUNCTION("IFERROR(INDEX(FILTER('RE Portfolio'!G$2:G2000,'RE Portfolio'!D$2:D2000=""BUY""), INT((ROW()-2)/amortYears)+1), )
"),"")</f>
        <v/>
      </c>
      <c r="D809" s="15">
        <f>MOD(ROW()-2, amortYears)+1</f>
        <v>10</v>
      </c>
      <c r="E809" s="15" t="str">
        <f t="shared" si="1"/>
        <v/>
      </c>
      <c r="F809" s="16">
        <f t="shared" si="2"/>
        <v>0</v>
      </c>
      <c r="G809" s="16">
        <f>IF(D809&lt;=mortTerm, -PMT(mortRate/12, mortTerm*12, C809)*12, 0)
</f>
        <v>0</v>
      </c>
      <c r="H809" s="16">
        <f>IF(D809&lt;=mortTerm, G809 - I809, 0)
</f>
        <v>0</v>
      </c>
      <c r="I809" s="16">
        <f>IF(D809&lt;=mortTerm, F809 - J809, 0)
</f>
        <v>0</v>
      </c>
      <c r="J809" s="16">
        <f>IF(D809&lt;=mortTerm,
   F809*(1+mortRate/12)^12 - (-PMT(mortRate/12, mortTerm*12, C809))*(((1+mortRate/12)^12 - 1)/(mortRate/12)),
   0
)
</f>
        <v>0</v>
      </c>
      <c r="K809" s="13" t="str">
        <f>IFERROR(__xludf.DUMMYFUNCTION("IF(A809="""","""",
   IF(F809&gt;0,
      INDEX(FILTER('RE Portfolio'!L$2:L2000,'RE Portfolio'!D$2:D2000=""BUY""), INT((ROW()-2)/amortYears)+1) - G809,
      INDEX(FILTER('RE Portfolio'!L$2:L2000,'RE Portfolio'!D$2:D2000=""BUY""), INT((ROW()-2)/amortYears)+1"&amp;")
   )
)
"),"")</f>
        <v/>
      </c>
      <c r="L809" s="15" t="str">
        <f>IFERROR(__xludf.DUMMYFUNCTION("IF(A809="""","""",
  INDEX(FILTER('RE Portfolio'!C$2:C2000,'RE Portfolio'!D$2:D2000=""BUY""), INT((ROW()-2)/amortYears)+1)
  * (1 + VALUE(Assumptions!$B$11))^(D809-1)
)
"),"")</f>
        <v/>
      </c>
    </row>
    <row r="810">
      <c r="A810" s="15" t="str">
        <f>IFERROR(__xludf.DUMMYFUNCTION("IFERROR(INDEX(FILTER('RE Portfolio'!A$2:A2000,'RE Portfolio'!D$2:D2000=""BUY""), INT((ROW()-2)/amortYears)+1), )
"),"")</f>
        <v/>
      </c>
      <c r="B810" s="15" t="str">
        <f>IFERROR(__xludf.DUMMYFUNCTION("IFERROR(INDEX(FILTER('RE Portfolio'!B$2:B2000,'RE Portfolio'!D$2:D2000=""BUY""), INT((ROW()-2)/amortYears)+1), )
"),"")</f>
        <v/>
      </c>
      <c r="C810" s="15" t="str">
        <f>IFERROR(__xludf.DUMMYFUNCTION("IFERROR(INDEX(FILTER('RE Portfolio'!G$2:G2000,'RE Portfolio'!D$2:D2000=""BUY""), INT((ROW()-2)/amortYears)+1), )
"),"")</f>
        <v/>
      </c>
      <c r="D810" s="15">
        <f>MOD(ROW()-2, amortYears)+1</f>
        <v>11</v>
      </c>
      <c r="E810" s="15" t="str">
        <f t="shared" si="1"/>
        <v/>
      </c>
      <c r="F810" s="16">
        <f t="shared" si="2"/>
        <v>0</v>
      </c>
      <c r="G810" s="16">
        <f>IF(D810&lt;=mortTerm, -PMT(mortRate/12, mortTerm*12, C810)*12, 0)
</f>
        <v>0</v>
      </c>
      <c r="H810" s="16">
        <f>IF(D810&lt;=mortTerm, G810 - I810, 0)
</f>
        <v>0</v>
      </c>
      <c r="I810" s="16">
        <f>IF(D810&lt;=mortTerm, F810 - J810, 0)
</f>
        <v>0</v>
      </c>
      <c r="J810" s="16">
        <f>IF(D810&lt;=mortTerm,
   F810*(1+mortRate/12)^12 - (-PMT(mortRate/12, mortTerm*12, C810))*(((1+mortRate/12)^12 - 1)/(mortRate/12)),
   0
)
</f>
        <v>0</v>
      </c>
      <c r="K810" s="13" t="str">
        <f>IFERROR(__xludf.DUMMYFUNCTION("IF(A810="""","""",
   IF(F810&gt;0,
      INDEX(FILTER('RE Portfolio'!L$2:L2000,'RE Portfolio'!D$2:D2000=""BUY""), INT((ROW()-2)/amortYears)+1) - G810,
      INDEX(FILTER('RE Portfolio'!L$2:L2000,'RE Portfolio'!D$2:D2000=""BUY""), INT((ROW()-2)/amortYears)+1"&amp;")
   )
)
"),"")</f>
        <v/>
      </c>
      <c r="L810" s="15" t="str">
        <f>IFERROR(__xludf.DUMMYFUNCTION("IF(A810="""","""",
  INDEX(FILTER('RE Portfolio'!C$2:C2000,'RE Portfolio'!D$2:D2000=""BUY""), INT((ROW()-2)/amortYears)+1)
  * (1 + VALUE(Assumptions!$B$11))^(D810-1)
)
"),"")</f>
        <v/>
      </c>
    </row>
    <row r="811">
      <c r="A811" s="15" t="str">
        <f>IFERROR(__xludf.DUMMYFUNCTION("IFERROR(INDEX(FILTER('RE Portfolio'!A$2:A2000,'RE Portfolio'!D$2:D2000=""BUY""), INT((ROW()-2)/amortYears)+1), )
"),"")</f>
        <v/>
      </c>
      <c r="B811" s="15" t="str">
        <f>IFERROR(__xludf.DUMMYFUNCTION("IFERROR(INDEX(FILTER('RE Portfolio'!B$2:B2000,'RE Portfolio'!D$2:D2000=""BUY""), INT((ROW()-2)/amortYears)+1), )
"),"")</f>
        <v/>
      </c>
      <c r="C811" s="15" t="str">
        <f>IFERROR(__xludf.DUMMYFUNCTION("IFERROR(INDEX(FILTER('RE Portfolio'!G$2:G2000,'RE Portfolio'!D$2:D2000=""BUY""), INT((ROW()-2)/amortYears)+1), )
"),"")</f>
        <v/>
      </c>
      <c r="D811" s="15">
        <f>MOD(ROW()-2, amortYears)+1</f>
        <v>12</v>
      </c>
      <c r="E811" s="15" t="str">
        <f t="shared" si="1"/>
        <v/>
      </c>
      <c r="F811" s="16">
        <f t="shared" si="2"/>
        <v>0</v>
      </c>
      <c r="G811" s="16">
        <f>IF(D811&lt;=mortTerm, -PMT(mortRate/12, mortTerm*12, C811)*12, 0)
</f>
        <v>0</v>
      </c>
      <c r="H811" s="16">
        <f>IF(D811&lt;=mortTerm, G811 - I811, 0)
</f>
        <v>0</v>
      </c>
      <c r="I811" s="16">
        <f>IF(D811&lt;=mortTerm, F811 - J811, 0)
</f>
        <v>0</v>
      </c>
      <c r="J811" s="16">
        <f>IF(D811&lt;=mortTerm,
   F811*(1+mortRate/12)^12 - (-PMT(mortRate/12, mortTerm*12, C811))*(((1+mortRate/12)^12 - 1)/(mortRate/12)),
   0
)
</f>
        <v>0</v>
      </c>
      <c r="K811" s="13" t="str">
        <f>IFERROR(__xludf.DUMMYFUNCTION("IF(A811="""","""",
   IF(F811&gt;0,
      INDEX(FILTER('RE Portfolio'!L$2:L2000,'RE Portfolio'!D$2:D2000=""BUY""), INT((ROW()-2)/amortYears)+1) - G811,
      INDEX(FILTER('RE Portfolio'!L$2:L2000,'RE Portfolio'!D$2:D2000=""BUY""), INT((ROW()-2)/amortYears)+1"&amp;")
   )
)
"),"")</f>
        <v/>
      </c>
      <c r="L811" s="15" t="str">
        <f>IFERROR(__xludf.DUMMYFUNCTION("IF(A811="""","""",
  INDEX(FILTER('RE Portfolio'!C$2:C2000,'RE Portfolio'!D$2:D2000=""BUY""), INT((ROW()-2)/amortYears)+1)
  * (1 + VALUE(Assumptions!$B$11))^(D811-1)
)
"),"")</f>
        <v/>
      </c>
    </row>
    <row r="812">
      <c r="A812" s="15" t="str">
        <f>IFERROR(__xludf.DUMMYFUNCTION("IFERROR(INDEX(FILTER('RE Portfolio'!A$2:A2000,'RE Portfolio'!D$2:D2000=""BUY""), INT((ROW()-2)/amortYears)+1), )
"),"")</f>
        <v/>
      </c>
      <c r="B812" s="15" t="str">
        <f>IFERROR(__xludf.DUMMYFUNCTION("IFERROR(INDEX(FILTER('RE Portfolio'!B$2:B2000,'RE Portfolio'!D$2:D2000=""BUY""), INT((ROW()-2)/amortYears)+1), )
"),"")</f>
        <v/>
      </c>
      <c r="C812" s="15" t="str">
        <f>IFERROR(__xludf.DUMMYFUNCTION("IFERROR(INDEX(FILTER('RE Portfolio'!G$2:G2000,'RE Portfolio'!D$2:D2000=""BUY""), INT((ROW()-2)/amortYears)+1), )
"),"")</f>
        <v/>
      </c>
      <c r="D812" s="15">
        <f>MOD(ROW()-2, amortYears)+1</f>
        <v>13</v>
      </c>
      <c r="E812" s="15" t="str">
        <f t="shared" si="1"/>
        <v/>
      </c>
      <c r="F812" s="16">
        <f t="shared" si="2"/>
        <v>0</v>
      </c>
      <c r="G812" s="16">
        <f>IF(D812&lt;=mortTerm, -PMT(mortRate/12, mortTerm*12, C812)*12, 0)
</f>
        <v>0</v>
      </c>
      <c r="H812" s="16">
        <f>IF(D812&lt;=mortTerm, G812 - I812, 0)
</f>
        <v>0</v>
      </c>
      <c r="I812" s="16">
        <f>IF(D812&lt;=mortTerm, F812 - J812, 0)
</f>
        <v>0</v>
      </c>
      <c r="J812" s="16">
        <f>IF(D812&lt;=mortTerm,
   F812*(1+mortRate/12)^12 - (-PMT(mortRate/12, mortTerm*12, C812))*(((1+mortRate/12)^12 - 1)/(mortRate/12)),
   0
)
</f>
        <v>0</v>
      </c>
      <c r="K812" s="13" t="str">
        <f>IFERROR(__xludf.DUMMYFUNCTION("IF(A812="""","""",
   IF(F812&gt;0,
      INDEX(FILTER('RE Portfolio'!L$2:L2000,'RE Portfolio'!D$2:D2000=""BUY""), INT((ROW()-2)/amortYears)+1) - G812,
      INDEX(FILTER('RE Portfolio'!L$2:L2000,'RE Portfolio'!D$2:D2000=""BUY""), INT((ROW()-2)/amortYears)+1"&amp;")
   )
)
"),"")</f>
        <v/>
      </c>
      <c r="L812" s="15" t="str">
        <f>IFERROR(__xludf.DUMMYFUNCTION("IF(A812="""","""",
  INDEX(FILTER('RE Portfolio'!C$2:C2000,'RE Portfolio'!D$2:D2000=""BUY""), INT((ROW()-2)/amortYears)+1)
  * (1 + VALUE(Assumptions!$B$11))^(D812-1)
)
"),"")</f>
        <v/>
      </c>
    </row>
    <row r="813">
      <c r="A813" s="15" t="str">
        <f>IFERROR(__xludf.DUMMYFUNCTION("IFERROR(INDEX(FILTER('RE Portfolio'!A$2:A2000,'RE Portfolio'!D$2:D2000=""BUY""), INT((ROW()-2)/amortYears)+1), )
"),"")</f>
        <v/>
      </c>
      <c r="B813" s="15" t="str">
        <f>IFERROR(__xludf.DUMMYFUNCTION("IFERROR(INDEX(FILTER('RE Portfolio'!B$2:B2000,'RE Portfolio'!D$2:D2000=""BUY""), INT((ROW()-2)/amortYears)+1), )
"),"")</f>
        <v/>
      </c>
      <c r="C813" s="15" t="str">
        <f>IFERROR(__xludf.DUMMYFUNCTION("IFERROR(INDEX(FILTER('RE Portfolio'!G$2:G2000,'RE Portfolio'!D$2:D2000=""BUY""), INT((ROW()-2)/amortYears)+1), )
"),"")</f>
        <v/>
      </c>
      <c r="D813" s="15">
        <f>MOD(ROW()-2, amortYears)+1</f>
        <v>14</v>
      </c>
      <c r="E813" s="15" t="str">
        <f t="shared" si="1"/>
        <v/>
      </c>
      <c r="F813" s="16">
        <f t="shared" si="2"/>
        <v>0</v>
      </c>
      <c r="G813" s="16">
        <f>IF(D813&lt;=mortTerm, -PMT(mortRate/12, mortTerm*12, C813)*12, 0)
</f>
        <v>0</v>
      </c>
      <c r="H813" s="16">
        <f>IF(D813&lt;=mortTerm, G813 - I813, 0)
</f>
        <v>0</v>
      </c>
      <c r="I813" s="16">
        <f>IF(D813&lt;=mortTerm, F813 - J813, 0)
</f>
        <v>0</v>
      </c>
      <c r="J813" s="16">
        <f>IF(D813&lt;=mortTerm,
   F813*(1+mortRate/12)^12 - (-PMT(mortRate/12, mortTerm*12, C813))*(((1+mortRate/12)^12 - 1)/(mortRate/12)),
   0
)
</f>
        <v>0</v>
      </c>
      <c r="K813" s="13" t="str">
        <f>IFERROR(__xludf.DUMMYFUNCTION("IF(A813="""","""",
   IF(F813&gt;0,
      INDEX(FILTER('RE Portfolio'!L$2:L2000,'RE Portfolio'!D$2:D2000=""BUY""), INT((ROW()-2)/amortYears)+1) - G813,
      INDEX(FILTER('RE Portfolio'!L$2:L2000,'RE Portfolio'!D$2:D2000=""BUY""), INT((ROW()-2)/amortYears)+1"&amp;")
   )
)
"),"")</f>
        <v/>
      </c>
      <c r="L813" s="15" t="str">
        <f>IFERROR(__xludf.DUMMYFUNCTION("IF(A813="""","""",
  INDEX(FILTER('RE Portfolio'!C$2:C2000,'RE Portfolio'!D$2:D2000=""BUY""), INT((ROW()-2)/amortYears)+1)
  * (1 + VALUE(Assumptions!$B$11))^(D813-1)
)
"),"")</f>
        <v/>
      </c>
    </row>
    <row r="814">
      <c r="A814" s="15" t="str">
        <f>IFERROR(__xludf.DUMMYFUNCTION("IFERROR(INDEX(FILTER('RE Portfolio'!A$2:A2000,'RE Portfolio'!D$2:D2000=""BUY""), INT((ROW()-2)/amortYears)+1), )
"),"")</f>
        <v/>
      </c>
      <c r="B814" s="15" t="str">
        <f>IFERROR(__xludf.DUMMYFUNCTION("IFERROR(INDEX(FILTER('RE Portfolio'!B$2:B2000,'RE Portfolio'!D$2:D2000=""BUY""), INT((ROW()-2)/amortYears)+1), )
"),"")</f>
        <v/>
      </c>
      <c r="C814" s="15" t="str">
        <f>IFERROR(__xludf.DUMMYFUNCTION("IFERROR(INDEX(FILTER('RE Portfolio'!G$2:G2000,'RE Portfolio'!D$2:D2000=""BUY""), INT((ROW()-2)/amortYears)+1), )
"),"")</f>
        <v/>
      </c>
      <c r="D814" s="15">
        <f>MOD(ROW()-2, amortYears)+1</f>
        <v>15</v>
      </c>
      <c r="E814" s="15" t="str">
        <f t="shared" si="1"/>
        <v/>
      </c>
      <c r="F814" s="16">
        <f t="shared" si="2"/>
        <v>0</v>
      </c>
      <c r="G814" s="16">
        <f>IF(D814&lt;=mortTerm, -PMT(mortRate/12, mortTerm*12, C814)*12, 0)
</f>
        <v>0</v>
      </c>
      <c r="H814" s="16">
        <f>IF(D814&lt;=mortTerm, G814 - I814, 0)
</f>
        <v>0</v>
      </c>
      <c r="I814" s="16">
        <f>IF(D814&lt;=mortTerm, F814 - J814, 0)
</f>
        <v>0</v>
      </c>
      <c r="J814" s="16">
        <f>IF(D814&lt;=mortTerm,
   F814*(1+mortRate/12)^12 - (-PMT(mortRate/12, mortTerm*12, C814))*(((1+mortRate/12)^12 - 1)/(mortRate/12)),
   0
)
</f>
        <v>0</v>
      </c>
      <c r="K814" s="13" t="str">
        <f>IFERROR(__xludf.DUMMYFUNCTION("IF(A814="""","""",
   IF(F814&gt;0,
      INDEX(FILTER('RE Portfolio'!L$2:L2000,'RE Portfolio'!D$2:D2000=""BUY""), INT((ROW()-2)/amortYears)+1) - G814,
      INDEX(FILTER('RE Portfolio'!L$2:L2000,'RE Portfolio'!D$2:D2000=""BUY""), INT((ROW()-2)/amortYears)+1"&amp;")
   )
)
"),"")</f>
        <v/>
      </c>
      <c r="L814" s="15" t="str">
        <f>IFERROR(__xludf.DUMMYFUNCTION("IF(A814="""","""",
  INDEX(FILTER('RE Portfolio'!C$2:C2000,'RE Portfolio'!D$2:D2000=""BUY""), INT((ROW()-2)/amortYears)+1)
  * (1 + VALUE(Assumptions!$B$11))^(D814-1)
)
"),"")</f>
        <v/>
      </c>
    </row>
    <row r="815">
      <c r="A815" s="15" t="str">
        <f>IFERROR(__xludf.DUMMYFUNCTION("IFERROR(INDEX(FILTER('RE Portfolio'!A$2:A2000,'RE Portfolio'!D$2:D2000=""BUY""), INT((ROW()-2)/amortYears)+1), )
"),"")</f>
        <v/>
      </c>
      <c r="B815" s="15" t="str">
        <f>IFERROR(__xludf.DUMMYFUNCTION("IFERROR(INDEX(FILTER('RE Portfolio'!B$2:B2000,'RE Portfolio'!D$2:D2000=""BUY""), INT((ROW()-2)/amortYears)+1), )
"),"")</f>
        <v/>
      </c>
      <c r="C815" s="15" t="str">
        <f>IFERROR(__xludf.DUMMYFUNCTION("IFERROR(INDEX(FILTER('RE Portfolio'!G$2:G2000,'RE Portfolio'!D$2:D2000=""BUY""), INT((ROW()-2)/amortYears)+1), )
"),"")</f>
        <v/>
      </c>
      <c r="D815" s="15">
        <f>MOD(ROW()-2, amortYears)+1</f>
        <v>16</v>
      </c>
      <c r="E815" s="15" t="str">
        <f t="shared" si="1"/>
        <v/>
      </c>
      <c r="F815" s="16">
        <f t="shared" si="2"/>
        <v>0</v>
      </c>
      <c r="G815" s="16">
        <f>IF(D815&lt;=mortTerm, -PMT(mortRate/12, mortTerm*12, C815)*12, 0)
</f>
        <v>0</v>
      </c>
      <c r="H815" s="16">
        <f>IF(D815&lt;=mortTerm, G815 - I815, 0)
</f>
        <v>0</v>
      </c>
      <c r="I815" s="16">
        <f>IF(D815&lt;=mortTerm, F815 - J815, 0)
</f>
        <v>0</v>
      </c>
      <c r="J815" s="16">
        <f>IF(D815&lt;=mortTerm,
   F815*(1+mortRate/12)^12 - (-PMT(mortRate/12, mortTerm*12, C815))*(((1+mortRate/12)^12 - 1)/(mortRate/12)),
   0
)
</f>
        <v>0</v>
      </c>
      <c r="K815" s="13" t="str">
        <f>IFERROR(__xludf.DUMMYFUNCTION("IF(A815="""","""",
   IF(F815&gt;0,
      INDEX(FILTER('RE Portfolio'!L$2:L2000,'RE Portfolio'!D$2:D2000=""BUY""), INT((ROW()-2)/amortYears)+1) - G815,
      INDEX(FILTER('RE Portfolio'!L$2:L2000,'RE Portfolio'!D$2:D2000=""BUY""), INT((ROW()-2)/amortYears)+1"&amp;")
   )
)
"),"")</f>
        <v/>
      </c>
      <c r="L815" s="15" t="str">
        <f>IFERROR(__xludf.DUMMYFUNCTION("IF(A815="""","""",
  INDEX(FILTER('RE Portfolio'!C$2:C2000,'RE Portfolio'!D$2:D2000=""BUY""), INT((ROW()-2)/amortYears)+1)
  * (1 + VALUE(Assumptions!$B$11))^(D815-1)
)
"),"")</f>
        <v/>
      </c>
    </row>
    <row r="816">
      <c r="A816" s="15" t="str">
        <f>IFERROR(__xludf.DUMMYFUNCTION("IFERROR(INDEX(FILTER('RE Portfolio'!A$2:A2000,'RE Portfolio'!D$2:D2000=""BUY""), INT((ROW()-2)/amortYears)+1), )
"),"")</f>
        <v/>
      </c>
      <c r="B816" s="15" t="str">
        <f>IFERROR(__xludf.DUMMYFUNCTION("IFERROR(INDEX(FILTER('RE Portfolio'!B$2:B2000,'RE Portfolio'!D$2:D2000=""BUY""), INT((ROW()-2)/amortYears)+1), )
"),"")</f>
        <v/>
      </c>
      <c r="C816" s="15" t="str">
        <f>IFERROR(__xludf.DUMMYFUNCTION("IFERROR(INDEX(FILTER('RE Portfolio'!G$2:G2000,'RE Portfolio'!D$2:D2000=""BUY""), INT((ROW()-2)/amortYears)+1), )
"),"")</f>
        <v/>
      </c>
      <c r="D816" s="15">
        <f>MOD(ROW()-2, amortYears)+1</f>
        <v>17</v>
      </c>
      <c r="E816" s="15" t="str">
        <f t="shared" si="1"/>
        <v/>
      </c>
      <c r="F816" s="16">
        <f t="shared" si="2"/>
        <v>0</v>
      </c>
      <c r="G816" s="16">
        <f>IF(D816&lt;=mortTerm, -PMT(mortRate/12, mortTerm*12, C816)*12, 0)
</f>
        <v>0</v>
      </c>
      <c r="H816" s="16">
        <f>IF(D816&lt;=mortTerm, G816 - I816, 0)
</f>
        <v>0</v>
      </c>
      <c r="I816" s="16">
        <f>IF(D816&lt;=mortTerm, F816 - J816, 0)
</f>
        <v>0</v>
      </c>
      <c r="J816" s="16">
        <f>IF(D816&lt;=mortTerm,
   F816*(1+mortRate/12)^12 - (-PMT(mortRate/12, mortTerm*12, C816))*(((1+mortRate/12)^12 - 1)/(mortRate/12)),
   0
)
</f>
        <v>0</v>
      </c>
      <c r="K816" s="13" t="str">
        <f>IFERROR(__xludf.DUMMYFUNCTION("IF(A816="""","""",
   IF(F816&gt;0,
      INDEX(FILTER('RE Portfolio'!L$2:L2000,'RE Portfolio'!D$2:D2000=""BUY""), INT((ROW()-2)/amortYears)+1) - G816,
      INDEX(FILTER('RE Portfolio'!L$2:L2000,'RE Portfolio'!D$2:D2000=""BUY""), INT((ROW()-2)/amortYears)+1"&amp;")
   )
)
"),"")</f>
        <v/>
      </c>
      <c r="L816" s="15" t="str">
        <f>IFERROR(__xludf.DUMMYFUNCTION("IF(A816="""","""",
  INDEX(FILTER('RE Portfolio'!C$2:C2000,'RE Portfolio'!D$2:D2000=""BUY""), INT((ROW()-2)/amortYears)+1)
  * (1 + VALUE(Assumptions!$B$11))^(D816-1)
)
"),"")</f>
        <v/>
      </c>
    </row>
    <row r="817">
      <c r="A817" s="15" t="str">
        <f>IFERROR(__xludf.DUMMYFUNCTION("IFERROR(INDEX(FILTER('RE Portfolio'!A$2:A2000,'RE Portfolio'!D$2:D2000=""BUY""), INT((ROW()-2)/amortYears)+1), )
"),"")</f>
        <v/>
      </c>
      <c r="B817" s="15" t="str">
        <f>IFERROR(__xludf.DUMMYFUNCTION("IFERROR(INDEX(FILTER('RE Portfolio'!B$2:B2000,'RE Portfolio'!D$2:D2000=""BUY""), INT((ROW()-2)/amortYears)+1), )
"),"")</f>
        <v/>
      </c>
      <c r="C817" s="15" t="str">
        <f>IFERROR(__xludf.DUMMYFUNCTION("IFERROR(INDEX(FILTER('RE Portfolio'!G$2:G2000,'RE Portfolio'!D$2:D2000=""BUY""), INT((ROW()-2)/amortYears)+1), )
"),"")</f>
        <v/>
      </c>
      <c r="D817" s="15">
        <f>MOD(ROW()-2, amortYears)+1</f>
        <v>18</v>
      </c>
      <c r="E817" s="15" t="str">
        <f t="shared" si="1"/>
        <v/>
      </c>
      <c r="F817" s="16">
        <f t="shared" si="2"/>
        <v>0</v>
      </c>
      <c r="G817" s="16">
        <f>IF(D817&lt;=mortTerm, -PMT(mortRate/12, mortTerm*12, C817)*12, 0)
</f>
        <v>0</v>
      </c>
      <c r="H817" s="16">
        <f>IF(D817&lt;=mortTerm, G817 - I817, 0)
</f>
        <v>0</v>
      </c>
      <c r="I817" s="16">
        <f>IF(D817&lt;=mortTerm, F817 - J817, 0)
</f>
        <v>0</v>
      </c>
      <c r="J817" s="16">
        <f>IF(D817&lt;=mortTerm,
   F817*(1+mortRate/12)^12 - (-PMT(mortRate/12, mortTerm*12, C817))*(((1+mortRate/12)^12 - 1)/(mortRate/12)),
   0
)
</f>
        <v>0</v>
      </c>
      <c r="K817" s="13" t="str">
        <f>IFERROR(__xludf.DUMMYFUNCTION("IF(A817="""","""",
   IF(F817&gt;0,
      INDEX(FILTER('RE Portfolio'!L$2:L2000,'RE Portfolio'!D$2:D2000=""BUY""), INT((ROW()-2)/amortYears)+1) - G817,
      INDEX(FILTER('RE Portfolio'!L$2:L2000,'RE Portfolio'!D$2:D2000=""BUY""), INT((ROW()-2)/amortYears)+1"&amp;")
   )
)
"),"")</f>
        <v/>
      </c>
      <c r="L817" s="15" t="str">
        <f>IFERROR(__xludf.DUMMYFUNCTION("IF(A817="""","""",
  INDEX(FILTER('RE Portfolio'!C$2:C2000,'RE Portfolio'!D$2:D2000=""BUY""), INT((ROW()-2)/amortYears)+1)
  * (1 + VALUE(Assumptions!$B$11))^(D817-1)
)
"),"")</f>
        <v/>
      </c>
    </row>
    <row r="818">
      <c r="A818" s="15" t="str">
        <f>IFERROR(__xludf.DUMMYFUNCTION("IFERROR(INDEX(FILTER('RE Portfolio'!A$2:A2000,'RE Portfolio'!D$2:D2000=""BUY""), INT((ROW()-2)/amortYears)+1), )
"),"")</f>
        <v/>
      </c>
      <c r="B818" s="15" t="str">
        <f>IFERROR(__xludf.DUMMYFUNCTION("IFERROR(INDEX(FILTER('RE Portfolio'!B$2:B2000,'RE Portfolio'!D$2:D2000=""BUY""), INT((ROW()-2)/amortYears)+1), )
"),"")</f>
        <v/>
      </c>
      <c r="C818" s="15" t="str">
        <f>IFERROR(__xludf.DUMMYFUNCTION("IFERROR(INDEX(FILTER('RE Portfolio'!G$2:G2000,'RE Portfolio'!D$2:D2000=""BUY""), INT((ROW()-2)/amortYears)+1), )
"),"")</f>
        <v/>
      </c>
      <c r="D818" s="15">
        <f>MOD(ROW()-2, amortYears)+1</f>
        <v>19</v>
      </c>
      <c r="E818" s="15" t="str">
        <f t="shared" si="1"/>
        <v/>
      </c>
      <c r="F818" s="16">
        <f t="shared" si="2"/>
        <v>0</v>
      </c>
      <c r="G818" s="16">
        <f>IF(D818&lt;=mortTerm, -PMT(mortRate/12, mortTerm*12, C818)*12, 0)
</f>
        <v>0</v>
      </c>
      <c r="H818" s="16">
        <f>IF(D818&lt;=mortTerm, G818 - I818, 0)
</f>
        <v>0</v>
      </c>
      <c r="I818" s="16">
        <f>IF(D818&lt;=mortTerm, F818 - J818, 0)
</f>
        <v>0</v>
      </c>
      <c r="J818" s="16">
        <f>IF(D818&lt;=mortTerm,
   F818*(1+mortRate/12)^12 - (-PMT(mortRate/12, mortTerm*12, C818))*(((1+mortRate/12)^12 - 1)/(mortRate/12)),
   0
)
</f>
        <v>0</v>
      </c>
      <c r="K818" s="13" t="str">
        <f>IFERROR(__xludf.DUMMYFUNCTION("IF(A818="""","""",
   IF(F818&gt;0,
      INDEX(FILTER('RE Portfolio'!L$2:L2000,'RE Portfolio'!D$2:D2000=""BUY""), INT((ROW()-2)/amortYears)+1) - G818,
      INDEX(FILTER('RE Portfolio'!L$2:L2000,'RE Portfolio'!D$2:D2000=""BUY""), INT((ROW()-2)/amortYears)+1"&amp;")
   )
)
"),"")</f>
        <v/>
      </c>
      <c r="L818" s="15" t="str">
        <f>IFERROR(__xludf.DUMMYFUNCTION("IF(A818="""","""",
  INDEX(FILTER('RE Portfolio'!C$2:C2000,'RE Portfolio'!D$2:D2000=""BUY""), INT((ROW()-2)/amortYears)+1)
  * (1 + VALUE(Assumptions!$B$11))^(D818-1)
)
"),"")</f>
        <v/>
      </c>
    </row>
    <row r="819">
      <c r="A819" s="15" t="str">
        <f>IFERROR(__xludf.DUMMYFUNCTION("IFERROR(INDEX(FILTER('RE Portfolio'!A$2:A2000,'RE Portfolio'!D$2:D2000=""BUY""), INT((ROW()-2)/amortYears)+1), )
"),"")</f>
        <v/>
      </c>
      <c r="B819" s="15" t="str">
        <f>IFERROR(__xludf.DUMMYFUNCTION("IFERROR(INDEX(FILTER('RE Portfolio'!B$2:B2000,'RE Portfolio'!D$2:D2000=""BUY""), INT((ROW()-2)/amortYears)+1), )
"),"")</f>
        <v/>
      </c>
      <c r="C819" s="15" t="str">
        <f>IFERROR(__xludf.DUMMYFUNCTION("IFERROR(INDEX(FILTER('RE Portfolio'!G$2:G2000,'RE Portfolio'!D$2:D2000=""BUY""), INT((ROW()-2)/amortYears)+1), )
"),"")</f>
        <v/>
      </c>
      <c r="D819" s="15">
        <f>MOD(ROW()-2, amortYears)+1</f>
        <v>20</v>
      </c>
      <c r="E819" s="15" t="str">
        <f t="shared" si="1"/>
        <v/>
      </c>
      <c r="F819" s="16">
        <f t="shared" si="2"/>
        <v>0</v>
      </c>
      <c r="G819" s="16">
        <f>IF(D819&lt;=mortTerm, -PMT(mortRate/12, mortTerm*12, C819)*12, 0)
</f>
        <v>0</v>
      </c>
      <c r="H819" s="16">
        <f>IF(D819&lt;=mortTerm, G819 - I819, 0)
</f>
        <v>0</v>
      </c>
      <c r="I819" s="16">
        <f>IF(D819&lt;=mortTerm, F819 - J819, 0)
</f>
        <v>0</v>
      </c>
      <c r="J819" s="16">
        <f>IF(D819&lt;=mortTerm,
   F819*(1+mortRate/12)^12 - (-PMT(mortRate/12, mortTerm*12, C819))*(((1+mortRate/12)^12 - 1)/(mortRate/12)),
   0
)
</f>
        <v>0</v>
      </c>
      <c r="K819" s="13" t="str">
        <f>IFERROR(__xludf.DUMMYFUNCTION("IF(A819="""","""",
   IF(F819&gt;0,
      INDEX(FILTER('RE Portfolio'!L$2:L2000,'RE Portfolio'!D$2:D2000=""BUY""), INT((ROW()-2)/amortYears)+1) - G819,
      INDEX(FILTER('RE Portfolio'!L$2:L2000,'RE Portfolio'!D$2:D2000=""BUY""), INT((ROW()-2)/amortYears)+1"&amp;")
   )
)
"),"")</f>
        <v/>
      </c>
      <c r="L819" s="15" t="str">
        <f>IFERROR(__xludf.DUMMYFUNCTION("IF(A819="""","""",
  INDEX(FILTER('RE Portfolio'!C$2:C2000,'RE Portfolio'!D$2:D2000=""BUY""), INT((ROW()-2)/amortYears)+1)
  * (1 + VALUE(Assumptions!$B$11))^(D819-1)
)
"),"")</f>
        <v/>
      </c>
    </row>
    <row r="820">
      <c r="A820" s="15" t="str">
        <f>IFERROR(__xludf.DUMMYFUNCTION("IFERROR(INDEX(FILTER('RE Portfolio'!A$2:A2000,'RE Portfolio'!D$2:D2000=""BUY""), INT((ROW()-2)/amortYears)+1), )
"),"")</f>
        <v/>
      </c>
      <c r="B820" s="15" t="str">
        <f>IFERROR(__xludf.DUMMYFUNCTION("IFERROR(INDEX(FILTER('RE Portfolio'!B$2:B2000,'RE Portfolio'!D$2:D2000=""BUY""), INT((ROW()-2)/amortYears)+1), )
"),"")</f>
        <v/>
      </c>
      <c r="C820" s="15" t="str">
        <f>IFERROR(__xludf.DUMMYFUNCTION("IFERROR(INDEX(FILTER('RE Portfolio'!G$2:G2000,'RE Portfolio'!D$2:D2000=""BUY""), INT((ROW()-2)/amortYears)+1), )
"),"")</f>
        <v/>
      </c>
      <c r="D820" s="15">
        <f>MOD(ROW()-2, amortYears)+1</f>
        <v>21</v>
      </c>
      <c r="E820" s="15" t="str">
        <f t="shared" si="1"/>
        <v/>
      </c>
      <c r="F820" s="16">
        <f t="shared" si="2"/>
        <v>0</v>
      </c>
      <c r="G820" s="16">
        <f>IF(D820&lt;=mortTerm, -PMT(mortRate/12, mortTerm*12, C820)*12, 0)
</f>
        <v>0</v>
      </c>
      <c r="H820" s="16">
        <f>IF(D820&lt;=mortTerm, G820 - I820, 0)
</f>
        <v>0</v>
      </c>
      <c r="I820" s="16">
        <f>IF(D820&lt;=mortTerm, F820 - J820, 0)
</f>
        <v>0</v>
      </c>
      <c r="J820" s="16">
        <f>IF(D820&lt;=mortTerm,
   F820*(1+mortRate/12)^12 - (-PMT(mortRate/12, mortTerm*12, C820))*(((1+mortRate/12)^12 - 1)/(mortRate/12)),
   0
)
</f>
        <v>0</v>
      </c>
      <c r="K820" s="13" t="str">
        <f>IFERROR(__xludf.DUMMYFUNCTION("IF(A820="""","""",
   IF(F820&gt;0,
      INDEX(FILTER('RE Portfolio'!L$2:L2000,'RE Portfolio'!D$2:D2000=""BUY""), INT((ROW()-2)/amortYears)+1) - G820,
      INDEX(FILTER('RE Portfolio'!L$2:L2000,'RE Portfolio'!D$2:D2000=""BUY""), INT((ROW()-2)/amortYears)+1"&amp;")
   )
)
"),"")</f>
        <v/>
      </c>
      <c r="L820" s="15" t="str">
        <f>IFERROR(__xludf.DUMMYFUNCTION("IF(A820="""","""",
  INDEX(FILTER('RE Portfolio'!C$2:C2000,'RE Portfolio'!D$2:D2000=""BUY""), INT((ROW()-2)/amortYears)+1)
  * (1 + VALUE(Assumptions!$B$11))^(D820-1)
)
"),"")</f>
        <v/>
      </c>
    </row>
    <row r="821">
      <c r="A821" s="15" t="str">
        <f>IFERROR(__xludf.DUMMYFUNCTION("IFERROR(INDEX(FILTER('RE Portfolio'!A$2:A2000,'RE Portfolio'!D$2:D2000=""BUY""), INT((ROW()-2)/amortYears)+1), )
"),"")</f>
        <v/>
      </c>
      <c r="B821" s="15" t="str">
        <f>IFERROR(__xludf.DUMMYFUNCTION("IFERROR(INDEX(FILTER('RE Portfolio'!B$2:B2000,'RE Portfolio'!D$2:D2000=""BUY""), INT((ROW()-2)/amortYears)+1), )
"),"")</f>
        <v/>
      </c>
      <c r="C821" s="15" t="str">
        <f>IFERROR(__xludf.DUMMYFUNCTION("IFERROR(INDEX(FILTER('RE Portfolio'!G$2:G2000,'RE Portfolio'!D$2:D2000=""BUY""), INT((ROW()-2)/amortYears)+1), )
"),"")</f>
        <v/>
      </c>
      <c r="D821" s="15">
        <f>MOD(ROW()-2, amortYears)+1</f>
        <v>22</v>
      </c>
      <c r="E821" s="15" t="str">
        <f t="shared" si="1"/>
        <v/>
      </c>
      <c r="F821" s="16">
        <f t="shared" si="2"/>
        <v>0</v>
      </c>
      <c r="G821" s="16">
        <f>IF(D821&lt;=mortTerm, -PMT(mortRate/12, mortTerm*12, C821)*12, 0)
</f>
        <v>0</v>
      </c>
      <c r="H821" s="16">
        <f>IF(D821&lt;=mortTerm, G821 - I821, 0)
</f>
        <v>0</v>
      </c>
      <c r="I821" s="16">
        <f>IF(D821&lt;=mortTerm, F821 - J821, 0)
</f>
        <v>0</v>
      </c>
      <c r="J821" s="16">
        <f>IF(D821&lt;=mortTerm,
   F821*(1+mortRate/12)^12 - (-PMT(mortRate/12, mortTerm*12, C821))*(((1+mortRate/12)^12 - 1)/(mortRate/12)),
   0
)
</f>
        <v>0</v>
      </c>
      <c r="K821" s="13" t="str">
        <f>IFERROR(__xludf.DUMMYFUNCTION("IF(A821="""","""",
   IF(F821&gt;0,
      INDEX(FILTER('RE Portfolio'!L$2:L2000,'RE Portfolio'!D$2:D2000=""BUY""), INT((ROW()-2)/amortYears)+1) - G821,
      INDEX(FILTER('RE Portfolio'!L$2:L2000,'RE Portfolio'!D$2:D2000=""BUY""), INT((ROW()-2)/amortYears)+1"&amp;")
   )
)
"),"")</f>
        <v/>
      </c>
      <c r="L821" s="15" t="str">
        <f>IFERROR(__xludf.DUMMYFUNCTION("IF(A821="""","""",
  INDEX(FILTER('RE Portfolio'!C$2:C2000,'RE Portfolio'!D$2:D2000=""BUY""), INT((ROW()-2)/amortYears)+1)
  * (1 + VALUE(Assumptions!$B$11))^(D821-1)
)
"),"")</f>
        <v/>
      </c>
    </row>
    <row r="822">
      <c r="A822" s="15" t="str">
        <f>IFERROR(__xludf.DUMMYFUNCTION("IFERROR(INDEX(FILTER('RE Portfolio'!A$2:A2000,'RE Portfolio'!D$2:D2000=""BUY""), INT((ROW()-2)/amortYears)+1), )
"),"")</f>
        <v/>
      </c>
      <c r="B822" s="15" t="str">
        <f>IFERROR(__xludf.DUMMYFUNCTION("IFERROR(INDEX(FILTER('RE Portfolio'!B$2:B2000,'RE Portfolio'!D$2:D2000=""BUY""), INT((ROW()-2)/amortYears)+1), )
"),"")</f>
        <v/>
      </c>
      <c r="C822" s="15" t="str">
        <f>IFERROR(__xludf.DUMMYFUNCTION("IFERROR(INDEX(FILTER('RE Portfolio'!G$2:G2000,'RE Portfolio'!D$2:D2000=""BUY""), INT((ROW()-2)/amortYears)+1), )
"),"")</f>
        <v/>
      </c>
      <c r="D822" s="15">
        <f>MOD(ROW()-2, amortYears)+1</f>
        <v>23</v>
      </c>
      <c r="E822" s="15" t="str">
        <f t="shared" si="1"/>
        <v/>
      </c>
      <c r="F822" s="16">
        <f t="shared" si="2"/>
        <v>0</v>
      </c>
      <c r="G822" s="16">
        <f>IF(D822&lt;=mortTerm, -PMT(mortRate/12, mortTerm*12, C822)*12, 0)
</f>
        <v>0</v>
      </c>
      <c r="H822" s="16">
        <f>IF(D822&lt;=mortTerm, G822 - I822, 0)
</f>
        <v>0</v>
      </c>
      <c r="I822" s="16">
        <f>IF(D822&lt;=mortTerm, F822 - J822, 0)
</f>
        <v>0</v>
      </c>
      <c r="J822" s="16">
        <f>IF(D822&lt;=mortTerm,
   F822*(1+mortRate/12)^12 - (-PMT(mortRate/12, mortTerm*12, C822))*(((1+mortRate/12)^12 - 1)/(mortRate/12)),
   0
)
</f>
        <v>0</v>
      </c>
      <c r="K822" s="13" t="str">
        <f>IFERROR(__xludf.DUMMYFUNCTION("IF(A822="""","""",
   IF(F822&gt;0,
      INDEX(FILTER('RE Portfolio'!L$2:L2000,'RE Portfolio'!D$2:D2000=""BUY""), INT((ROW()-2)/amortYears)+1) - G822,
      INDEX(FILTER('RE Portfolio'!L$2:L2000,'RE Portfolio'!D$2:D2000=""BUY""), INT((ROW()-2)/amortYears)+1"&amp;")
   )
)
"),"")</f>
        <v/>
      </c>
      <c r="L822" s="15" t="str">
        <f>IFERROR(__xludf.DUMMYFUNCTION("IF(A822="""","""",
  INDEX(FILTER('RE Portfolio'!C$2:C2000,'RE Portfolio'!D$2:D2000=""BUY""), INT((ROW()-2)/amortYears)+1)
  * (1 + VALUE(Assumptions!$B$11))^(D822-1)
)
"),"")</f>
        <v/>
      </c>
    </row>
    <row r="823">
      <c r="A823" s="15" t="str">
        <f>IFERROR(__xludf.DUMMYFUNCTION("IFERROR(INDEX(FILTER('RE Portfolio'!A$2:A2000,'RE Portfolio'!D$2:D2000=""BUY""), INT((ROW()-2)/amortYears)+1), )
"),"")</f>
        <v/>
      </c>
      <c r="B823" s="15" t="str">
        <f>IFERROR(__xludf.DUMMYFUNCTION("IFERROR(INDEX(FILTER('RE Portfolio'!B$2:B2000,'RE Portfolio'!D$2:D2000=""BUY""), INT((ROW()-2)/amortYears)+1), )
"),"")</f>
        <v/>
      </c>
      <c r="C823" s="15" t="str">
        <f>IFERROR(__xludf.DUMMYFUNCTION("IFERROR(INDEX(FILTER('RE Portfolio'!G$2:G2000,'RE Portfolio'!D$2:D2000=""BUY""), INT((ROW()-2)/amortYears)+1), )
"),"")</f>
        <v/>
      </c>
      <c r="D823" s="15">
        <f>MOD(ROW()-2, amortYears)+1</f>
        <v>24</v>
      </c>
      <c r="E823" s="15" t="str">
        <f t="shared" si="1"/>
        <v/>
      </c>
      <c r="F823" s="16">
        <f t="shared" si="2"/>
        <v>0</v>
      </c>
      <c r="G823" s="16">
        <f>IF(D823&lt;=mortTerm, -PMT(mortRate/12, mortTerm*12, C823)*12, 0)
</f>
        <v>0</v>
      </c>
      <c r="H823" s="16">
        <f>IF(D823&lt;=mortTerm, G823 - I823, 0)
</f>
        <v>0</v>
      </c>
      <c r="I823" s="16">
        <f>IF(D823&lt;=mortTerm, F823 - J823, 0)
</f>
        <v>0</v>
      </c>
      <c r="J823" s="16">
        <f>IF(D823&lt;=mortTerm,
   F823*(1+mortRate/12)^12 - (-PMT(mortRate/12, mortTerm*12, C823))*(((1+mortRate/12)^12 - 1)/(mortRate/12)),
   0
)
</f>
        <v>0</v>
      </c>
      <c r="K823" s="13" t="str">
        <f>IFERROR(__xludf.DUMMYFUNCTION("IF(A823="""","""",
   IF(F823&gt;0,
      INDEX(FILTER('RE Portfolio'!L$2:L2000,'RE Portfolio'!D$2:D2000=""BUY""), INT((ROW()-2)/amortYears)+1) - G823,
      INDEX(FILTER('RE Portfolio'!L$2:L2000,'RE Portfolio'!D$2:D2000=""BUY""), INT((ROW()-2)/amortYears)+1"&amp;")
   )
)
"),"")</f>
        <v/>
      </c>
      <c r="L823" s="15" t="str">
        <f>IFERROR(__xludf.DUMMYFUNCTION("IF(A823="""","""",
  INDEX(FILTER('RE Portfolio'!C$2:C2000,'RE Portfolio'!D$2:D2000=""BUY""), INT((ROW()-2)/amortYears)+1)
  * (1 + VALUE(Assumptions!$B$11))^(D823-1)
)
"),"")</f>
        <v/>
      </c>
    </row>
    <row r="824">
      <c r="A824" s="15" t="str">
        <f>IFERROR(__xludf.DUMMYFUNCTION("IFERROR(INDEX(FILTER('RE Portfolio'!A$2:A2000,'RE Portfolio'!D$2:D2000=""BUY""), INT((ROW()-2)/amortYears)+1), )
"),"")</f>
        <v/>
      </c>
      <c r="B824" s="15" t="str">
        <f>IFERROR(__xludf.DUMMYFUNCTION("IFERROR(INDEX(FILTER('RE Portfolio'!B$2:B2000,'RE Portfolio'!D$2:D2000=""BUY""), INT((ROW()-2)/amortYears)+1), )
"),"")</f>
        <v/>
      </c>
      <c r="C824" s="15" t="str">
        <f>IFERROR(__xludf.DUMMYFUNCTION("IFERROR(INDEX(FILTER('RE Portfolio'!G$2:G2000,'RE Portfolio'!D$2:D2000=""BUY""), INT((ROW()-2)/amortYears)+1), )
"),"")</f>
        <v/>
      </c>
      <c r="D824" s="15">
        <f>MOD(ROW()-2, amortYears)+1</f>
        <v>25</v>
      </c>
      <c r="E824" s="15" t="str">
        <f t="shared" si="1"/>
        <v/>
      </c>
      <c r="F824" s="16">
        <f t="shared" si="2"/>
        <v>0</v>
      </c>
      <c r="G824" s="16">
        <f>IF(D824&lt;=mortTerm, -PMT(mortRate/12, mortTerm*12, C824)*12, 0)
</f>
        <v>0</v>
      </c>
      <c r="H824" s="16">
        <f>IF(D824&lt;=mortTerm, G824 - I824, 0)
</f>
        <v>0</v>
      </c>
      <c r="I824" s="16">
        <f>IF(D824&lt;=mortTerm, F824 - J824, 0)
</f>
        <v>0</v>
      </c>
      <c r="J824" s="16">
        <f>IF(D824&lt;=mortTerm,
   F824*(1+mortRate/12)^12 - (-PMT(mortRate/12, mortTerm*12, C824))*(((1+mortRate/12)^12 - 1)/(mortRate/12)),
   0
)
</f>
        <v>0</v>
      </c>
      <c r="K824" s="13" t="str">
        <f>IFERROR(__xludf.DUMMYFUNCTION("IF(A824="""","""",
   IF(F824&gt;0,
      INDEX(FILTER('RE Portfolio'!L$2:L2000,'RE Portfolio'!D$2:D2000=""BUY""), INT((ROW()-2)/amortYears)+1) - G824,
      INDEX(FILTER('RE Portfolio'!L$2:L2000,'RE Portfolio'!D$2:D2000=""BUY""), INT((ROW()-2)/amortYears)+1"&amp;")
   )
)
"),"")</f>
        <v/>
      </c>
      <c r="L824" s="15" t="str">
        <f>IFERROR(__xludf.DUMMYFUNCTION("IF(A824="""","""",
  INDEX(FILTER('RE Portfolio'!C$2:C2000,'RE Portfolio'!D$2:D2000=""BUY""), INT((ROW()-2)/amortYears)+1)
  * (1 + VALUE(Assumptions!$B$11))^(D824-1)
)
"),"")</f>
        <v/>
      </c>
    </row>
    <row r="825">
      <c r="A825" s="15" t="str">
        <f>IFERROR(__xludf.DUMMYFUNCTION("IFERROR(INDEX(FILTER('RE Portfolio'!A$2:A2000,'RE Portfolio'!D$2:D2000=""BUY""), INT((ROW()-2)/amortYears)+1), )
"),"")</f>
        <v/>
      </c>
      <c r="B825" s="15" t="str">
        <f>IFERROR(__xludf.DUMMYFUNCTION("IFERROR(INDEX(FILTER('RE Portfolio'!B$2:B2000,'RE Portfolio'!D$2:D2000=""BUY""), INT((ROW()-2)/amortYears)+1), )
"),"")</f>
        <v/>
      </c>
      <c r="C825" s="15" t="str">
        <f>IFERROR(__xludf.DUMMYFUNCTION("IFERROR(INDEX(FILTER('RE Portfolio'!G$2:G2000,'RE Portfolio'!D$2:D2000=""BUY""), INT((ROW()-2)/amortYears)+1), )
"),"")</f>
        <v/>
      </c>
      <c r="D825" s="15">
        <f>MOD(ROW()-2, amortYears)+1</f>
        <v>26</v>
      </c>
      <c r="E825" s="15" t="str">
        <f t="shared" si="1"/>
        <v/>
      </c>
      <c r="F825" s="16">
        <f t="shared" si="2"/>
        <v>0</v>
      </c>
      <c r="G825" s="16">
        <f>IF(D825&lt;=mortTerm, -PMT(mortRate/12, mortTerm*12, C825)*12, 0)
</f>
        <v>0</v>
      </c>
      <c r="H825" s="16">
        <f>IF(D825&lt;=mortTerm, G825 - I825, 0)
</f>
        <v>0</v>
      </c>
      <c r="I825" s="16">
        <f>IF(D825&lt;=mortTerm, F825 - J825, 0)
</f>
        <v>0</v>
      </c>
      <c r="J825" s="16">
        <f>IF(D825&lt;=mortTerm,
   F825*(1+mortRate/12)^12 - (-PMT(mortRate/12, mortTerm*12, C825))*(((1+mortRate/12)^12 - 1)/(mortRate/12)),
   0
)
</f>
        <v>0</v>
      </c>
      <c r="K825" s="13" t="str">
        <f>IFERROR(__xludf.DUMMYFUNCTION("IF(A825="""","""",
   IF(F825&gt;0,
      INDEX(FILTER('RE Portfolio'!L$2:L2000,'RE Portfolio'!D$2:D2000=""BUY""), INT((ROW()-2)/amortYears)+1) - G825,
      INDEX(FILTER('RE Portfolio'!L$2:L2000,'RE Portfolio'!D$2:D2000=""BUY""), INT((ROW()-2)/amortYears)+1"&amp;")
   )
)
"),"")</f>
        <v/>
      </c>
      <c r="L825" s="15" t="str">
        <f>IFERROR(__xludf.DUMMYFUNCTION("IF(A825="""","""",
  INDEX(FILTER('RE Portfolio'!C$2:C2000,'RE Portfolio'!D$2:D2000=""BUY""), INT((ROW()-2)/amortYears)+1)
  * (1 + VALUE(Assumptions!$B$11))^(D825-1)
)
"),"")</f>
        <v/>
      </c>
    </row>
    <row r="826">
      <c r="A826" s="15" t="str">
        <f>IFERROR(__xludf.DUMMYFUNCTION("IFERROR(INDEX(FILTER('RE Portfolio'!A$2:A2000,'RE Portfolio'!D$2:D2000=""BUY""), INT((ROW()-2)/amortYears)+1), )
"),"")</f>
        <v/>
      </c>
      <c r="B826" s="15" t="str">
        <f>IFERROR(__xludf.DUMMYFUNCTION("IFERROR(INDEX(FILTER('RE Portfolio'!B$2:B2000,'RE Portfolio'!D$2:D2000=""BUY""), INT((ROW()-2)/amortYears)+1), )
"),"")</f>
        <v/>
      </c>
      <c r="C826" s="15" t="str">
        <f>IFERROR(__xludf.DUMMYFUNCTION("IFERROR(INDEX(FILTER('RE Portfolio'!G$2:G2000,'RE Portfolio'!D$2:D2000=""BUY""), INT((ROW()-2)/amortYears)+1), )
"),"")</f>
        <v/>
      </c>
      <c r="D826" s="15">
        <f>MOD(ROW()-2, amortYears)+1</f>
        <v>27</v>
      </c>
      <c r="E826" s="15" t="str">
        <f t="shared" si="1"/>
        <v/>
      </c>
      <c r="F826" s="16">
        <f t="shared" si="2"/>
        <v>0</v>
      </c>
      <c r="G826" s="16">
        <f>IF(D826&lt;=mortTerm, -PMT(mortRate/12, mortTerm*12, C826)*12, 0)
</f>
        <v>0</v>
      </c>
      <c r="H826" s="16">
        <f>IF(D826&lt;=mortTerm, G826 - I826, 0)
</f>
        <v>0</v>
      </c>
      <c r="I826" s="16">
        <f>IF(D826&lt;=mortTerm, F826 - J826, 0)
</f>
        <v>0</v>
      </c>
      <c r="J826" s="16">
        <f>IF(D826&lt;=mortTerm,
   F826*(1+mortRate/12)^12 - (-PMT(mortRate/12, mortTerm*12, C826))*(((1+mortRate/12)^12 - 1)/(mortRate/12)),
   0
)
</f>
        <v>0</v>
      </c>
      <c r="K826" s="13" t="str">
        <f>IFERROR(__xludf.DUMMYFUNCTION("IF(A826="""","""",
   IF(F826&gt;0,
      INDEX(FILTER('RE Portfolio'!L$2:L2000,'RE Portfolio'!D$2:D2000=""BUY""), INT((ROW()-2)/amortYears)+1) - G826,
      INDEX(FILTER('RE Portfolio'!L$2:L2000,'RE Portfolio'!D$2:D2000=""BUY""), INT((ROW()-2)/amortYears)+1"&amp;")
   )
)
"),"")</f>
        <v/>
      </c>
      <c r="L826" s="15" t="str">
        <f>IFERROR(__xludf.DUMMYFUNCTION("IF(A826="""","""",
  INDEX(FILTER('RE Portfolio'!C$2:C2000,'RE Portfolio'!D$2:D2000=""BUY""), INT((ROW()-2)/amortYears)+1)
  * (1 + VALUE(Assumptions!$B$11))^(D826-1)
)
"),"")</f>
        <v/>
      </c>
    </row>
    <row r="827">
      <c r="A827" s="15" t="str">
        <f>IFERROR(__xludf.DUMMYFUNCTION("IFERROR(INDEX(FILTER('RE Portfolio'!A$2:A2000,'RE Portfolio'!D$2:D2000=""BUY""), INT((ROW()-2)/amortYears)+1), )
"),"")</f>
        <v/>
      </c>
      <c r="B827" s="15" t="str">
        <f>IFERROR(__xludf.DUMMYFUNCTION("IFERROR(INDEX(FILTER('RE Portfolio'!B$2:B2000,'RE Portfolio'!D$2:D2000=""BUY""), INT((ROW()-2)/amortYears)+1), )
"),"")</f>
        <v/>
      </c>
      <c r="C827" s="15" t="str">
        <f>IFERROR(__xludf.DUMMYFUNCTION("IFERROR(INDEX(FILTER('RE Portfolio'!G$2:G2000,'RE Portfolio'!D$2:D2000=""BUY""), INT((ROW()-2)/amortYears)+1), )
"),"")</f>
        <v/>
      </c>
      <c r="D827" s="15">
        <f>MOD(ROW()-2, amortYears)+1</f>
        <v>28</v>
      </c>
      <c r="E827" s="15" t="str">
        <f t="shared" si="1"/>
        <v/>
      </c>
      <c r="F827" s="16">
        <f t="shared" si="2"/>
        <v>0</v>
      </c>
      <c r="G827" s="16">
        <f>IF(D827&lt;=mortTerm, -PMT(mortRate/12, mortTerm*12, C827)*12, 0)
</f>
        <v>0</v>
      </c>
      <c r="H827" s="16">
        <f>IF(D827&lt;=mortTerm, G827 - I827, 0)
</f>
        <v>0</v>
      </c>
      <c r="I827" s="16">
        <f>IF(D827&lt;=mortTerm, F827 - J827, 0)
</f>
        <v>0</v>
      </c>
      <c r="J827" s="16">
        <f>IF(D827&lt;=mortTerm,
   F827*(1+mortRate/12)^12 - (-PMT(mortRate/12, mortTerm*12, C827))*(((1+mortRate/12)^12 - 1)/(mortRate/12)),
   0
)
</f>
        <v>0</v>
      </c>
      <c r="K827" s="13" t="str">
        <f>IFERROR(__xludf.DUMMYFUNCTION("IF(A827="""","""",
   IF(F827&gt;0,
      INDEX(FILTER('RE Portfolio'!L$2:L2000,'RE Portfolio'!D$2:D2000=""BUY""), INT((ROW()-2)/amortYears)+1) - G827,
      INDEX(FILTER('RE Portfolio'!L$2:L2000,'RE Portfolio'!D$2:D2000=""BUY""), INT((ROW()-2)/amortYears)+1"&amp;")
   )
)
"),"")</f>
        <v/>
      </c>
      <c r="L827" s="15" t="str">
        <f>IFERROR(__xludf.DUMMYFUNCTION("IF(A827="""","""",
  INDEX(FILTER('RE Portfolio'!C$2:C2000,'RE Portfolio'!D$2:D2000=""BUY""), INT((ROW()-2)/amortYears)+1)
  * (1 + VALUE(Assumptions!$B$11))^(D827-1)
)
"),"")</f>
        <v/>
      </c>
    </row>
    <row r="828">
      <c r="A828" s="15" t="str">
        <f>IFERROR(__xludf.DUMMYFUNCTION("IFERROR(INDEX(FILTER('RE Portfolio'!A$2:A2000,'RE Portfolio'!D$2:D2000=""BUY""), INT((ROW()-2)/amortYears)+1), )
"),"")</f>
        <v/>
      </c>
      <c r="B828" s="15" t="str">
        <f>IFERROR(__xludf.DUMMYFUNCTION("IFERROR(INDEX(FILTER('RE Portfolio'!B$2:B2000,'RE Portfolio'!D$2:D2000=""BUY""), INT((ROW()-2)/amortYears)+1), )
"),"")</f>
        <v/>
      </c>
      <c r="C828" s="15" t="str">
        <f>IFERROR(__xludf.DUMMYFUNCTION("IFERROR(INDEX(FILTER('RE Portfolio'!G$2:G2000,'RE Portfolio'!D$2:D2000=""BUY""), INT((ROW()-2)/amortYears)+1), )
"),"")</f>
        <v/>
      </c>
      <c r="D828" s="15">
        <f>MOD(ROW()-2, amortYears)+1</f>
        <v>29</v>
      </c>
      <c r="E828" s="15" t="str">
        <f t="shared" si="1"/>
        <v/>
      </c>
      <c r="F828" s="16">
        <f t="shared" si="2"/>
        <v>0</v>
      </c>
      <c r="G828" s="16">
        <f>IF(D828&lt;=mortTerm, -PMT(mortRate/12, mortTerm*12, C828)*12, 0)
</f>
        <v>0</v>
      </c>
      <c r="H828" s="16">
        <f>IF(D828&lt;=mortTerm, G828 - I828, 0)
</f>
        <v>0</v>
      </c>
      <c r="I828" s="16">
        <f>IF(D828&lt;=mortTerm, F828 - J828, 0)
</f>
        <v>0</v>
      </c>
      <c r="J828" s="16">
        <f>IF(D828&lt;=mortTerm,
   F828*(1+mortRate/12)^12 - (-PMT(mortRate/12, mortTerm*12, C828))*(((1+mortRate/12)^12 - 1)/(mortRate/12)),
   0
)
</f>
        <v>0</v>
      </c>
      <c r="K828" s="13" t="str">
        <f>IFERROR(__xludf.DUMMYFUNCTION("IF(A828="""","""",
   IF(F828&gt;0,
      INDEX(FILTER('RE Portfolio'!L$2:L2000,'RE Portfolio'!D$2:D2000=""BUY""), INT((ROW()-2)/amortYears)+1) - G828,
      INDEX(FILTER('RE Portfolio'!L$2:L2000,'RE Portfolio'!D$2:D2000=""BUY""), INT((ROW()-2)/amortYears)+1"&amp;")
   )
)
"),"")</f>
        <v/>
      </c>
      <c r="L828" s="15" t="str">
        <f>IFERROR(__xludf.DUMMYFUNCTION("IF(A828="""","""",
  INDEX(FILTER('RE Portfolio'!C$2:C2000,'RE Portfolio'!D$2:D2000=""BUY""), INT((ROW()-2)/amortYears)+1)
  * (1 + VALUE(Assumptions!$B$11))^(D828-1)
)
"),"")</f>
        <v/>
      </c>
    </row>
    <row r="829">
      <c r="A829" s="15" t="str">
        <f>IFERROR(__xludf.DUMMYFUNCTION("IFERROR(INDEX(FILTER('RE Portfolio'!A$2:A2000,'RE Portfolio'!D$2:D2000=""BUY""), INT((ROW()-2)/amortYears)+1), )
"),"")</f>
        <v/>
      </c>
      <c r="B829" s="15" t="str">
        <f>IFERROR(__xludf.DUMMYFUNCTION("IFERROR(INDEX(FILTER('RE Portfolio'!B$2:B2000,'RE Portfolio'!D$2:D2000=""BUY""), INT((ROW()-2)/amortYears)+1), )
"),"")</f>
        <v/>
      </c>
      <c r="C829" s="15" t="str">
        <f>IFERROR(__xludf.DUMMYFUNCTION("IFERROR(INDEX(FILTER('RE Portfolio'!G$2:G2000,'RE Portfolio'!D$2:D2000=""BUY""), INT((ROW()-2)/amortYears)+1), )
"),"")</f>
        <v/>
      </c>
      <c r="D829" s="15">
        <f>MOD(ROW()-2, amortYears)+1</f>
        <v>30</v>
      </c>
      <c r="E829" s="15" t="str">
        <f t="shared" si="1"/>
        <v/>
      </c>
      <c r="F829" s="16">
        <f t="shared" si="2"/>
        <v>0</v>
      </c>
      <c r="G829" s="16">
        <f>IF(D829&lt;=mortTerm, -PMT(mortRate/12, mortTerm*12, C829)*12, 0)
</f>
        <v>0</v>
      </c>
      <c r="H829" s="16">
        <f>IF(D829&lt;=mortTerm, G829 - I829, 0)
</f>
        <v>0</v>
      </c>
      <c r="I829" s="16">
        <f>IF(D829&lt;=mortTerm, F829 - J829, 0)
</f>
        <v>0</v>
      </c>
      <c r="J829" s="16">
        <f>IF(D829&lt;=mortTerm,
   F829*(1+mortRate/12)^12 - (-PMT(mortRate/12, mortTerm*12, C829))*(((1+mortRate/12)^12 - 1)/(mortRate/12)),
   0
)
</f>
        <v>0</v>
      </c>
      <c r="K829" s="13" t="str">
        <f>IFERROR(__xludf.DUMMYFUNCTION("IF(A829="""","""",
   IF(F829&gt;0,
      INDEX(FILTER('RE Portfolio'!L$2:L2000,'RE Portfolio'!D$2:D2000=""BUY""), INT((ROW()-2)/amortYears)+1) - G829,
      INDEX(FILTER('RE Portfolio'!L$2:L2000,'RE Portfolio'!D$2:D2000=""BUY""), INT((ROW()-2)/amortYears)+1"&amp;")
   )
)
"),"")</f>
        <v/>
      </c>
      <c r="L829" s="15" t="str">
        <f>IFERROR(__xludf.DUMMYFUNCTION("IF(A829="""","""",
  INDEX(FILTER('RE Portfolio'!C$2:C2000,'RE Portfolio'!D$2:D2000=""BUY""), INT((ROW()-2)/amortYears)+1)
  * (1 + VALUE(Assumptions!$B$11))^(D829-1)
)
"),"")</f>
        <v/>
      </c>
    </row>
    <row r="830">
      <c r="A830" s="15" t="str">
        <f>IFERROR(__xludf.DUMMYFUNCTION("IFERROR(INDEX(FILTER('RE Portfolio'!A$2:A2000,'RE Portfolio'!D$2:D2000=""BUY""), INT((ROW()-2)/amortYears)+1), )
"),"")</f>
        <v/>
      </c>
      <c r="B830" s="15" t="str">
        <f>IFERROR(__xludf.DUMMYFUNCTION("IFERROR(INDEX(FILTER('RE Portfolio'!B$2:B2000,'RE Portfolio'!D$2:D2000=""BUY""), INT((ROW()-2)/amortYears)+1), )
"),"")</f>
        <v/>
      </c>
      <c r="C830" s="15" t="str">
        <f>IFERROR(__xludf.DUMMYFUNCTION("IFERROR(INDEX(FILTER('RE Portfolio'!G$2:G2000,'RE Portfolio'!D$2:D2000=""BUY""), INT((ROW()-2)/amortYears)+1), )
"),"")</f>
        <v/>
      </c>
      <c r="D830" s="15">
        <f>MOD(ROW()-2, amortYears)+1</f>
        <v>31</v>
      </c>
      <c r="E830" s="15" t="str">
        <f t="shared" si="1"/>
        <v/>
      </c>
      <c r="F830" s="16">
        <f t="shared" si="2"/>
        <v>0</v>
      </c>
      <c r="G830" s="15">
        <f>IF(D830&lt;=mortTerm, -PMT(mortRate/12, mortTerm*12, C830)*12, 0)
</f>
        <v>0</v>
      </c>
      <c r="H830" s="15">
        <f>IF(D830&lt;=mortTerm, G830 - I830, 0)
</f>
        <v>0</v>
      </c>
      <c r="I830" s="15">
        <f>IF(D830&lt;=mortTerm, F830 - J830, 0)
</f>
        <v>0</v>
      </c>
      <c r="J830" s="15">
        <f>IF(D830&lt;=mortTerm,
   F830*(1+mortRate/12)^12 - (-PMT(mortRate/12, mortTerm*12, C830))*(((1+mortRate/12)^12 - 1)/(mortRate/12)),
   0
)
</f>
        <v>0</v>
      </c>
      <c r="K830" s="13" t="str">
        <f>IFERROR(__xludf.DUMMYFUNCTION("IF(A830="""","""",
   IF(F830&gt;0,
      INDEX(FILTER('RE Portfolio'!L$2:L2000,'RE Portfolio'!D$2:D2000=""BUY""), INT((ROW()-2)/amortYears)+1) - G830,
      INDEX(FILTER('RE Portfolio'!L$2:L2000,'RE Portfolio'!D$2:D2000=""BUY""), INT((ROW()-2)/amortYears)+1"&amp;")
   )
)
"),"")</f>
        <v/>
      </c>
      <c r="L830" s="15" t="str">
        <f>IFERROR(__xludf.DUMMYFUNCTION("IF(A830="""","""",
  INDEX(FILTER('RE Portfolio'!C$2:C2000,'RE Portfolio'!D$2:D2000=""BUY""), INT((ROW()-2)/amortYears)+1)
  * (1 + VALUE(Assumptions!$B$11))^(D830-1)
)
"),"")</f>
        <v/>
      </c>
    </row>
    <row r="831">
      <c r="A831" s="15" t="str">
        <f>IFERROR(__xludf.DUMMYFUNCTION("IFERROR(INDEX(FILTER('RE Portfolio'!A$2:A2000,'RE Portfolio'!D$2:D2000=""BUY""), INT((ROW()-2)/amortYears)+1), )
"),"")</f>
        <v/>
      </c>
      <c r="B831" s="15" t="str">
        <f>IFERROR(__xludf.DUMMYFUNCTION("IFERROR(INDEX(FILTER('RE Portfolio'!B$2:B2000,'RE Portfolio'!D$2:D2000=""BUY""), INT((ROW()-2)/amortYears)+1), )
"),"")</f>
        <v/>
      </c>
      <c r="C831" s="15" t="str">
        <f>IFERROR(__xludf.DUMMYFUNCTION("IFERROR(INDEX(FILTER('RE Portfolio'!G$2:G2000,'RE Portfolio'!D$2:D2000=""BUY""), INT((ROW()-2)/amortYears)+1), )
"),"")</f>
        <v/>
      </c>
      <c r="D831" s="15">
        <f>MOD(ROW()-2, amortYears)+1</f>
        <v>32</v>
      </c>
      <c r="E831" s="15" t="str">
        <f t="shared" si="1"/>
        <v/>
      </c>
      <c r="F831" s="15">
        <f t="shared" si="2"/>
        <v>0</v>
      </c>
      <c r="G831" s="15">
        <f>IF(D831&lt;=mortTerm, -PMT(mortRate/12, mortTerm*12, C831)*12, 0)
</f>
        <v>0</v>
      </c>
      <c r="H831" s="15">
        <f>IF(D831&lt;=mortTerm, G831 - I831, 0)
</f>
        <v>0</v>
      </c>
      <c r="I831" s="15">
        <f>IF(D831&lt;=mortTerm, F831 - J831, 0)
</f>
        <v>0</v>
      </c>
      <c r="J831" s="15">
        <f>IF(D831&lt;=mortTerm,
   F831*(1+mortRate/12)^12 - (-PMT(mortRate/12, mortTerm*12, C831))*(((1+mortRate/12)^12 - 1)/(mortRate/12)),
   0
)
</f>
        <v>0</v>
      </c>
      <c r="K831" s="13" t="str">
        <f>IFERROR(__xludf.DUMMYFUNCTION("IF(A831="""","""",
   IF(F831&gt;0,
      INDEX(FILTER('RE Portfolio'!L$2:L2000,'RE Portfolio'!D$2:D2000=""BUY""), INT((ROW()-2)/amortYears)+1) - G831,
      INDEX(FILTER('RE Portfolio'!L$2:L2000,'RE Portfolio'!D$2:D2000=""BUY""), INT((ROW()-2)/amortYears)+1"&amp;")
   )
)
"),"")</f>
        <v/>
      </c>
      <c r="L831" s="15" t="str">
        <f>IFERROR(__xludf.DUMMYFUNCTION("IF(A831="""","""",
  INDEX(FILTER('RE Portfolio'!C$2:C2000,'RE Portfolio'!D$2:D2000=""BUY""), INT((ROW()-2)/amortYears)+1)
  * (1 + VALUE(Assumptions!$B$11))^(D831-1)
)
"),"")</f>
        <v/>
      </c>
    </row>
    <row r="832">
      <c r="A832" s="15" t="str">
        <f>IFERROR(__xludf.DUMMYFUNCTION("IFERROR(INDEX(FILTER('RE Portfolio'!A$2:A2000,'RE Portfolio'!D$2:D2000=""BUY""), INT((ROW()-2)/amortYears)+1), )
"),"")</f>
        <v/>
      </c>
      <c r="B832" s="15" t="str">
        <f>IFERROR(__xludf.DUMMYFUNCTION("IFERROR(INDEX(FILTER('RE Portfolio'!B$2:B2000,'RE Portfolio'!D$2:D2000=""BUY""), INT((ROW()-2)/amortYears)+1), )
"),"")</f>
        <v/>
      </c>
      <c r="C832" s="15" t="str">
        <f>IFERROR(__xludf.DUMMYFUNCTION("IFERROR(INDEX(FILTER('RE Portfolio'!G$2:G2000,'RE Portfolio'!D$2:D2000=""BUY""), INT((ROW()-2)/amortYears)+1), )
"),"")</f>
        <v/>
      </c>
      <c r="D832" s="15">
        <f>MOD(ROW()-2, amortYears)+1</f>
        <v>33</v>
      </c>
      <c r="E832" s="15" t="str">
        <f t="shared" si="1"/>
        <v/>
      </c>
      <c r="F832" s="15">
        <f t="shared" si="2"/>
        <v>0</v>
      </c>
      <c r="G832" s="15">
        <f>IF(D832&lt;=mortTerm, -PMT(mortRate/12, mortTerm*12, C832)*12, 0)
</f>
        <v>0</v>
      </c>
      <c r="H832" s="15">
        <f>IF(D832&lt;=mortTerm, G832 - I832, 0)
</f>
        <v>0</v>
      </c>
      <c r="I832" s="15">
        <f>IF(D832&lt;=mortTerm, F832 - J832, 0)
</f>
        <v>0</v>
      </c>
      <c r="J832" s="15">
        <f>IF(D832&lt;=mortTerm,
   F832*(1+mortRate/12)^12 - (-PMT(mortRate/12, mortTerm*12, C832))*(((1+mortRate/12)^12 - 1)/(mortRate/12)),
   0
)
</f>
        <v>0</v>
      </c>
      <c r="K832" s="13" t="str">
        <f>IFERROR(__xludf.DUMMYFUNCTION("IF(A832="""","""",
   IF(F832&gt;0,
      INDEX(FILTER('RE Portfolio'!L$2:L2000,'RE Portfolio'!D$2:D2000=""BUY""), INT((ROW()-2)/amortYears)+1) - G832,
      INDEX(FILTER('RE Portfolio'!L$2:L2000,'RE Portfolio'!D$2:D2000=""BUY""), INT((ROW()-2)/amortYears)+1"&amp;")
   )
)
"),"")</f>
        <v/>
      </c>
      <c r="L832" s="15" t="str">
        <f>IFERROR(__xludf.DUMMYFUNCTION("IF(A832="""","""",
  INDEX(FILTER('RE Portfolio'!C$2:C2000,'RE Portfolio'!D$2:D2000=""BUY""), INT((ROW()-2)/amortYears)+1)
  * (1 + VALUE(Assumptions!$B$11))^(D832-1)
)
"),"")</f>
        <v/>
      </c>
    </row>
    <row r="833">
      <c r="A833" s="15" t="str">
        <f>IFERROR(__xludf.DUMMYFUNCTION("IFERROR(INDEX(FILTER('RE Portfolio'!A$2:A2000,'RE Portfolio'!D$2:D2000=""BUY""), INT((ROW()-2)/amortYears)+1), )
"),"")</f>
        <v/>
      </c>
      <c r="B833" s="15" t="str">
        <f>IFERROR(__xludf.DUMMYFUNCTION("IFERROR(INDEX(FILTER('RE Portfolio'!B$2:B2000,'RE Portfolio'!D$2:D2000=""BUY""), INT((ROW()-2)/amortYears)+1), )
"),"")</f>
        <v/>
      </c>
      <c r="C833" s="15" t="str">
        <f>IFERROR(__xludf.DUMMYFUNCTION("IFERROR(INDEX(FILTER('RE Portfolio'!G$2:G2000,'RE Portfolio'!D$2:D2000=""BUY""), INT((ROW()-2)/amortYears)+1), )
"),"")</f>
        <v/>
      </c>
      <c r="D833" s="15">
        <f>MOD(ROW()-2, amortYears)+1</f>
        <v>34</v>
      </c>
      <c r="E833" s="15" t="str">
        <f t="shared" si="1"/>
        <v/>
      </c>
      <c r="F833" s="15">
        <f t="shared" si="2"/>
        <v>0</v>
      </c>
      <c r="G833" s="15">
        <f>IF(D833&lt;=mortTerm, -PMT(mortRate/12, mortTerm*12, C833)*12, 0)
</f>
        <v>0</v>
      </c>
      <c r="H833" s="15">
        <f>IF(D833&lt;=mortTerm, G833 - I833, 0)
</f>
        <v>0</v>
      </c>
      <c r="I833" s="15">
        <f>IF(D833&lt;=mortTerm, F833 - J833, 0)
</f>
        <v>0</v>
      </c>
      <c r="J833" s="15">
        <f>IF(D833&lt;=mortTerm,
   F833*(1+mortRate/12)^12 - (-PMT(mortRate/12, mortTerm*12, C833))*(((1+mortRate/12)^12 - 1)/(mortRate/12)),
   0
)
</f>
        <v>0</v>
      </c>
      <c r="K833" s="13" t="str">
        <f>IFERROR(__xludf.DUMMYFUNCTION("IF(A833="""","""",
   IF(F833&gt;0,
      INDEX(FILTER('RE Portfolio'!L$2:L2000,'RE Portfolio'!D$2:D2000=""BUY""), INT((ROW()-2)/amortYears)+1) - G833,
      INDEX(FILTER('RE Portfolio'!L$2:L2000,'RE Portfolio'!D$2:D2000=""BUY""), INT((ROW()-2)/amortYears)+1"&amp;")
   )
)
"),"")</f>
        <v/>
      </c>
      <c r="L833" s="15" t="str">
        <f>IFERROR(__xludf.DUMMYFUNCTION("IF(A833="""","""",
  INDEX(FILTER('RE Portfolio'!C$2:C2000,'RE Portfolio'!D$2:D2000=""BUY""), INT((ROW()-2)/amortYears)+1)
  * (1 + VALUE(Assumptions!$B$11))^(D833-1)
)
"),"")</f>
        <v/>
      </c>
    </row>
    <row r="834">
      <c r="A834" s="15" t="str">
        <f>IFERROR(__xludf.DUMMYFUNCTION("IFERROR(INDEX(FILTER('RE Portfolio'!A$2:A2000,'RE Portfolio'!D$2:D2000=""BUY""), INT((ROW()-2)/amortYears)+1), )
"),"")</f>
        <v/>
      </c>
      <c r="B834" s="15" t="str">
        <f>IFERROR(__xludf.DUMMYFUNCTION("IFERROR(INDEX(FILTER('RE Portfolio'!B$2:B2000,'RE Portfolio'!D$2:D2000=""BUY""), INT((ROW()-2)/amortYears)+1), )
"),"")</f>
        <v/>
      </c>
      <c r="C834" s="15" t="str">
        <f>IFERROR(__xludf.DUMMYFUNCTION("IFERROR(INDEX(FILTER('RE Portfolio'!G$2:G2000,'RE Portfolio'!D$2:D2000=""BUY""), INT((ROW()-2)/amortYears)+1), )
"),"")</f>
        <v/>
      </c>
      <c r="D834" s="15">
        <f>MOD(ROW()-2, amortYears)+1</f>
        <v>35</v>
      </c>
      <c r="E834" s="15" t="str">
        <f t="shared" si="1"/>
        <v/>
      </c>
      <c r="F834" s="15">
        <f t="shared" si="2"/>
        <v>0</v>
      </c>
      <c r="G834" s="15">
        <f>IF(D834&lt;=mortTerm, -PMT(mortRate/12, mortTerm*12, C834)*12, 0)
</f>
        <v>0</v>
      </c>
      <c r="H834" s="15">
        <f>IF(D834&lt;=mortTerm, G834 - I834, 0)
</f>
        <v>0</v>
      </c>
      <c r="I834" s="15">
        <f>IF(D834&lt;=mortTerm, F834 - J834, 0)
</f>
        <v>0</v>
      </c>
      <c r="J834" s="15">
        <f>IF(D834&lt;=mortTerm,
   F834*(1+mortRate/12)^12 - (-PMT(mortRate/12, mortTerm*12, C834))*(((1+mortRate/12)^12 - 1)/(mortRate/12)),
   0
)
</f>
        <v>0</v>
      </c>
      <c r="K834" s="13" t="str">
        <f>IFERROR(__xludf.DUMMYFUNCTION("IF(A834="""","""",
   IF(F834&gt;0,
      INDEX(FILTER('RE Portfolio'!L$2:L2000,'RE Portfolio'!D$2:D2000=""BUY""), INT((ROW()-2)/amortYears)+1) - G834,
      INDEX(FILTER('RE Portfolio'!L$2:L2000,'RE Portfolio'!D$2:D2000=""BUY""), INT((ROW()-2)/amortYears)+1"&amp;")
   )
)
"),"")</f>
        <v/>
      </c>
      <c r="L834" s="15" t="str">
        <f>IFERROR(__xludf.DUMMYFUNCTION("IF(A834="""","""",
  INDEX(FILTER('RE Portfolio'!C$2:C2000,'RE Portfolio'!D$2:D2000=""BUY""), INT((ROW()-2)/amortYears)+1)
  * (1 + VALUE(Assumptions!$B$11))^(D834-1)
)
"),"")</f>
        <v/>
      </c>
    </row>
    <row r="835">
      <c r="A835" s="15" t="str">
        <f>IFERROR(__xludf.DUMMYFUNCTION("IFERROR(INDEX(FILTER('RE Portfolio'!A$2:A2000,'RE Portfolio'!D$2:D2000=""BUY""), INT((ROW()-2)/amortYears)+1), )
"),"")</f>
        <v/>
      </c>
      <c r="B835" s="15" t="str">
        <f>IFERROR(__xludf.DUMMYFUNCTION("IFERROR(INDEX(FILTER('RE Portfolio'!B$2:B2000,'RE Portfolio'!D$2:D2000=""BUY""), INT((ROW()-2)/amortYears)+1), )
"),"")</f>
        <v/>
      </c>
      <c r="C835" s="15" t="str">
        <f>IFERROR(__xludf.DUMMYFUNCTION("IFERROR(INDEX(FILTER('RE Portfolio'!G$2:G2000,'RE Portfolio'!D$2:D2000=""BUY""), INT((ROW()-2)/amortYears)+1), )
"),"")</f>
        <v/>
      </c>
      <c r="D835" s="15">
        <f>MOD(ROW()-2, amortYears)+1</f>
        <v>36</v>
      </c>
      <c r="E835" s="15" t="str">
        <f t="shared" si="1"/>
        <v/>
      </c>
      <c r="F835" s="15">
        <f t="shared" si="2"/>
        <v>0</v>
      </c>
      <c r="G835" s="15">
        <f>IF(D835&lt;=mortTerm, -PMT(mortRate/12, mortTerm*12, C835)*12, 0)
</f>
        <v>0</v>
      </c>
      <c r="H835" s="15">
        <f>IF(D835&lt;=mortTerm, G835 - I835, 0)
</f>
        <v>0</v>
      </c>
      <c r="I835" s="15">
        <f>IF(D835&lt;=mortTerm, F835 - J835, 0)
</f>
        <v>0</v>
      </c>
      <c r="J835" s="15">
        <f>IF(D835&lt;=mortTerm,
   F835*(1+mortRate/12)^12 - (-PMT(mortRate/12, mortTerm*12, C835))*(((1+mortRate/12)^12 - 1)/(mortRate/12)),
   0
)
</f>
        <v>0</v>
      </c>
      <c r="K835" s="13" t="str">
        <f>IFERROR(__xludf.DUMMYFUNCTION("IF(A835="""","""",
   IF(F835&gt;0,
      INDEX(FILTER('RE Portfolio'!L$2:L2000,'RE Portfolio'!D$2:D2000=""BUY""), INT((ROW()-2)/amortYears)+1) - G835,
      INDEX(FILTER('RE Portfolio'!L$2:L2000,'RE Portfolio'!D$2:D2000=""BUY""), INT((ROW()-2)/amortYears)+1"&amp;")
   )
)
"),"")</f>
        <v/>
      </c>
      <c r="L835" s="15" t="str">
        <f>IFERROR(__xludf.DUMMYFUNCTION("IF(A835="""","""",
  INDEX(FILTER('RE Portfolio'!C$2:C2000,'RE Portfolio'!D$2:D2000=""BUY""), INT((ROW()-2)/amortYears)+1)
  * (1 + VALUE(Assumptions!$B$11))^(D835-1)
)
"),"")</f>
        <v/>
      </c>
    </row>
    <row r="836">
      <c r="A836" s="15" t="str">
        <f>IFERROR(__xludf.DUMMYFUNCTION("IFERROR(INDEX(FILTER('RE Portfolio'!A$2:A2000,'RE Portfolio'!D$2:D2000=""BUY""), INT((ROW()-2)/amortYears)+1), )
"),"")</f>
        <v/>
      </c>
      <c r="B836" s="15" t="str">
        <f>IFERROR(__xludf.DUMMYFUNCTION("IFERROR(INDEX(FILTER('RE Portfolio'!B$2:B2000,'RE Portfolio'!D$2:D2000=""BUY""), INT((ROW()-2)/amortYears)+1), )
"),"")</f>
        <v/>
      </c>
      <c r="C836" s="15" t="str">
        <f>IFERROR(__xludf.DUMMYFUNCTION("IFERROR(INDEX(FILTER('RE Portfolio'!G$2:G2000,'RE Portfolio'!D$2:D2000=""BUY""), INT((ROW()-2)/amortYears)+1), )
"),"")</f>
        <v/>
      </c>
      <c r="D836" s="15">
        <f>MOD(ROW()-2, amortYears)+1</f>
        <v>37</v>
      </c>
      <c r="E836" s="15" t="str">
        <f t="shared" si="1"/>
        <v/>
      </c>
      <c r="F836" s="15">
        <f t="shared" si="2"/>
        <v>0</v>
      </c>
      <c r="G836" s="15">
        <f>IF(D836&lt;=mortTerm, -PMT(mortRate/12, mortTerm*12, C836)*12, 0)
</f>
        <v>0</v>
      </c>
      <c r="H836" s="15">
        <f>IF(D836&lt;=mortTerm, G836 - I836, 0)
</f>
        <v>0</v>
      </c>
      <c r="I836" s="15">
        <f>IF(D836&lt;=mortTerm, F836 - J836, 0)
</f>
        <v>0</v>
      </c>
      <c r="J836" s="15">
        <f>IF(D836&lt;=mortTerm,
   F836*(1+mortRate/12)^12 - (-PMT(mortRate/12, mortTerm*12, C836))*(((1+mortRate/12)^12 - 1)/(mortRate/12)),
   0
)
</f>
        <v>0</v>
      </c>
      <c r="K836" s="13" t="str">
        <f>IFERROR(__xludf.DUMMYFUNCTION("IF(A836="""","""",
   IF(F836&gt;0,
      INDEX(FILTER('RE Portfolio'!L$2:L2000,'RE Portfolio'!D$2:D2000=""BUY""), INT((ROW()-2)/amortYears)+1) - G836,
      INDEX(FILTER('RE Portfolio'!L$2:L2000,'RE Portfolio'!D$2:D2000=""BUY""), INT((ROW()-2)/amortYears)+1"&amp;")
   )
)
"),"")</f>
        <v/>
      </c>
      <c r="L836" s="15" t="str">
        <f>IFERROR(__xludf.DUMMYFUNCTION("IF(A836="""","""",
  INDEX(FILTER('RE Portfolio'!C$2:C2000,'RE Portfolio'!D$2:D2000=""BUY""), INT((ROW()-2)/amortYears)+1)
  * (1 + VALUE(Assumptions!$B$11))^(D836-1)
)
"),"")</f>
        <v/>
      </c>
    </row>
    <row r="837">
      <c r="A837" s="15" t="str">
        <f>IFERROR(__xludf.DUMMYFUNCTION("IFERROR(INDEX(FILTER('RE Portfolio'!A$2:A2000,'RE Portfolio'!D$2:D2000=""BUY""), INT((ROW()-2)/amortYears)+1), )
"),"")</f>
        <v/>
      </c>
      <c r="B837" s="15" t="str">
        <f>IFERROR(__xludf.DUMMYFUNCTION("IFERROR(INDEX(FILTER('RE Portfolio'!B$2:B2000,'RE Portfolio'!D$2:D2000=""BUY""), INT((ROW()-2)/amortYears)+1), )
"),"")</f>
        <v/>
      </c>
      <c r="C837" s="15" t="str">
        <f>IFERROR(__xludf.DUMMYFUNCTION("IFERROR(INDEX(FILTER('RE Portfolio'!G$2:G2000,'RE Portfolio'!D$2:D2000=""BUY""), INT((ROW()-2)/amortYears)+1), )
"),"")</f>
        <v/>
      </c>
      <c r="D837" s="15">
        <f>MOD(ROW()-2, amortYears)+1</f>
        <v>38</v>
      </c>
      <c r="E837" s="15" t="str">
        <f t="shared" si="1"/>
        <v/>
      </c>
      <c r="F837" s="15">
        <f t="shared" si="2"/>
        <v>0</v>
      </c>
      <c r="G837" s="15">
        <f>IF(D837&lt;=mortTerm, -PMT(mortRate/12, mortTerm*12, C837)*12, 0)
</f>
        <v>0</v>
      </c>
      <c r="H837" s="15">
        <f>IF(D837&lt;=mortTerm, G837 - I837, 0)
</f>
        <v>0</v>
      </c>
      <c r="I837" s="15">
        <f>IF(D837&lt;=mortTerm, F837 - J837, 0)
</f>
        <v>0</v>
      </c>
      <c r="J837" s="15">
        <f>IF(D837&lt;=mortTerm,
   F837*(1+mortRate/12)^12 - (-PMT(mortRate/12, mortTerm*12, C837))*(((1+mortRate/12)^12 - 1)/(mortRate/12)),
   0
)
</f>
        <v>0</v>
      </c>
      <c r="K837" s="13" t="str">
        <f>IFERROR(__xludf.DUMMYFUNCTION("IF(A837="""","""",
   IF(F837&gt;0,
      INDEX(FILTER('RE Portfolio'!L$2:L2000,'RE Portfolio'!D$2:D2000=""BUY""), INT((ROW()-2)/amortYears)+1) - G837,
      INDEX(FILTER('RE Portfolio'!L$2:L2000,'RE Portfolio'!D$2:D2000=""BUY""), INT((ROW()-2)/amortYears)+1"&amp;")
   )
)
"),"")</f>
        <v/>
      </c>
      <c r="L837" s="15" t="str">
        <f>IFERROR(__xludf.DUMMYFUNCTION("IF(A837="""","""",
  INDEX(FILTER('RE Portfolio'!C$2:C2000,'RE Portfolio'!D$2:D2000=""BUY""), INT((ROW()-2)/amortYears)+1)
  * (1 + VALUE(Assumptions!$B$11))^(D837-1)
)
"),"")</f>
        <v/>
      </c>
    </row>
    <row r="838">
      <c r="A838" s="15" t="str">
        <f>IFERROR(__xludf.DUMMYFUNCTION("IFERROR(INDEX(FILTER('RE Portfolio'!A$2:A2000,'RE Portfolio'!D$2:D2000=""BUY""), INT((ROW()-2)/amortYears)+1), )
"),"")</f>
        <v/>
      </c>
      <c r="B838" s="15" t="str">
        <f>IFERROR(__xludf.DUMMYFUNCTION("IFERROR(INDEX(FILTER('RE Portfolio'!B$2:B2000,'RE Portfolio'!D$2:D2000=""BUY""), INT((ROW()-2)/amortYears)+1), )
"),"")</f>
        <v/>
      </c>
      <c r="C838" s="15" t="str">
        <f>IFERROR(__xludf.DUMMYFUNCTION("IFERROR(INDEX(FILTER('RE Portfolio'!G$2:G2000,'RE Portfolio'!D$2:D2000=""BUY""), INT((ROW()-2)/amortYears)+1), )
"),"")</f>
        <v/>
      </c>
      <c r="D838" s="15">
        <f>MOD(ROW()-2, amortYears)+1</f>
        <v>1</v>
      </c>
      <c r="E838" s="15" t="str">
        <f t="shared" si="1"/>
        <v/>
      </c>
      <c r="F838" s="15" t="str">
        <f t="shared" si="2"/>
        <v/>
      </c>
      <c r="G838" s="16">
        <f>IF(D838&lt;=mortTerm, -PMT(mortRate/12, mortTerm*12, C838)*12, 0)
</f>
        <v>0</v>
      </c>
      <c r="H838" s="16">
        <f>IF(D838&lt;=mortTerm, G838 - I838, 0)
</f>
        <v>0</v>
      </c>
      <c r="I838" s="16">
        <f>IF(D838&lt;=mortTerm, F838 - J838, 0)
</f>
        <v>0</v>
      </c>
      <c r="J838" s="16">
        <f>IF(D838&lt;=mortTerm,
   F838*(1+mortRate/12)^12 - (-PMT(mortRate/12, mortTerm*12, C838))*(((1+mortRate/12)^12 - 1)/(mortRate/12)),
   0
)
</f>
        <v>0</v>
      </c>
      <c r="K838" s="13" t="str">
        <f>IFERROR(__xludf.DUMMYFUNCTION("IF(A838="""","""",
   IF(F838&gt;0,
      INDEX(FILTER('RE Portfolio'!L$2:L2000,'RE Portfolio'!D$2:D2000=""BUY""), INT((ROW()-2)/amortYears)+1) - G838,
      INDEX(FILTER('RE Portfolio'!L$2:L2000,'RE Portfolio'!D$2:D2000=""BUY""), INT((ROW()-2)/amortYears)+1"&amp;")
   )
)
"),"")</f>
        <v/>
      </c>
      <c r="L838" s="15" t="str">
        <f>IFERROR(__xludf.DUMMYFUNCTION("IF(A838="""","""",
  INDEX(FILTER('RE Portfolio'!C$2:C2000,'RE Portfolio'!D$2:D2000=""BUY""), INT((ROW()-2)/amortYears)+1)
  * (1 + VALUE(Assumptions!$B$11))^(D838-1)
)
"),"")</f>
        <v/>
      </c>
    </row>
    <row r="839">
      <c r="A839" s="15" t="str">
        <f>IFERROR(__xludf.DUMMYFUNCTION("IFERROR(INDEX(FILTER('RE Portfolio'!A$2:A2000,'RE Portfolio'!D$2:D2000=""BUY""), INT((ROW()-2)/amortYears)+1), )
"),"")</f>
        <v/>
      </c>
      <c r="B839" s="15" t="str">
        <f>IFERROR(__xludf.DUMMYFUNCTION("IFERROR(INDEX(FILTER('RE Portfolio'!B$2:B2000,'RE Portfolio'!D$2:D2000=""BUY""), INT((ROW()-2)/amortYears)+1), )
"),"")</f>
        <v/>
      </c>
      <c r="C839" s="15" t="str">
        <f>IFERROR(__xludf.DUMMYFUNCTION("IFERROR(INDEX(FILTER('RE Portfolio'!G$2:G2000,'RE Portfolio'!D$2:D2000=""BUY""), INT((ROW()-2)/amortYears)+1), )
"),"")</f>
        <v/>
      </c>
      <c r="D839" s="15">
        <f>MOD(ROW()-2, amortYears)+1</f>
        <v>2</v>
      </c>
      <c r="E839" s="15" t="str">
        <f t="shared" si="1"/>
        <v/>
      </c>
      <c r="F839" s="16">
        <f t="shared" si="2"/>
        <v>0</v>
      </c>
      <c r="G839" s="16">
        <f>IF(D839&lt;=mortTerm, -PMT(mortRate/12, mortTerm*12, C839)*12, 0)
</f>
        <v>0</v>
      </c>
      <c r="H839" s="16">
        <f>IF(D839&lt;=mortTerm, G839 - I839, 0)
</f>
        <v>0</v>
      </c>
      <c r="I839" s="16">
        <f>IF(D839&lt;=mortTerm, F839 - J839, 0)
</f>
        <v>0</v>
      </c>
      <c r="J839" s="16">
        <f>IF(D839&lt;=mortTerm,
   F839*(1+mortRate/12)^12 - (-PMT(mortRate/12, mortTerm*12, C839))*(((1+mortRate/12)^12 - 1)/(mortRate/12)),
   0
)
</f>
        <v>0</v>
      </c>
      <c r="K839" s="13" t="str">
        <f>IFERROR(__xludf.DUMMYFUNCTION("IF(A839="""","""",
   IF(F839&gt;0,
      INDEX(FILTER('RE Portfolio'!L$2:L2000,'RE Portfolio'!D$2:D2000=""BUY""), INT((ROW()-2)/amortYears)+1) - G839,
      INDEX(FILTER('RE Portfolio'!L$2:L2000,'RE Portfolio'!D$2:D2000=""BUY""), INT((ROW()-2)/amortYears)+1"&amp;")
   )
)
"),"")</f>
        <v/>
      </c>
      <c r="L839" s="15" t="str">
        <f>IFERROR(__xludf.DUMMYFUNCTION("IF(A839="""","""",
  INDEX(FILTER('RE Portfolio'!C$2:C2000,'RE Portfolio'!D$2:D2000=""BUY""), INT((ROW()-2)/amortYears)+1)
  * (1 + VALUE(Assumptions!$B$11))^(D839-1)
)
"),"")</f>
        <v/>
      </c>
    </row>
    <row r="840">
      <c r="A840" s="15" t="str">
        <f>IFERROR(__xludf.DUMMYFUNCTION("IFERROR(INDEX(FILTER('RE Portfolio'!A$2:A2000,'RE Portfolio'!D$2:D2000=""BUY""), INT((ROW()-2)/amortYears)+1), )
"),"")</f>
        <v/>
      </c>
      <c r="B840" s="15" t="str">
        <f>IFERROR(__xludf.DUMMYFUNCTION("IFERROR(INDEX(FILTER('RE Portfolio'!B$2:B2000,'RE Portfolio'!D$2:D2000=""BUY""), INT((ROW()-2)/amortYears)+1), )
"),"")</f>
        <v/>
      </c>
      <c r="C840" s="15" t="str">
        <f>IFERROR(__xludf.DUMMYFUNCTION("IFERROR(INDEX(FILTER('RE Portfolio'!G$2:G2000,'RE Portfolio'!D$2:D2000=""BUY""), INT((ROW()-2)/amortYears)+1), )
"),"")</f>
        <v/>
      </c>
      <c r="D840" s="15">
        <f>MOD(ROW()-2, amortYears)+1</f>
        <v>3</v>
      </c>
      <c r="E840" s="15" t="str">
        <f t="shared" si="1"/>
        <v/>
      </c>
      <c r="F840" s="16">
        <f t="shared" si="2"/>
        <v>0</v>
      </c>
      <c r="G840" s="16">
        <f>IF(D840&lt;=mortTerm, -PMT(mortRate/12, mortTerm*12, C840)*12, 0)
</f>
        <v>0</v>
      </c>
      <c r="H840" s="16">
        <f>IF(D840&lt;=mortTerm, G840 - I840, 0)
</f>
        <v>0</v>
      </c>
      <c r="I840" s="16">
        <f>IF(D840&lt;=mortTerm, F840 - J840, 0)
</f>
        <v>0</v>
      </c>
      <c r="J840" s="16">
        <f>IF(D840&lt;=mortTerm,
   F840*(1+mortRate/12)^12 - (-PMT(mortRate/12, mortTerm*12, C840))*(((1+mortRate/12)^12 - 1)/(mortRate/12)),
   0
)
</f>
        <v>0</v>
      </c>
      <c r="K840" s="13" t="str">
        <f>IFERROR(__xludf.DUMMYFUNCTION("IF(A840="""","""",
   IF(F840&gt;0,
      INDEX(FILTER('RE Portfolio'!L$2:L2000,'RE Portfolio'!D$2:D2000=""BUY""), INT((ROW()-2)/amortYears)+1) - G840,
      INDEX(FILTER('RE Portfolio'!L$2:L2000,'RE Portfolio'!D$2:D2000=""BUY""), INT((ROW()-2)/amortYears)+1"&amp;")
   )
)
"),"")</f>
        <v/>
      </c>
      <c r="L840" s="15" t="str">
        <f>IFERROR(__xludf.DUMMYFUNCTION("IF(A840="""","""",
  INDEX(FILTER('RE Portfolio'!C$2:C2000,'RE Portfolio'!D$2:D2000=""BUY""), INT((ROW()-2)/amortYears)+1)
  * (1 + VALUE(Assumptions!$B$11))^(D840-1)
)
"),"")</f>
        <v/>
      </c>
    </row>
    <row r="841">
      <c r="A841" s="15" t="str">
        <f>IFERROR(__xludf.DUMMYFUNCTION("IFERROR(INDEX(FILTER('RE Portfolio'!A$2:A2000,'RE Portfolio'!D$2:D2000=""BUY""), INT((ROW()-2)/amortYears)+1), )
"),"")</f>
        <v/>
      </c>
      <c r="B841" s="15" t="str">
        <f>IFERROR(__xludf.DUMMYFUNCTION("IFERROR(INDEX(FILTER('RE Portfolio'!B$2:B2000,'RE Portfolio'!D$2:D2000=""BUY""), INT((ROW()-2)/amortYears)+1), )
"),"")</f>
        <v/>
      </c>
      <c r="C841" s="15" t="str">
        <f>IFERROR(__xludf.DUMMYFUNCTION("IFERROR(INDEX(FILTER('RE Portfolio'!G$2:G2000,'RE Portfolio'!D$2:D2000=""BUY""), INT((ROW()-2)/amortYears)+1), )
"),"")</f>
        <v/>
      </c>
      <c r="D841" s="15">
        <f>MOD(ROW()-2, amortYears)+1</f>
        <v>4</v>
      </c>
      <c r="E841" s="15" t="str">
        <f t="shared" si="1"/>
        <v/>
      </c>
      <c r="F841" s="16">
        <f t="shared" si="2"/>
        <v>0</v>
      </c>
      <c r="G841" s="16">
        <f>IF(D841&lt;=mortTerm, -PMT(mortRate/12, mortTerm*12, C841)*12, 0)
</f>
        <v>0</v>
      </c>
      <c r="H841" s="16">
        <f>IF(D841&lt;=mortTerm, G841 - I841, 0)
</f>
        <v>0</v>
      </c>
      <c r="I841" s="16">
        <f>IF(D841&lt;=mortTerm, F841 - J841, 0)
</f>
        <v>0</v>
      </c>
      <c r="J841" s="16">
        <f>IF(D841&lt;=mortTerm,
   F841*(1+mortRate/12)^12 - (-PMT(mortRate/12, mortTerm*12, C841))*(((1+mortRate/12)^12 - 1)/(mortRate/12)),
   0
)
</f>
        <v>0</v>
      </c>
      <c r="K841" s="13" t="str">
        <f>IFERROR(__xludf.DUMMYFUNCTION("IF(A841="""","""",
   IF(F841&gt;0,
      INDEX(FILTER('RE Portfolio'!L$2:L2000,'RE Portfolio'!D$2:D2000=""BUY""), INT((ROW()-2)/amortYears)+1) - G841,
      INDEX(FILTER('RE Portfolio'!L$2:L2000,'RE Portfolio'!D$2:D2000=""BUY""), INT((ROW()-2)/amortYears)+1"&amp;")
   )
)
"),"")</f>
        <v/>
      </c>
      <c r="L841" s="15" t="str">
        <f>IFERROR(__xludf.DUMMYFUNCTION("IF(A841="""","""",
  INDEX(FILTER('RE Portfolio'!C$2:C2000,'RE Portfolio'!D$2:D2000=""BUY""), INT((ROW()-2)/amortYears)+1)
  * (1 + VALUE(Assumptions!$B$11))^(D841-1)
)
"),"")</f>
        <v/>
      </c>
    </row>
    <row r="842">
      <c r="A842" s="15" t="str">
        <f>IFERROR(__xludf.DUMMYFUNCTION("IFERROR(INDEX(FILTER('RE Portfolio'!A$2:A2000,'RE Portfolio'!D$2:D2000=""BUY""), INT((ROW()-2)/amortYears)+1), )
"),"")</f>
        <v/>
      </c>
      <c r="B842" s="15" t="str">
        <f>IFERROR(__xludf.DUMMYFUNCTION("IFERROR(INDEX(FILTER('RE Portfolio'!B$2:B2000,'RE Portfolio'!D$2:D2000=""BUY""), INT((ROW()-2)/amortYears)+1), )
"),"")</f>
        <v/>
      </c>
      <c r="C842" s="15" t="str">
        <f>IFERROR(__xludf.DUMMYFUNCTION("IFERROR(INDEX(FILTER('RE Portfolio'!G$2:G2000,'RE Portfolio'!D$2:D2000=""BUY""), INT((ROW()-2)/amortYears)+1), )
"),"")</f>
        <v/>
      </c>
      <c r="D842" s="15">
        <f>MOD(ROW()-2, amortYears)+1</f>
        <v>5</v>
      </c>
      <c r="E842" s="15" t="str">
        <f t="shared" si="1"/>
        <v/>
      </c>
      <c r="F842" s="16">
        <f t="shared" si="2"/>
        <v>0</v>
      </c>
      <c r="G842" s="16">
        <f>IF(D842&lt;=mortTerm, -PMT(mortRate/12, mortTerm*12, C842)*12, 0)
</f>
        <v>0</v>
      </c>
      <c r="H842" s="16">
        <f>IF(D842&lt;=mortTerm, G842 - I842, 0)
</f>
        <v>0</v>
      </c>
      <c r="I842" s="16">
        <f>IF(D842&lt;=mortTerm, F842 - J842, 0)
</f>
        <v>0</v>
      </c>
      <c r="J842" s="16">
        <f>IF(D842&lt;=mortTerm,
   F842*(1+mortRate/12)^12 - (-PMT(mortRate/12, mortTerm*12, C842))*(((1+mortRate/12)^12 - 1)/(mortRate/12)),
   0
)
</f>
        <v>0</v>
      </c>
      <c r="K842" s="13" t="str">
        <f>IFERROR(__xludf.DUMMYFUNCTION("IF(A842="""","""",
   IF(F842&gt;0,
      INDEX(FILTER('RE Portfolio'!L$2:L2000,'RE Portfolio'!D$2:D2000=""BUY""), INT((ROW()-2)/amortYears)+1) - G842,
      INDEX(FILTER('RE Portfolio'!L$2:L2000,'RE Portfolio'!D$2:D2000=""BUY""), INT((ROW()-2)/amortYears)+1"&amp;")
   )
)
"),"")</f>
        <v/>
      </c>
      <c r="L842" s="15" t="str">
        <f>IFERROR(__xludf.DUMMYFUNCTION("IF(A842="""","""",
  INDEX(FILTER('RE Portfolio'!C$2:C2000,'RE Portfolio'!D$2:D2000=""BUY""), INT((ROW()-2)/amortYears)+1)
  * (1 + VALUE(Assumptions!$B$11))^(D842-1)
)
"),"")</f>
        <v/>
      </c>
    </row>
    <row r="843">
      <c r="A843" s="15" t="str">
        <f>IFERROR(__xludf.DUMMYFUNCTION("IFERROR(INDEX(FILTER('RE Portfolio'!A$2:A2000,'RE Portfolio'!D$2:D2000=""BUY""), INT((ROW()-2)/amortYears)+1), )
"),"")</f>
        <v/>
      </c>
      <c r="B843" s="15" t="str">
        <f>IFERROR(__xludf.DUMMYFUNCTION("IFERROR(INDEX(FILTER('RE Portfolio'!B$2:B2000,'RE Portfolio'!D$2:D2000=""BUY""), INT((ROW()-2)/amortYears)+1), )
"),"")</f>
        <v/>
      </c>
      <c r="C843" s="15" t="str">
        <f>IFERROR(__xludf.DUMMYFUNCTION("IFERROR(INDEX(FILTER('RE Portfolio'!G$2:G2000,'RE Portfolio'!D$2:D2000=""BUY""), INT((ROW()-2)/amortYears)+1), )
"),"")</f>
        <v/>
      </c>
      <c r="D843" s="15">
        <f>MOD(ROW()-2, amortYears)+1</f>
        <v>6</v>
      </c>
      <c r="E843" s="15" t="str">
        <f t="shared" si="1"/>
        <v/>
      </c>
      <c r="F843" s="16">
        <f t="shared" si="2"/>
        <v>0</v>
      </c>
      <c r="G843" s="16">
        <f>IF(D843&lt;=mortTerm, -PMT(mortRate/12, mortTerm*12, C843)*12, 0)
</f>
        <v>0</v>
      </c>
      <c r="H843" s="16">
        <f>IF(D843&lt;=mortTerm, G843 - I843, 0)
</f>
        <v>0</v>
      </c>
      <c r="I843" s="16">
        <f>IF(D843&lt;=mortTerm, F843 - J843, 0)
</f>
        <v>0</v>
      </c>
      <c r="J843" s="16">
        <f>IF(D843&lt;=mortTerm,
   F843*(1+mortRate/12)^12 - (-PMT(mortRate/12, mortTerm*12, C843))*(((1+mortRate/12)^12 - 1)/(mortRate/12)),
   0
)
</f>
        <v>0</v>
      </c>
      <c r="K843" s="13" t="str">
        <f>IFERROR(__xludf.DUMMYFUNCTION("IF(A843="""","""",
   IF(F843&gt;0,
      INDEX(FILTER('RE Portfolio'!L$2:L2000,'RE Portfolio'!D$2:D2000=""BUY""), INT((ROW()-2)/amortYears)+1) - G843,
      INDEX(FILTER('RE Portfolio'!L$2:L2000,'RE Portfolio'!D$2:D2000=""BUY""), INT((ROW()-2)/amortYears)+1"&amp;")
   )
)
"),"")</f>
        <v/>
      </c>
      <c r="L843" s="15" t="str">
        <f>IFERROR(__xludf.DUMMYFUNCTION("IF(A843="""","""",
  INDEX(FILTER('RE Portfolio'!C$2:C2000,'RE Portfolio'!D$2:D2000=""BUY""), INT((ROW()-2)/amortYears)+1)
  * (1 + VALUE(Assumptions!$B$11))^(D843-1)
)
"),"")</f>
        <v/>
      </c>
    </row>
    <row r="844">
      <c r="A844" s="15" t="str">
        <f>IFERROR(__xludf.DUMMYFUNCTION("IFERROR(INDEX(FILTER('RE Portfolio'!A$2:A2000,'RE Portfolio'!D$2:D2000=""BUY""), INT((ROW()-2)/amortYears)+1), )
"),"")</f>
        <v/>
      </c>
      <c r="B844" s="15" t="str">
        <f>IFERROR(__xludf.DUMMYFUNCTION("IFERROR(INDEX(FILTER('RE Portfolio'!B$2:B2000,'RE Portfolio'!D$2:D2000=""BUY""), INT((ROW()-2)/amortYears)+1), )
"),"")</f>
        <v/>
      </c>
      <c r="C844" s="15" t="str">
        <f>IFERROR(__xludf.DUMMYFUNCTION("IFERROR(INDEX(FILTER('RE Portfolio'!G$2:G2000,'RE Portfolio'!D$2:D2000=""BUY""), INT((ROW()-2)/amortYears)+1), )
"),"")</f>
        <v/>
      </c>
      <c r="D844" s="15">
        <f>MOD(ROW()-2, amortYears)+1</f>
        <v>7</v>
      </c>
      <c r="E844" s="15" t="str">
        <f t="shared" si="1"/>
        <v/>
      </c>
      <c r="F844" s="16">
        <f t="shared" si="2"/>
        <v>0</v>
      </c>
      <c r="G844" s="16">
        <f>IF(D844&lt;=mortTerm, -PMT(mortRate/12, mortTerm*12, C844)*12, 0)
</f>
        <v>0</v>
      </c>
      <c r="H844" s="16">
        <f>IF(D844&lt;=mortTerm, G844 - I844, 0)
</f>
        <v>0</v>
      </c>
      <c r="I844" s="16">
        <f>IF(D844&lt;=mortTerm, F844 - J844, 0)
</f>
        <v>0</v>
      </c>
      <c r="J844" s="16">
        <f>IF(D844&lt;=mortTerm,
   F844*(1+mortRate/12)^12 - (-PMT(mortRate/12, mortTerm*12, C844))*(((1+mortRate/12)^12 - 1)/(mortRate/12)),
   0
)
</f>
        <v>0</v>
      </c>
      <c r="K844" s="13" t="str">
        <f>IFERROR(__xludf.DUMMYFUNCTION("IF(A844="""","""",
   IF(F844&gt;0,
      INDEX(FILTER('RE Portfolio'!L$2:L2000,'RE Portfolio'!D$2:D2000=""BUY""), INT((ROW()-2)/amortYears)+1) - G844,
      INDEX(FILTER('RE Portfolio'!L$2:L2000,'RE Portfolio'!D$2:D2000=""BUY""), INT((ROW()-2)/amortYears)+1"&amp;")
   )
)
"),"")</f>
        <v/>
      </c>
      <c r="L844" s="15" t="str">
        <f>IFERROR(__xludf.DUMMYFUNCTION("IF(A844="""","""",
  INDEX(FILTER('RE Portfolio'!C$2:C2000,'RE Portfolio'!D$2:D2000=""BUY""), INT((ROW()-2)/amortYears)+1)
  * (1 + VALUE(Assumptions!$B$11))^(D844-1)
)
"),"")</f>
        <v/>
      </c>
    </row>
    <row r="845">
      <c r="A845" s="15" t="str">
        <f>IFERROR(__xludf.DUMMYFUNCTION("IFERROR(INDEX(FILTER('RE Portfolio'!A$2:A2000,'RE Portfolio'!D$2:D2000=""BUY""), INT((ROW()-2)/amortYears)+1), )
"),"")</f>
        <v/>
      </c>
      <c r="B845" s="15" t="str">
        <f>IFERROR(__xludf.DUMMYFUNCTION("IFERROR(INDEX(FILTER('RE Portfolio'!B$2:B2000,'RE Portfolio'!D$2:D2000=""BUY""), INT((ROW()-2)/amortYears)+1), )
"),"")</f>
        <v/>
      </c>
      <c r="C845" s="15" t="str">
        <f>IFERROR(__xludf.DUMMYFUNCTION("IFERROR(INDEX(FILTER('RE Portfolio'!G$2:G2000,'RE Portfolio'!D$2:D2000=""BUY""), INT((ROW()-2)/amortYears)+1), )
"),"")</f>
        <v/>
      </c>
      <c r="D845" s="15">
        <f>MOD(ROW()-2, amortYears)+1</f>
        <v>8</v>
      </c>
      <c r="E845" s="15" t="str">
        <f t="shared" si="1"/>
        <v/>
      </c>
      <c r="F845" s="16">
        <f t="shared" si="2"/>
        <v>0</v>
      </c>
      <c r="G845" s="16">
        <f>IF(D845&lt;=mortTerm, -PMT(mortRate/12, mortTerm*12, C845)*12, 0)
</f>
        <v>0</v>
      </c>
      <c r="H845" s="16">
        <f>IF(D845&lt;=mortTerm, G845 - I845, 0)
</f>
        <v>0</v>
      </c>
      <c r="I845" s="16">
        <f>IF(D845&lt;=mortTerm, F845 - J845, 0)
</f>
        <v>0</v>
      </c>
      <c r="J845" s="16">
        <f>IF(D845&lt;=mortTerm,
   F845*(1+mortRate/12)^12 - (-PMT(mortRate/12, mortTerm*12, C845))*(((1+mortRate/12)^12 - 1)/(mortRate/12)),
   0
)
</f>
        <v>0</v>
      </c>
      <c r="K845" s="13" t="str">
        <f>IFERROR(__xludf.DUMMYFUNCTION("IF(A845="""","""",
   IF(F845&gt;0,
      INDEX(FILTER('RE Portfolio'!L$2:L2000,'RE Portfolio'!D$2:D2000=""BUY""), INT((ROW()-2)/amortYears)+1) - G845,
      INDEX(FILTER('RE Portfolio'!L$2:L2000,'RE Portfolio'!D$2:D2000=""BUY""), INT((ROW()-2)/amortYears)+1"&amp;")
   )
)
"),"")</f>
        <v/>
      </c>
      <c r="L845" s="15" t="str">
        <f>IFERROR(__xludf.DUMMYFUNCTION("IF(A845="""","""",
  INDEX(FILTER('RE Portfolio'!C$2:C2000,'RE Portfolio'!D$2:D2000=""BUY""), INT((ROW()-2)/amortYears)+1)
  * (1 + VALUE(Assumptions!$B$11))^(D845-1)
)
"),"")</f>
        <v/>
      </c>
    </row>
    <row r="846">
      <c r="A846" s="15" t="str">
        <f>IFERROR(__xludf.DUMMYFUNCTION("IFERROR(INDEX(FILTER('RE Portfolio'!A$2:A2000,'RE Portfolio'!D$2:D2000=""BUY""), INT((ROW()-2)/amortYears)+1), )
"),"")</f>
        <v/>
      </c>
      <c r="B846" s="15" t="str">
        <f>IFERROR(__xludf.DUMMYFUNCTION("IFERROR(INDEX(FILTER('RE Portfolio'!B$2:B2000,'RE Portfolio'!D$2:D2000=""BUY""), INT((ROW()-2)/amortYears)+1), )
"),"")</f>
        <v/>
      </c>
      <c r="C846" s="15" t="str">
        <f>IFERROR(__xludf.DUMMYFUNCTION("IFERROR(INDEX(FILTER('RE Portfolio'!G$2:G2000,'RE Portfolio'!D$2:D2000=""BUY""), INT((ROW()-2)/amortYears)+1), )
"),"")</f>
        <v/>
      </c>
      <c r="D846" s="15">
        <f>MOD(ROW()-2, amortYears)+1</f>
        <v>9</v>
      </c>
      <c r="E846" s="15" t="str">
        <f t="shared" si="1"/>
        <v/>
      </c>
      <c r="F846" s="16">
        <f t="shared" si="2"/>
        <v>0</v>
      </c>
      <c r="G846" s="16">
        <f>IF(D846&lt;=mortTerm, -PMT(mortRate/12, mortTerm*12, C846)*12, 0)
</f>
        <v>0</v>
      </c>
      <c r="H846" s="16">
        <f>IF(D846&lt;=mortTerm, G846 - I846, 0)
</f>
        <v>0</v>
      </c>
      <c r="I846" s="16">
        <f>IF(D846&lt;=mortTerm, F846 - J846, 0)
</f>
        <v>0</v>
      </c>
      <c r="J846" s="16">
        <f>IF(D846&lt;=mortTerm,
   F846*(1+mortRate/12)^12 - (-PMT(mortRate/12, mortTerm*12, C846))*(((1+mortRate/12)^12 - 1)/(mortRate/12)),
   0
)
</f>
        <v>0</v>
      </c>
      <c r="K846" s="13" t="str">
        <f>IFERROR(__xludf.DUMMYFUNCTION("IF(A846="""","""",
   IF(F846&gt;0,
      INDEX(FILTER('RE Portfolio'!L$2:L2000,'RE Portfolio'!D$2:D2000=""BUY""), INT((ROW()-2)/amortYears)+1) - G846,
      INDEX(FILTER('RE Portfolio'!L$2:L2000,'RE Portfolio'!D$2:D2000=""BUY""), INT((ROW()-2)/amortYears)+1"&amp;")
   )
)
"),"")</f>
        <v/>
      </c>
      <c r="L846" s="15" t="str">
        <f>IFERROR(__xludf.DUMMYFUNCTION("IF(A846="""","""",
  INDEX(FILTER('RE Portfolio'!C$2:C2000,'RE Portfolio'!D$2:D2000=""BUY""), INT((ROW()-2)/amortYears)+1)
  * (1 + VALUE(Assumptions!$B$11))^(D846-1)
)
"),"")</f>
        <v/>
      </c>
    </row>
    <row r="847">
      <c r="A847" s="15" t="str">
        <f>IFERROR(__xludf.DUMMYFUNCTION("IFERROR(INDEX(FILTER('RE Portfolio'!A$2:A2000,'RE Portfolio'!D$2:D2000=""BUY""), INT((ROW()-2)/amortYears)+1), )
"),"")</f>
        <v/>
      </c>
      <c r="B847" s="15" t="str">
        <f>IFERROR(__xludf.DUMMYFUNCTION("IFERROR(INDEX(FILTER('RE Portfolio'!B$2:B2000,'RE Portfolio'!D$2:D2000=""BUY""), INT((ROW()-2)/amortYears)+1), )
"),"")</f>
        <v/>
      </c>
      <c r="C847" s="15" t="str">
        <f>IFERROR(__xludf.DUMMYFUNCTION("IFERROR(INDEX(FILTER('RE Portfolio'!G$2:G2000,'RE Portfolio'!D$2:D2000=""BUY""), INT((ROW()-2)/amortYears)+1), )
"),"")</f>
        <v/>
      </c>
      <c r="D847" s="15">
        <f>MOD(ROW()-2, amortYears)+1</f>
        <v>10</v>
      </c>
      <c r="E847" s="15" t="str">
        <f t="shared" si="1"/>
        <v/>
      </c>
      <c r="F847" s="16">
        <f t="shared" si="2"/>
        <v>0</v>
      </c>
      <c r="G847" s="16">
        <f>IF(D847&lt;=mortTerm, -PMT(mortRate/12, mortTerm*12, C847)*12, 0)
</f>
        <v>0</v>
      </c>
      <c r="H847" s="16">
        <f>IF(D847&lt;=mortTerm, G847 - I847, 0)
</f>
        <v>0</v>
      </c>
      <c r="I847" s="16">
        <f>IF(D847&lt;=mortTerm, F847 - J847, 0)
</f>
        <v>0</v>
      </c>
      <c r="J847" s="16">
        <f>IF(D847&lt;=mortTerm,
   F847*(1+mortRate/12)^12 - (-PMT(mortRate/12, mortTerm*12, C847))*(((1+mortRate/12)^12 - 1)/(mortRate/12)),
   0
)
</f>
        <v>0</v>
      </c>
      <c r="K847" s="13" t="str">
        <f>IFERROR(__xludf.DUMMYFUNCTION("IF(A847="""","""",
   IF(F847&gt;0,
      INDEX(FILTER('RE Portfolio'!L$2:L2000,'RE Portfolio'!D$2:D2000=""BUY""), INT((ROW()-2)/amortYears)+1) - G847,
      INDEX(FILTER('RE Portfolio'!L$2:L2000,'RE Portfolio'!D$2:D2000=""BUY""), INT((ROW()-2)/amortYears)+1"&amp;")
   )
)
"),"")</f>
        <v/>
      </c>
      <c r="L847" s="15" t="str">
        <f>IFERROR(__xludf.DUMMYFUNCTION("IF(A847="""","""",
  INDEX(FILTER('RE Portfolio'!C$2:C2000,'RE Portfolio'!D$2:D2000=""BUY""), INT((ROW()-2)/amortYears)+1)
  * (1 + VALUE(Assumptions!$B$11))^(D847-1)
)
"),"")</f>
        <v/>
      </c>
    </row>
    <row r="848">
      <c r="A848" s="15" t="str">
        <f>IFERROR(__xludf.DUMMYFUNCTION("IFERROR(INDEX(FILTER('RE Portfolio'!A$2:A2000,'RE Portfolio'!D$2:D2000=""BUY""), INT((ROW()-2)/amortYears)+1), )
"),"")</f>
        <v/>
      </c>
      <c r="B848" s="15" t="str">
        <f>IFERROR(__xludf.DUMMYFUNCTION("IFERROR(INDEX(FILTER('RE Portfolio'!B$2:B2000,'RE Portfolio'!D$2:D2000=""BUY""), INT((ROW()-2)/amortYears)+1), )
"),"")</f>
        <v/>
      </c>
      <c r="C848" s="15" t="str">
        <f>IFERROR(__xludf.DUMMYFUNCTION("IFERROR(INDEX(FILTER('RE Portfolio'!G$2:G2000,'RE Portfolio'!D$2:D2000=""BUY""), INT((ROW()-2)/amortYears)+1), )
"),"")</f>
        <v/>
      </c>
      <c r="D848" s="15">
        <f>MOD(ROW()-2, amortYears)+1</f>
        <v>11</v>
      </c>
      <c r="E848" s="15" t="str">
        <f t="shared" si="1"/>
        <v/>
      </c>
      <c r="F848" s="16">
        <f t="shared" si="2"/>
        <v>0</v>
      </c>
      <c r="G848" s="16">
        <f>IF(D848&lt;=mortTerm, -PMT(mortRate/12, mortTerm*12, C848)*12, 0)
</f>
        <v>0</v>
      </c>
      <c r="H848" s="16">
        <f>IF(D848&lt;=mortTerm, G848 - I848, 0)
</f>
        <v>0</v>
      </c>
      <c r="I848" s="16">
        <f>IF(D848&lt;=mortTerm, F848 - J848, 0)
</f>
        <v>0</v>
      </c>
      <c r="J848" s="16">
        <f>IF(D848&lt;=mortTerm,
   F848*(1+mortRate/12)^12 - (-PMT(mortRate/12, mortTerm*12, C848))*(((1+mortRate/12)^12 - 1)/(mortRate/12)),
   0
)
</f>
        <v>0</v>
      </c>
      <c r="K848" s="13" t="str">
        <f>IFERROR(__xludf.DUMMYFUNCTION("IF(A848="""","""",
   IF(F848&gt;0,
      INDEX(FILTER('RE Portfolio'!L$2:L2000,'RE Portfolio'!D$2:D2000=""BUY""), INT((ROW()-2)/amortYears)+1) - G848,
      INDEX(FILTER('RE Portfolio'!L$2:L2000,'RE Portfolio'!D$2:D2000=""BUY""), INT((ROW()-2)/amortYears)+1"&amp;")
   )
)
"),"")</f>
        <v/>
      </c>
      <c r="L848" s="15" t="str">
        <f>IFERROR(__xludf.DUMMYFUNCTION("IF(A848="""","""",
  INDEX(FILTER('RE Portfolio'!C$2:C2000,'RE Portfolio'!D$2:D2000=""BUY""), INT((ROW()-2)/amortYears)+1)
  * (1 + VALUE(Assumptions!$B$11))^(D848-1)
)
"),"")</f>
        <v/>
      </c>
    </row>
    <row r="849">
      <c r="A849" s="15" t="str">
        <f>IFERROR(__xludf.DUMMYFUNCTION("IFERROR(INDEX(FILTER('RE Portfolio'!A$2:A2000,'RE Portfolio'!D$2:D2000=""BUY""), INT((ROW()-2)/amortYears)+1), )
"),"")</f>
        <v/>
      </c>
      <c r="B849" s="15" t="str">
        <f>IFERROR(__xludf.DUMMYFUNCTION("IFERROR(INDEX(FILTER('RE Portfolio'!B$2:B2000,'RE Portfolio'!D$2:D2000=""BUY""), INT((ROW()-2)/amortYears)+1), )
"),"")</f>
        <v/>
      </c>
      <c r="C849" s="15" t="str">
        <f>IFERROR(__xludf.DUMMYFUNCTION("IFERROR(INDEX(FILTER('RE Portfolio'!G$2:G2000,'RE Portfolio'!D$2:D2000=""BUY""), INT((ROW()-2)/amortYears)+1), )
"),"")</f>
        <v/>
      </c>
      <c r="D849" s="15">
        <f>MOD(ROW()-2, amortYears)+1</f>
        <v>12</v>
      </c>
      <c r="E849" s="15" t="str">
        <f t="shared" si="1"/>
        <v/>
      </c>
      <c r="F849" s="16">
        <f t="shared" si="2"/>
        <v>0</v>
      </c>
      <c r="G849" s="16">
        <f>IF(D849&lt;=mortTerm, -PMT(mortRate/12, mortTerm*12, C849)*12, 0)
</f>
        <v>0</v>
      </c>
      <c r="H849" s="16">
        <f>IF(D849&lt;=mortTerm, G849 - I849, 0)
</f>
        <v>0</v>
      </c>
      <c r="I849" s="16">
        <f>IF(D849&lt;=mortTerm, F849 - J849, 0)
</f>
        <v>0</v>
      </c>
      <c r="J849" s="16">
        <f>IF(D849&lt;=mortTerm,
   F849*(1+mortRate/12)^12 - (-PMT(mortRate/12, mortTerm*12, C849))*(((1+mortRate/12)^12 - 1)/(mortRate/12)),
   0
)
</f>
        <v>0</v>
      </c>
      <c r="K849" s="13" t="str">
        <f>IFERROR(__xludf.DUMMYFUNCTION("IF(A849="""","""",
   IF(F849&gt;0,
      INDEX(FILTER('RE Portfolio'!L$2:L2000,'RE Portfolio'!D$2:D2000=""BUY""), INT((ROW()-2)/amortYears)+1) - G849,
      INDEX(FILTER('RE Portfolio'!L$2:L2000,'RE Portfolio'!D$2:D2000=""BUY""), INT((ROW()-2)/amortYears)+1"&amp;")
   )
)
"),"")</f>
        <v/>
      </c>
      <c r="L849" s="15" t="str">
        <f>IFERROR(__xludf.DUMMYFUNCTION("IF(A849="""","""",
  INDEX(FILTER('RE Portfolio'!C$2:C2000,'RE Portfolio'!D$2:D2000=""BUY""), INT((ROW()-2)/amortYears)+1)
  * (1 + VALUE(Assumptions!$B$11))^(D849-1)
)
"),"")</f>
        <v/>
      </c>
    </row>
    <row r="850">
      <c r="A850" s="15" t="str">
        <f>IFERROR(__xludf.DUMMYFUNCTION("IFERROR(INDEX(FILTER('RE Portfolio'!A$2:A2000,'RE Portfolio'!D$2:D2000=""BUY""), INT((ROW()-2)/amortYears)+1), )
"),"")</f>
        <v/>
      </c>
      <c r="B850" s="15" t="str">
        <f>IFERROR(__xludf.DUMMYFUNCTION("IFERROR(INDEX(FILTER('RE Portfolio'!B$2:B2000,'RE Portfolio'!D$2:D2000=""BUY""), INT((ROW()-2)/amortYears)+1), )
"),"")</f>
        <v/>
      </c>
      <c r="C850" s="15" t="str">
        <f>IFERROR(__xludf.DUMMYFUNCTION("IFERROR(INDEX(FILTER('RE Portfolio'!G$2:G2000,'RE Portfolio'!D$2:D2000=""BUY""), INT((ROW()-2)/amortYears)+1), )
"),"")</f>
        <v/>
      </c>
      <c r="D850" s="15">
        <f>MOD(ROW()-2, amortYears)+1</f>
        <v>13</v>
      </c>
      <c r="E850" s="15" t="str">
        <f t="shared" si="1"/>
        <v/>
      </c>
      <c r="F850" s="16">
        <f t="shared" si="2"/>
        <v>0</v>
      </c>
      <c r="G850" s="16">
        <f>IF(D850&lt;=mortTerm, -PMT(mortRate/12, mortTerm*12, C850)*12, 0)
</f>
        <v>0</v>
      </c>
      <c r="H850" s="16">
        <f>IF(D850&lt;=mortTerm, G850 - I850, 0)
</f>
        <v>0</v>
      </c>
      <c r="I850" s="16">
        <f>IF(D850&lt;=mortTerm, F850 - J850, 0)
</f>
        <v>0</v>
      </c>
      <c r="J850" s="16">
        <f>IF(D850&lt;=mortTerm,
   F850*(1+mortRate/12)^12 - (-PMT(mortRate/12, mortTerm*12, C850))*(((1+mortRate/12)^12 - 1)/(mortRate/12)),
   0
)
</f>
        <v>0</v>
      </c>
      <c r="K850" s="13" t="str">
        <f>IFERROR(__xludf.DUMMYFUNCTION("IF(A850="""","""",
   IF(F850&gt;0,
      INDEX(FILTER('RE Portfolio'!L$2:L2000,'RE Portfolio'!D$2:D2000=""BUY""), INT((ROW()-2)/amortYears)+1) - G850,
      INDEX(FILTER('RE Portfolio'!L$2:L2000,'RE Portfolio'!D$2:D2000=""BUY""), INT((ROW()-2)/amortYears)+1"&amp;")
   )
)
"),"")</f>
        <v/>
      </c>
      <c r="L850" s="15" t="str">
        <f>IFERROR(__xludf.DUMMYFUNCTION("IF(A850="""","""",
  INDEX(FILTER('RE Portfolio'!C$2:C2000,'RE Portfolio'!D$2:D2000=""BUY""), INT((ROW()-2)/amortYears)+1)
  * (1 + VALUE(Assumptions!$B$11))^(D850-1)
)
"),"")</f>
        <v/>
      </c>
    </row>
    <row r="851">
      <c r="A851" s="15" t="str">
        <f>IFERROR(__xludf.DUMMYFUNCTION("IFERROR(INDEX(FILTER('RE Portfolio'!A$2:A2000,'RE Portfolio'!D$2:D2000=""BUY""), INT((ROW()-2)/amortYears)+1), )
"),"")</f>
        <v/>
      </c>
      <c r="B851" s="15" t="str">
        <f>IFERROR(__xludf.DUMMYFUNCTION("IFERROR(INDEX(FILTER('RE Portfolio'!B$2:B2000,'RE Portfolio'!D$2:D2000=""BUY""), INT((ROW()-2)/amortYears)+1), )
"),"")</f>
        <v/>
      </c>
      <c r="C851" s="15" t="str">
        <f>IFERROR(__xludf.DUMMYFUNCTION("IFERROR(INDEX(FILTER('RE Portfolio'!G$2:G2000,'RE Portfolio'!D$2:D2000=""BUY""), INT((ROW()-2)/amortYears)+1), )
"),"")</f>
        <v/>
      </c>
      <c r="D851" s="15">
        <f>MOD(ROW()-2, amortYears)+1</f>
        <v>14</v>
      </c>
      <c r="E851" s="15" t="str">
        <f t="shared" si="1"/>
        <v/>
      </c>
      <c r="F851" s="16">
        <f t="shared" si="2"/>
        <v>0</v>
      </c>
      <c r="G851" s="16">
        <f>IF(D851&lt;=mortTerm, -PMT(mortRate/12, mortTerm*12, C851)*12, 0)
</f>
        <v>0</v>
      </c>
      <c r="H851" s="16">
        <f>IF(D851&lt;=mortTerm, G851 - I851, 0)
</f>
        <v>0</v>
      </c>
      <c r="I851" s="16">
        <f>IF(D851&lt;=mortTerm, F851 - J851, 0)
</f>
        <v>0</v>
      </c>
      <c r="J851" s="16">
        <f>IF(D851&lt;=mortTerm,
   F851*(1+mortRate/12)^12 - (-PMT(mortRate/12, mortTerm*12, C851))*(((1+mortRate/12)^12 - 1)/(mortRate/12)),
   0
)
</f>
        <v>0</v>
      </c>
      <c r="K851" s="13" t="str">
        <f>IFERROR(__xludf.DUMMYFUNCTION("IF(A851="""","""",
   IF(F851&gt;0,
      INDEX(FILTER('RE Portfolio'!L$2:L2000,'RE Portfolio'!D$2:D2000=""BUY""), INT((ROW()-2)/amortYears)+1) - G851,
      INDEX(FILTER('RE Portfolio'!L$2:L2000,'RE Portfolio'!D$2:D2000=""BUY""), INT((ROW()-2)/amortYears)+1"&amp;")
   )
)
"),"")</f>
        <v/>
      </c>
      <c r="L851" s="15" t="str">
        <f>IFERROR(__xludf.DUMMYFUNCTION("IF(A851="""","""",
  INDEX(FILTER('RE Portfolio'!C$2:C2000,'RE Portfolio'!D$2:D2000=""BUY""), INT((ROW()-2)/amortYears)+1)
  * (1 + VALUE(Assumptions!$B$11))^(D851-1)
)
"),"")</f>
        <v/>
      </c>
    </row>
    <row r="852">
      <c r="A852" s="15" t="str">
        <f>IFERROR(__xludf.DUMMYFUNCTION("IFERROR(INDEX(FILTER('RE Portfolio'!A$2:A2000,'RE Portfolio'!D$2:D2000=""BUY""), INT((ROW()-2)/amortYears)+1), )
"),"")</f>
        <v/>
      </c>
      <c r="B852" s="15" t="str">
        <f>IFERROR(__xludf.DUMMYFUNCTION("IFERROR(INDEX(FILTER('RE Portfolio'!B$2:B2000,'RE Portfolio'!D$2:D2000=""BUY""), INT((ROW()-2)/amortYears)+1), )
"),"")</f>
        <v/>
      </c>
      <c r="C852" s="15" t="str">
        <f>IFERROR(__xludf.DUMMYFUNCTION("IFERROR(INDEX(FILTER('RE Portfolio'!G$2:G2000,'RE Portfolio'!D$2:D2000=""BUY""), INT((ROW()-2)/amortYears)+1), )
"),"")</f>
        <v/>
      </c>
      <c r="D852" s="15">
        <f>MOD(ROW()-2, amortYears)+1</f>
        <v>15</v>
      </c>
      <c r="E852" s="15" t="str">
        <f t="shared" si="1"/>
        <v/>
      </c>
      <c r="F852" s="16">
        <f t="shared" si="2"/>
        <v>0</v>
      </c>
      <c r="G852" s="16">
        <f>IF(D852&lt;=mortTerm, -PMT(mortRate/12, mortTerm*12, C852)*12, 0)
</f>
        <v>0</v>
      </c>
      <c r="H852" s="16">
        <f>IF(D852&lt;=mortTerm, G852 - I852, 0)
</f>
        <v>0</v>
      </c>
      <c r="I852" s="16">
        <f>IF(D852&lt;=mortTerm, F852 - J852, 0)
</f>
        <v>0</v>
      </c>
      <c r="J852" s="16">
        <f>IF(D852&lt;=mortTerm,
   F852*(1+mortRate/12)^12 - (-PMT(mortRate/12, mortTerm*12, C852))*(((1+mortRate/12)^12 - 1)/(mortRate/12)),
   0
)
</f>
        <v>0</v>
      </c>
      <c r="K852" s="13" t="str">
        <f>IFERROR(__xludf.DUMMYFUNCTION("IF(A852="""","""",
   IF(F852&gt;0,
      INDEX(FILTER('RE Portfolio'!L$2:L2000,'RE Portfolio'!D$2:D2000=""BUY""), INT((ROW()-2)/amortYears)+1) - G852,
      INDEX(FILTER('RE Portfolio'!L$2:L2000,'RE Portfolio'!D$2:D2000=""BUY""), INT((ROW()-2)/amortYears)+1"&amp;")
   )
)
"),"")</f>
        <v/>
      </c>
      <c r="L852" s="15" t="str">
        <f>IFERROR(__xludf.DUMMYFUNCTION("IF(A852="""","""",
  INDEX(FILTER('RE Portfolio'!C$2:C2000,'RE Portfolio'!D$2:D2000=""BUY""), INT((ROW()-2)/amortYears)+1)
  * (1 + VALUE(Assumptions!$B$11))^(D852-1)
)
"),"")</f>
        <v/>
      </c>
    </row>
    <row r="853">
      <c r="A853" s="15" t="str">
        <f>IFERROR(__xludf.DUMMYFUNCTION("IFERROR(INDEX(FILTER('RE Portfolio'!A$2:A2000,'RE Portfolio'!D$2:D2000=""BUY""), INT((ROW()-2)/amortYears)+1), )
"),"")</f>
        <v/>
      </c>
      <c r="B853" s="15" t="str">
        <f>IFERROR(__xludf.DUMMYFUNCTION("IFERROR(INDEX(FILTER('RE Portfolio'!B$2:B2000,'RE Portfolio'!D$2:D2000=""BUY""), INT((ROW()-2)/amortYears)+1), )
"),"")</f>
        <v/>
      </c>
      <c r="C853" s="15" t="str">
        <f>IFERROR(__xludf.DUMMYFUNCTION("IFERROR(INDEX(FILTER('RE Portfolio'!G$2:G2000,'RE Portfolio'!D$2:D2000=""BUY""), INT((ROW()-2)/amortYears)+1), )
"),"")</f>
        <v/>
      </c>
      <c r="D853" s="15">
        <f>MOD(ROW()-2, amortYears)+1</f>
        <v>16</v>
      </c>
      <c r="E853" s="15" t="str">
        <f t="shared" si="1"/>
        <v/>
      </c>
      <c r="F853" s="16">
        <f t="shared" si="2"/>
        <v>0</v>
      </c>
      <c r="G853" s="16">
        <f>IF(D853&lt;=mortTerm, -PMT(mortRate/12, mortTerm*12, C853)*12, 0)
</f>
        <v>0</v>
      </c>
      <c r="H853" s="16">
        <f>IF(D853&lt;=mortTerm, G853 - I853, 0)
</f>
        <v>0</v>
      </c>
      <c r="I853" s="16">
        <f>IF(D853&lt;=mortTerm, F853 - J853, 0)
</f>
        <v>0</v>
      </c>
      <c r="J853" s="16">
        <f>IF(D853&lt;=mortTerm,
   F853*(1+mortRate/12)^12 - (-PMT(mortRate/12, mortTerm*12, C853))*(((1+mortRate/12)^12 - 1)/(mortRate/12)),
   0
)
</f>
        <v>0</v>
      </c>
      <c r="K853" s="13" t="str">
        <f>IFERROR(__xludf.DUMMYFUNCTION("IF(A853="""","""",
   IF(F853&gt;0,
      INDEX(FILTER('RE Portfolio'!L$2:L2000,'RE Portfolio'!D$2:D2000=""BUY""), INT((ROW()-2)/amortYears)+1) - G853,
      INDEX(FILTER('RE Portfolio'!L$2:L2000,'RE Portfolio'!D$2:D2000=""BUY""), INT((ROW()-2)/amortYears)+1"&amp;")
   )
)
"),"")</f>
        <v/>
      </c>
      <c r="L853" s="15" t="str">
        <f>IFERROR(__xludf.DUMMYFUNCTION("IF(A853="""","""",
  INDEX(FILTER('RE Portfolio'!C$2:C2000,'RE Portfolio'!D$2:D2000=""BUY""), INT((ROW()-2)/amortYears)+1)
  * (1 + VALUE(Assumptions!$B$11))^(D853-1)
)
"),"")</f>
        <v/>
      </c>
    </row>
    <row r="854">
      <c r="A854" s="15" t="str">
        <f>IFERROR(__xludf.DUMMYFUNCTION("IFERROR(INDEX(FILTER('RE Portfolio'!A$2:A2000,'RE Portfolio'!D$2:D2000=""BUY""), INT((ROW()-2)/amortYears)+1), )
"),"")</f>
        <v/>
      </c>
      <c r="B854" s="15" t="str">
        <f>IFERROR(__xludf.DUMMYFUNCTION("IFERROR(INDEX(FILTER('RE Portfolio'!B$2:B2000,'RE Portfolio'!D$2:D2000=""BUY""), INT((ROW()-2)/amortYears)+1), )
"),"")</f>
        <v/>
      </c>
      <c r="C854" s="15" t="str">
        <f>IFERROR(__xludf.DUMMYFUNCTION("IFERROR(INDEX(FILTER('RE Portfolio'!G$2:G2000,'RE Portfolio'!D$2:D2000=""BUY""), INT((ROW()-2)/amortYears)+1), )
"),"")</f>
        <v/>
      </c>
      <c r="D854" s="15">
        <f>MOD(ROW()-2, amortYears)+1</f>
        <v>17</v>
      </c>
      <c r="E854" s="15" t="str">
        <f t="shared" si="1"/>
        <v/>
      </c>
      <c r="F854" s="16">
        <f t="shared" si="2"/>
        <v>0</v>
      </c>
      <c r="G854" s="16">
        <f>IF(D854&lt;=mortTerm, -PMT(mortRate/12, mortTerm*12, C854)*12, 0)
</f>
        <v>0</v>
      </c>
      <c r="H854" s="16">
        <f>IF(D854&lt;=mortTerm, G854 - I854, 0)
</f>
        <v>0</v>
      </c>
      <c r="I854" s="16">
        <f>IF(D854&lt;=mortTerm, F854 - J854, 0)
</f>
        <v>0</v>
      </c>
      <c r="J854" s="16">
        <f>IF(D854&lt;=mortTerm,
   F854*(1+mortRate/12)^12 - (-PMT(mortRate/12, mortTerm*12, C854))*(((1+mortRate/12)^12 - 1)/(mortRate/12)),
   0
)
</f>
        <v>0</v>
      </c>
      <c r="K854" s="13" t="str">
        <f>IFERROR(__xludf.DUMMYFUNCTION("IF(A854="""","""",
   IF(F854&gt;0,
      INDEX(FILTER('RE Portfolio'!L$2:L2000,'RE Portfolio'!D$2:D2000=""BUY""), INT((ROW()-2)/amortYears)+1) - G854,
      INDEX(FILTER('RE Portfolio'!L$2:L2000,'RE Portfolio'!D$2:D2000=""BUY""), INT((ROW()-2)/amortYears)+1"&amp;")
   )
)
"),"")</f>
        <v/>
      </c>
      <c r="L854" s="15" t="str">
        <f>IFERROR(__xludf.DUMMYFUNCTION("IF(A854="""","""",
  INDEX(FILTER('RE Portfolio'!C$2:C2000,'RE Portfolio'!D$2:D2000=""BUY""), INT((ROW()-2)/amortYears)+1)
  * (1 + VALUE(Assumptions!$B$11))^(D854-1)
)
"),"")</f>
        <v/>
      </c>
    </row>
    <row r="855">
      <c r="A855" s="15" t="str">
        <f>IFERROR(__xludf.DUMMYFUNCTION("IFERROR(INDEX(FILTER('RE Portfolio'!A$2:A2000,'RE Portfolio'!D$2:D2000=""BUY""), INT((ROW()-2)/amortYears)+1), )
"),"")</f>
        <v/>
      </c>
      <c r="B855" s="15" t="str">
        <f>IFERROR(__xludf.DUMMYFUNCTION("IFERROR(INDEX(FILTER('RE Portfolio'!B$2:B2000,'RE Portfolio'!D$2:D2000=""BUY""), INT((ROW()-2)/amortYears)+1), )
"),"")</f>
        <v/>
      </c>
      <c r="C855" s="15" t="str">
        <f>IFERROR(__xludf.DUMMYFUNCTION("IFERROR(INDEX(FILTER('RE Portfolio'!G$2:G2000,'RE Portfolio'!D$2:D2000=""BUY""), INT((ROW()-2)/amortYears)+1), )
"),"")</f>
        <v/>
      </c>
      <c r="D855" s="15">
        <f>MOD(ROW()-2, amortYears)+1</f>
        <v>18</v>
      </c>
      <c r="E855" s="15" t="str">
        <f t="shared" si="1"/>
        <v/>
      </c>
      <c r="F855" s="16">
        <f t="shared" si="2"/>
        <v>0</v>
      </c>
      <c r="G855" s="16">
        <f>IF(D855&lt;=mortTerm, -PMT(mortRate/12, mortTerm*12, C855)*12, 0)
</f>
        <v>0</v>
      </c>
      <c r="H855" s="16">
        <f>IF(D855&lt;=mortTerm, G855 - I855, 0)
</f>
        <v>0</v>
      </c>
      <c r="I855" s="16">
        <f>IF(D855&lt;=mortTerm, F855 - J855, 0)
</f>
        <v>0</v>
      </c>
      <c r="J855" s="16">
        <f>IF(D855&lt;=mortTerm,
   F855*(1+mortRate/12)^12 - (-PMT(mortRate/12, mortTerm*12, C855))*(((1+mortRate/12)^12 - 1)/(mortRate/12)),
   0
)
</f>
        <v>0</v>
      </c>
      <c r="K855" s="13" t="str">
        <f>IFERROR(__xludf.DUMMYFUNCTION("IF(A855="""","""",
   IF(F855&gt;0,
      INDEX(FILTER('RE Portfolio'!L$2:L2000,'RE Portfolio'!D$2:D2000=""BUY""), INT((ROW()-2)/amortYears)+1) - G855,
      INDEX(FILTER('RE Portfolio'!L$2:L2000,'RE Portfolio'!D$2:D2000=""BUY""), INT((ROW()-2)/amortYears)+1"&amp;")
   )
)
"),"")</f>
        <v/>
      </c>
      <c r="L855" s="15" t="str">
        <f>IFERROR(__xludf.DUMMYFUNCTION("IF(A855="""","""",
  INDEX(FILTER('RE Portfolio'!C$2:C2000,'RE Portfolio'!D$2:D2000=""BUY""), INT((ROW()-2)/amortYears)+1)
  * (1 + VALUE(Assumptions!$B$11))^(D855-1)
)
"),"")</f>
        <v/>
      </c>
    </row>
    <row r="856">
      <c r="A856" s="15" t="str">
        <f>IFERROR(__xludf.DUMMYFUNCTION("IFERROR(INDEX(FILTER('RE Portfolio'!A$2:A2000,'RE Portfolio'!D$2:D2000=""BUY""), INT((ROW()-2)/amortYears)+1), )
"),"")</f>
        <v/>
      </c>
      <c r="B856" s="15" t="str">
        <f>IFERROR(__xludf.DUMMYFUNCTION("IFERROR(INDEX(FILTER('RE Portfolio'!B$2:B2000,'RE Portfolio'!D$2:D2000=""BUY""), INT((ROW()-2)/amortYears)+1), )
"),"")</f>
        <v/>
      </c>
      <c r="C856" s="15" t="str">
        <f>IFERROR(__xludf.DUMMYFUNCTION("IFERROR(INDEX(FILTER('RE Portfolio'!G$2:G2000,'RE Portfolio'!D$2:D2000=""BUY""), INT((ROW()-2)/amortYears)+1), )
"),"")</f>
        <v/>
      </c>
      <c r="D856" s="15">
        <f>MOD(ROW()-2, amortYears)+1</f>
        <v>19</v>
      </c>
      <c r="E856" s="15" t="str">
        <f t="shared" si="1"/>
        <v/>
      </c>
      <c r="F856" s="16">
        <f t="shared" si="2"/>
        <v>0</v>
      </c>
      <c r="G856" s="16">
        <f>IF(D856&lt;=mortTerm, -PMT(mortRate/12, mortTerm*12, C856)*12, 0)
</f>
        <v>0</v>
      </c>
      <c r="H856" s="16">
        <f>IF(D856&lt;=mortTerm, G856 - I856, 0)
</f>
        <v>0</v>
      </c>
      <c r="I856" s="16">
        <f>IF(D856&lt;=mortTerm, F856 - J856, 0)
</f>
        <v>0</v>
      </c>
      <c r="J856" s="16">
        <f>IF(D856&lt;=mortTerm,
   F856*(1+mortRate/12)^12 - (-PMT(mortRate/12, mortTerm*12, C856))*(((1+mortRate/12)^12 - 1)/(mortRate/12)),
   0
)
</f>
        <v>0</v>
      </c>
      <c r="K856" s="13" t="str">
        <f>IFERROR(__xludf.DUMMYFUNCTION("IF(A856="""","""",
   IF(F856&gt;0,
      INDEX(FILTER('RE Portfolio'!L$2:L2000,'RE Portfolio'!D$2:D2000=""BUY""), INT((ROW()-2)/amortYears)+1) - G856,
      INDEX(FILTER('RE Portfolio'!L$2:L2000,'RE Portfolio'!D$2:D2000=""BUY""), INT((ROW()-2)/amortYears)+1"&amp;")
   )
)
"),"")</f>
        <v/>
      </c>
      <c r="L856" s="15" t="str">
        <f>IFERROR(__xludf.DUMMYFUNCTION("IF(A856="""","""",
  INDEX(FILTER('RE Portfolio'!C$2:C2000,'RE Portfolio'!D$2:D2000=""BUY""), INT((ROW()-2)/amortYears)+1)
  * (1 + VALUE(Assumptions!$B$11))^(D856-1)
)
"),"")</f>
        <v/>
      </c>
    </row>
    <row r="857">
      <c r="A857" s="15" t="str">
        <f>IFERROR(__xludf.DUMMYFUNCTION("IFERROR(INDEX(FILTER('RE Portfolio'!A$2:A2000,'RE Portfolio'!D$2:D2000=""BUY""), INT((ROW()-2)/amortYears)+1), )
"),"")</f>
        <v/>
      </c>
      <c r="B857" s="15" t="str">
        <f>IFERROR(__xludf.DUMMYFUNCTION("IFERROR(INDEX(FILTER('RE Portfolio'!B$2:B2000,'RE Portfolio'!D$2:D2000=""BUY""), INT((ROW()-2)/amortYears)+1), )
"),"")</f>
        <v/>
      </c>
      <c r="C857" s="15" t="str">
        <f>IFERROR(__xludf.DUMMYFUNCTION("IFERROR(INDEX(FILTER('RE Portfolio'!G$2:G2000,'RE Portfolio'!D$2:D2000=""BUY""), INT((ROW()-2)/amortYears)+1), )
"),"")</f>
        <v/>
      </c>
      <c r="D857" s="15">
        <f>MOD(ROW()-2, amortYears)+1</f>
        <v>20</v>
      </c>
      <c r="E857" s="15" t="str">
        <f t="shared" si="1"/>
        <v/>
      </c>
      <c r="F857" s="16">
        <f t="shared" si="2"/>
        <v>0</v>
      </c>
      <c r="G857" s="16">
        <f>IF(D857&lt;=mortTerm, -PMT(mortRate/12, mortTerm*12, C857)*12, 0)
</f>
        <v>0</v>
      </c>
      <c r="H857" s="16">
        <f>IF(D857&lt;=mortTerm, G857 - I857, 0)
</f>
        <v>0</v>
      </c>
      <c r="I857" s="16">
        <f>IF(D857&lt;=mortTerm, F857 - J857, 0)
</f>
        <v>0</v>
      </c>
      <c r="J857" s="16">
        <f>IF(D857&lt;=mortTerm,
   F857*(1+mortRate/12)^12 - (-PMT(mortRate/12, mortTerm*12, C857))*(((1+mortRate/12)^12 - 1)/(mortRate/12)),
   0
)
</f>
        <v>0</v>
      </c>
      <c r="K857" s="13" t="str">
        <f>IFERROR(__xludf.DUMMYFUNCTION("IF(A857="""","""",
   IF(F857&gt;0,
      INDEX(FILTER('RE Portfolio'!L$2:L2000,'RE Portfolio'!D$2:D2000=""BUY""), INT((ROW()-2)/amortYears)+1) - G857,
      INDEX(FILTER('RE Portfolio'!L$2:L2000,'RE Portfolio'!D$2:D2000=""BUY""), INT((ROW()-2)/amortYears)+1"&amp;")
   )
)
"),"")</f>
        <v/>
      </c>
      <c r="L857" s="15" t="str">
        <f>IFERROR(__xludf.DUMMYFUNCTION("IF(A857="""","""",
  INDEX(FILTER('RE Portfolio'!C$2:C2000,'RE Portfolio'!D$2:D2000=""BUY""), INT((ROW()-2)/amortYears)+1)
  * (1 + VALUE(Assumptions!$B$11))^(D857-1)
)
"),"")</f>
        <v/>
      </c>
    </row>
    <row r="858">
      <c r="A858" s="15" t="str">
        <f>IFERROR(__xludf.DUMMYFUNCTION("IFERROR(INDEX(FILTER('RE Portfolio'!A$2:A2000,'RE Portfolio'!D$2:D2000=""BUY""), INT((ROW()-2)/amortYears)+1), )
"),"")</f>
        <v/>
      </c>
      <c r="B858" s="15" t="str">
        <f>IFERROR(__xludf.DUMMYFUNCTION("IFERROR(INDEX(FILTER('RE Portfolio'!B$2:B2000,'RE Portfolio'!D$2:D2000=""BUY""), INT((ROW()-2)/amortYears)+1), )
"),"")</f>
        <v/>
      </c>
      <c r="C858" s="15" t="str">
        <f>IFERROR(__xludf.DUMMYFUNCTION("IFERROR(INDEX(FILTER('RE Portfolio'!G$2:G2000,'RE Portfolio'!D$2:D2000=""BUY""), INT((ROW()-2)/amortYears)+1), )
"),"")</f>
        <v/>
      </c>
      <c r="D858" s="15">
        <f>MOD(ROW()-2, amortYears)+1</f>
        <v>21</v>
      </c>
      <c r="E858" s="15" t="str">
        <f t="shared" si="1"/>
        <v/>
      </c>
      <c r="F858" s="16">
        <f t="shared" si="2"/>
        <v>0</v>
      </c>
      <c r="G858" s="16">
        <f>IF(D858&lt;=mortTerm, -PMT(mortRate/12, mortTerm*12, C858)*12, 0)
</f>
        <v>0</v>
      </c>
      <c r="H858" s="16">
        <f>IF(D858&lt;=mortTerm, G858 - I858, 0)
</f>
        <v>0</v>
      </c>
      <c r="I858" s="16">
        <f>IF(D858&lt;=mortTerm, F858 - J858, 0)
</f>
        <v>0</v>
      </c>
      <c r="J858" s="16">
        <f>IF(D858&lt;=mortTerm,
   F858*(1+mortRate/12)^12 - (-PMT(mortRate/12, mortTerm*12, C858))*(((1+mortRate/12)^12 - 1)/(mortRate/12)),
   0
)
</f>
        <v>0</v>
      </c>
      <c r="K858" s="13" t="str">
        <f>IFERROR(__xludf.DUMMYFUNCTION("IF(A858="""","""",
   IF(F858&gt;0,
      INDEX(FILTER('RE Portfolio'!L$2:L2000,'RE Portfolio'!D$2:D2000=""BUY""), INT((ROW()-2)/amortYears)+1) - G858,
      INDEX(FILTER('RE Portfolio'!L$2:L2000,'RE Portfolio'!D$2:D2000=""BUY""), INT((ROW()-2)/amortYears)+1"&amp;")
   )
)
"),"")</f>
        <v/>
      </c>
      <c r="L858" s="15" t="str">
        <f>IFERROR(__xludf.DUMMYFUNCTION("IF(A858="""","""",
  INDEX(FILTER('RE Portfolio'!C$2:C2000,'RE Portfolio'!D$2:D2000=""BUY""), INT((ROW()-2)/amortYears)+1)
  * (1 + VALUE(Assumptions!$B$11))^(D858-1)
)
"),"")</f>
        <v/>
      </c>
    </row>
    <row r="859">
      <c r="A859" s="15" t="str">
        <f>IFERROR(__xludf.DUMMYFUNCTION("IFERROR(INDEX(FILTER('RE Portfolio'!A$2:A2000,'RE Portfolio'!D$2:D2000=""BUY""), INT((ROW()-2)/amortYears)+1), )
"),"")</f>
        <v/>
      </c>
      <c r="B859" s="15" t="str">
        <f>IFERROR(__xludf.DUMMYFUNCTION("IFERROR(INDEX(FILTER('RE Portfolio'!B$2:B2000,'RE Portfolio'!D$2:D2000=""BUY""), INT((ROW()-2)/amortYears)+1), )
"),"")</f>
        <v/>
      </c>
      <c r="C859" s="15" t="str">
        <f>IFERROR(__xludf.DUMMYFUNCTION("IFERROR(INDEX(FILTER('RE Portfolio'!G$2:G2000,'RE Portfolio'!D$2:D2000=""BUY""), INT((ROW()-2)/amortYears)+1), )
"),"")</f>
        <v/>
      </c>
      <c r="D859" s="15">
        <f>MOD(ROW()-2, amortYears)+1</f>
        <v>22</v>
      </c>
      <c r="E859" s="15" t="str">
        <f t="shared" si="1"/>
        <v/>
      </c>
      <c r="F859" s="16">
        <f t="shared" si="2"/>
        <v>0</v>
      </c>
      <c r="G859" s="16">
        <f>IF(D859&lt;=mortTerm, -PMT(mortRate/12, mortTerm*12, C859)*12, 0)
</f>
        <v>0</v>
      </c>
      <c r="H859" s="16">
        <f>IF(D859&lt;=mortTerm, G859 - I859, 0)
</f>
        <v>0</v>
      </c>
      <c r="I859" s="16">
        <f>IF(D859&lt;=mortTerm, F859 - J859, 0)
</f>
        <v>0</v>
      </c>
      <c r="J859" s="16">
        <f>IF(D859&lt;=mortTerm,
   F859*(1+mortRate/12)^12 - (-PMT(mortRate/12, mortTerm*12, C859))*(((1+mortRate/12)^12 - 1)/(mortRate/12)),
   0
)
</f>
        <v>0</v>
      </c>
      <c r="K859" s="13" t="str">
        <f>IFERROR(__xludf.DUMMYFUNCTION("IF(A859="""","""",
   IF(F859&gt;0,
      INDEX(FILTER('RE Portfolio'!L$2:L2000,'RE Portfolio'!D$2:D2000=""BUY""), INT((ROW()-2)/amortYears)+1) - G859,
      INDEX(FILTER('RE Portfolio'!L$2:L2000,'RE Portfolio'!D$2:D2000=""BUY""), INT((ROW()-2)/amortYears)+1"&amp;")
   )
)
"),"")</f>
        <v/>
      </c>
      <c r="L859" s="15" t="str">
        <f>IFERROR(__xludf.DUMMYFUNCTION("IF(A859="""","""",
  INDEX(FILTER('RE Portfolio'!C$2:C2000,'RE Portfolio'!D$2:D2000=""BUY""), INT((ROW()-2)/amortYears)+1)
  * (1 + VALUE(Assumptions!$B$11))^(D859-1)
)
"),"")</f>
        <v/>
      </c>
    </row>
    <row r="860">
      <c r="A860" s="15" t="str">
        <f>IFERROR(__xludf.DUMMYFUNCTION("IFERROR(INDEX(FILTER('RE Portfolio'!A$2:A2000,'RE Portfolio'!D$2:D2000=""BUY""), INT((ROW()-2)/amortYears)+1), )
"),"")</f>
        <v/>
      </c>
      <c r="B860" s="15" t="str">
        <f>IFERROR(__xludf.DUMMYFUNCTION("IFERROR(INDEX(FILTER('RE Portfolio'!B$2:B2000,'RE Portfolio'!D$2:D2000=""BUY""), INT((ROW()-2)/amortYears)+1), )
"),"")</f>
        <v/>
      </c>
      <c r="C860" s="15" t="str">
        <f>IFERROR(__xludf.DUMMYFUNCTION("IFERROR(INDEX(FILTER('RE Portfolio'!G$2:G2000,'RE Portfolio'!D$2:D2000=""BUY""), INT((ROW()-2)/amortYears)+1), )
"),"")</f>
        <v/>
      </c>
      <c r="D860" s="15">
        <f>MOD(ROW()-2, amortYears)+1</f>
        <v>23</v>
      </c>
      <c r="E860" s="15" t="str">
        <f t="shared" si="1"/>
        <v/>
      </c>
      <c r="F860" s="16">
        <f t="shared" si="2"/>
        <v>0</v>
      </c>
      <c r="G860" s="16">
        <f>IF(D860&lt;=mortTerm, -PMT(mortRate/12, mortTerm*12, C860)*12, 0)
</f>
        <v>0</v>
      </c>
      <c r="H860" s="16">
        <f>IF(D860&lt;=mortTerm, G860 - I860, 0)
</f>
        <v>0</v>
      </c>
      <c r="I860" s="16">
        <f>IF(D860&lt;=mortTerm, F860 - J860, 0)
</f>
        <v>0</v>
      </c>
      <c r="J860" s="16">
        <f>IF(D860&lt;=mortTerm,
   F860*(1+mortRate/12)^12 - (-PMT(mortRate/12, mortTerm*12, C860))*(((1+mortRate/12)^12 - 1)/(mortRate/12)),
   0
)
</f>
        <v>0</v>
      </c>
      <c r="K860" s="13" t="str">
        <f>IFERROR(__xludf.DUMMYFUNCTION("IF(A860="""","""",
   IF(F860&gt;0,
      INDEX(FILTER('RE Portfolio'!L$2:L2000,'RE Portfolio'!D$2:D2000=""BUY""), INT((ROW()-2)/amortYears)+1) - G860,
      INDEX(FILTER('RE Portfolio'!L$2:L2000,'RE Portfolio'!D$2:D2000=""BUY""), INT((ROW()-2)/amortYears)+1"&amp;")
   )
)
"),"")</f>
        <v/>
      </c>
      <c r="L860" s="15" t="str">
        <f>IFERROR(__xludf.DUMMYFUNCTION("IF(A860="""","""",
  INDEX(FILTER('RE Portfolio'!C$2:C2000,'RE Portfolio'!D$2:D2000=""BUY""), INT((ROW()-2)/amortYears)+1)
  * (1 + VALUE(Assumptions!$B$11))^(D860-1)
)
"),"")</f>
        <v/>
      </c>
    </row>
    <row r="861">
      <c r="A861" s="15" t="str">
        <f>IFERROR(__xludf.DUMMYFUNCTION("IFERROR(INDEX(FILTER('RE Portfolio'!A$2:A2000,'RE Portfolio'!D$2:D2000=""BUY""), INT((ROW()-2)/amortYears)+1), )
"),"")</f>
        <v/>
      </c>
      <c r="B861" s="15" t="str">
        <f>IFERROR(__xludf.DUMMYFUNCTION("IFERROR(INDEX(FILTER('RE Portfolio'!B$2:B2000,'RE Portfolio'!D$2:D2000=""BUY""), INT((ROW()-2)/amortYears)+1), )
"),"")</f>
        <v/>
      </c>
      <c r="C861" s="15" t="str">
        <f>IFERROR(__xludf.DUMMYFUNCTION("IFERROR(INDEX(FILTER('RE Portfolio'!G$2:G2000,'RE Portfolio'!D$2:D2000=""BUY""), INT((ROW()-2)/amortYears)+1), )
"),"")</f>
        <v/>
      </c>
      <c r="D861" s="15">
        <f>MOD(ROW()-2, amortYears)+1</f>
        <v>24</v>
      </c>
      <c r="E861" s="15" t="str">
        <f t="shared" si="1"/>
        <v/>
      </c>
      <c r="F861" s="16">
        <f t="shared" si="2"/>
        <v>0</v>
      </c>
      <c r="G861" s="16">
        <f>IF(D861&lt;=mortTerm, -PMT(mortRate/12, mortTerm*12, C861)*12, 0)
</f>
        <v>0</v>
      </c>
      <c r="H861" s="16">
        <f>IF(D861&lt;=mortTerm, G861 - I861, 0)
</f>
        <v>0</v>
      </c>
      <c r="I861" s="16">
        <f>IF(D861&lt;=mortTerm, F861 - J861, 0)
</f>
        <v>0</v>
      </c>
      <c r="J861" s="16">
        <f>IF(D861&lt;=mortTerm,
   F861*(1+mortRate/12)^12 - (-PMT(mortRate/12, mortTerm*12, C861))*(((1+mortRate/12)^12 - 1)/(mortRate/12)),
   0
)
</f>
        <v>0</v>
      </c>
      <c r="K861" s="13" t="str">
        <f>IFERROR(__xludf.DUMMYFUNCTION("IF(A861="""","""",
   IF(F861&gt;0,
      INDEX(FILTER('RE Portfolio'!L$2:L2000,'RE Portfolio'!D$2:D2000=""BUY""), INT((ROW()-2)/amortYears)+1) - G861,
      INDEX(FILTER('RE Portfolio'!L$2:L2000,'RE Portfolio'!D$2:D2000=""BUY""), INT((ROW()-2)/amortYears)+1"&amp;")
   )
)
"),"")</f>
        <v/>
      </c>
      <c r="L861" s="15" t="str">
        <f>IFERROR(__xludf.DUMMYFUNCTION("IF(A861="""","""",
  INDEX(FILTER('RE Portfolio'!C$2:C2000,'RE Portfolio'!D$2:D2000=""BUY""), INT((ROW()-2)/amortYears)+1)
  * (1 + VALUE(Assumptions!$B$11))^(D861-1)
)
"),"")</f>
        <v/>
      </c>
    </row>
    <row r="862">
      <c r="A862" s="15" t="str">
        <f>IFERROR(__xludf.DUMMYFUNCTION("IFERROR(INDEX(FILTER('RE Portfolio'!A$2:A2000,'RE Portfolio'!D$2:D2000=""BUY""), INT((ROW()-2)/amortYears)+1), )
"),"")</f>
        <v/>
      </c>
      <c r="B862" s="15" t="str">
        <f>IFERROR(__xludf.DUMMYFUNCTION("IFERROR(INDEX(FILTER('RE Portfolio'!B$2:B2000,'RE Portfolio'!D$2:D2000=""BUY""), INT((ROW()-2)/amortYears)+1), )
"),"")</f>
        <v/>
      </c>
      <c r="C862" s="15" t="str">
        <f>IFERROR(__xludf.DUMMYFUNCTION("IFERROR(INDEX(FILTER('RE Portfolio'!G$2:G2000,'RE Portfolio'!D$2:D2000=""BUY""), INT((ROW()-2)/amortYears)+1), )
"),"")</f>
        <v/>
      </c>
      <c r="D862" s="15">
        <f>MOD(ROW()-2, amortYears)+1</f>
        <v>25</v>
      </c>
      <c r="E862" s="15" t="str">
        <f t="shared" si="1"/>
        <v/>
      </c>
      <c r="F862" s="16">
        <f t="shared" si="2"/>
        <v>0</v>
      </c>
      <c r="G862" s="16">
        <f>IF(D862&lt;=mortTerm, -PMT(mortRate/12, mortTerm*12, C862)*12, 0)
</f>
        <v>0</v>
      </c>
      <c r="H862" s="16">
        <f>IF(D862&lt;=mortTerm, G862 - I862, 0)
</f>
        <v>0</v>
      </c>
      <c r="I862" s="16">
        <f>IF(D862&lt;=mortTerm, F862 - J862, 0)
</f>
        <v>0</v>
      </c>
      <c r="J862" s="16">
        <f>IF(D862&lt;=mortTerm,
   F862*(1+mortRate/12)^12 - (-PMT(mortRate/12, mortTerm*12, C862))*(((1+mortRate/12)^12 - 1)/(mortRate/12)),
   0
)
</f>
        <v>0</v>
      </c>
      <c r="K862" s="13" t="str">
        <f>IFERROR(__xludf.DUMMYFUNCTION("IF(A862="""","""",
   IF(F862&gt;0,
      INDEX(FILTER('RE Portfolio'!L$2:L2000,'RE Portfolio'!D$2:D2000=""BUY""), INT((ROW()-2)/amortYears)+1) - G862,
      INDEX(FILTER('RE Portfolio'!L$2:L2000,'RE Portfolio'!D$2:D2000=""BUY""), INT((ROW()-2)/amortYears)+1"&amp;")
   )
)
"),"")</f>
        <v/>
      </c>
      <c r="L862" s="15" t="str">
        <f>IFERROR(__xludf.DUMMYFUNCTION("IF(A862="""","""",
  INDEX(FILTER('RE Portfolio'!C$2:C2000,'RE Portfolio'!D$2:D2000=""BUY""), INT((ROW()-2)/amortYears)+1)
  * (1 + VALUE(Assumptions!$B$11))^(D862-1)
)
"),"")</f>
        <v/>
      </c>
    </row>
    <row r="863">
      <c r="A863" s="15" t="str">
        <f>IFERROR(__xludf.DUMMYFUNCTION("IFERROR(INDEX(FILTER('RE Portfolio'!A$2:A2000,'RE Portfolio'!D$2:D2000=""BUY""), INT((ROW()-2)/amortYears)+1), )
"),"")</f>
        <v/>
      </c>
      <c r="B863" s="15" t="str">
        <f>IFERROR(__xludf.DUMMYFUNCTION("IFERROR(INDEX(FILTER('RE Portfolio'!B$2:B2000,'RE Portfolio'!D$2:D2000=""BUY""), INT((ROW()-2)/amortYears)+1), )
"),"")</f>
        <v/>
      </c>
      <c r="C863" s="15" t="str">
        <f>IFERROR(__xludf.DUMMYFUNCTION("IFERROR(INDEX(FILTER('RE Portfolio'!G$2:G2000,'RE Portfolio'!D$2:D2000=""BUY""), INT((ROW()-2)/amortYears)+1), )
"),"")</f>
        <v/>
      </c>
      <c r="D863" s="15">
        <f>MOD(ROW()-2, amortYears)+1</f>
        <v>26</v>
      </c>
      <c r="E863" s="15" t="str">
        <f t="shared" si="1"/>
        <v/>
      </c>
      <c r="F863" s="16">
        <f t="shared" si="2"/>
        <v>0</v>
      </c>
      <c r="G863" s="16">
        <f>IF(D863&lt;=mortTerm, -PMT(mortRate/12, mortTerm*12, C863)*12, 0)
</f>
        <v>0</v>
      </c>
      <c r="H863" s="16">
        <f>IF(D863&lt;=mortTerm, G863 - I863, 0)
</f>
        <v>0</v>
      </c>
      <c r="I863" s="16">
        <f>IF(D863&lt;=mortTerm, F863 - J863, 0)
</f>
        <v>0</v>
      </c>
      <c r="J863" s="16">
        <f>IF(D863&lt;=mortTerm,
   F863*(1+mortRate/12)^12 - (-PMT(mortRate/12, mortTerm*12, C863))*(((1+mortRate/12)^12 - 1)/(mortRate/12)),
   0
)
</f>
        <v>0</v>
      </c>
      <c r="K863" s="13" t="str">
        <f>IFERROR(__xludf.DUMMYFUNCTION("IF(A863="""","""",
   IF(F863&gt;0,
      INDEX(FILTER('RE Portfolio'!L$2:L2000,'RE Portfolio'!D$2:D2000=""BUY""), INT((ROW()-2)/amortYears)+1) - G863,
      INDEX(FILTER('RE Portfolio'!L$2:L2000,'RE Portfolio'!D$2:D2000=""BUY""), INT((ROW()-2)/amortYears)+1"&amp;")
   )
)
"),"")</f>
        <v/>
      </c>
      <c r="L863" s="15" t="str">
        <f>IFERROR(__xludf.DUMMYFUNCTION("IF(A863="""","""",
  INDEX(FILTER('RE Portfolio'!C$2:C2000,'RE Portfolio'!D$2:D2000=""BUY""), INT((ROW()-2)/amortYears)+1)
  * (1 + VALUE(Assumptions!$B$11))^(D863-1)
)
"),"")</f>
        <v/>
      </c>
    </row>
    <row r="864">
      <c r="A864" s="15" t="str">
        <f>IFERROR(__xludf.DUMMYFUNCTION("IFERROR(INDEX(FILTER('RE Portfolio'!A$2:A2000,'RE Portfolio'!D$2:D2000=""BUY""), INT((ROW()-2)/amortYears)+1), )
"),"")</f>
        <v/>
      </c>
      <c r="B864" s="15" t="str">
        <f>IFERROR(__xludf.DUMMYFUNCTION("IFERROR(INDEX(FILTER('RE Portfolio'!B$2:B2000,'RE Portfolio'!D$2:D2000=""BUY""), INT((ROW()-2)/amortYears)+1), )
"),"")</f>
        <v/>
      </c>
      <c r="C864" s="15" t="str">
        <f>IFERROR(__xludf.DUMMYFUNCTION("IFERROR(INDEX(FILTER('RE Portfolio'!G$2:G2000,'RE Portfolio'!D$2:D2000=""BUY""), INT((ROW()-2)/amortYears)+1), )
"),"")</f>
        <v/>
      </c>
      <c r="D864" s="15">
        <f>MOD(ROW()-2, amortYears)+1</f>
        <v>27</v>
      </c>
      <c r="E864" s="15" t="str">
        <f t="shared" si="1"/>
        <v/>
      </c>
      <c r="F864" s="16">
        <f t="shared" si="2"/>
        <v>0</v>
      </c>
      <c r="G864" s="16">
        <f>IF(D864&lt;=mortTerm, -PMT(mortRate/12, mortTerm*12, C864)*12, 0)
</f>
        <v>0</v>
      </c>
      <c r="H864" s="16">
        <f>IF(D864&lt;=mortTerm, G864 - I864, 0)
</f>
        <v>0</v>
      </c>
      <c r="I864" s="16">
        <f>IF(D864&lt;=mortTerm, F864 - J864, 0)
</f>
        <v>0</v>
      </c>
      <c r="J864" s="16">
        <f>IF(D864&lt;=mortTerm,
   F864*(1+mortRate/12)^12 - (-PMT(mortRate/12, mortTerm*12, C864))*(((1+mortRate/12)^12 - 1)/(mortRate/12)),
   0
)
</f>
        <v>0</v>
      </c>
      <c r="K864" s="13" t="str">
        <f>IFERROR(__xludf.DUMMYFUNCTION("IF(A864="""","""",
   IF(F864&gt;0,
      INDEX(FILTER('RE Portfolio'!L$2:L2000,'RE Portfolio'!D$2:D2000=""BUY""), INT((ROW()-2)/amortYears)+1) - G864,
      INDEX(FILTER('RE Portfolio'!L$2:L2000,'RE Portfolio'!D$2:D2000=""BUY""), INT((ROW()-2)/amortYears)+1"&amp;")
   )
)
"),"")</f>
        <v/>
      </c>
      <c r="L864" s="15" t="str">
        <f>IFERROR(__xludf.DUMMYFUNCTION("IF(A864="""","""",
  INDEX(FILTER('RE Portfolio'!C$2:C2000,'RE Portfolio'!D$2:D2000=""BUY""), INT((ROW()-2)/amortYears)+1)
  * (1 + VALUE(Assumptions!$B$11))^(D864-1)
)
"),"")</f>
        <v/>
      </c>
    </row>
    <row r="865">
      <c r="A865" s="15" t="str">
        <f>IFERROR(__xludf.DUMMYFUNCTION("IFERROR(INDEX(FILTER('RE Portfolio'!A$2:A2000,'RE Portfolio'!D$2:D2000=""BUY""), INT((ROW()-2)/amortYears)+1), )
"),"")</f>
        <v/>
      </c>
      <c r="B865" s="15" t="str">
        <f>IFERROR(__xludf.DUMMYFUNCTION("IFERROR(INDEX(FILTER('RE Portfolio'!B$2:B2000,'RE Portfolio'!D$2:D2000=""BUY""), INT((ROW()-2)/amortYears)+1), )
"),"")</f>
        <v/>
      </c>
      <c r="C865" s="15" t="str">
        <f>IFERROR(__xludf.DUMMYFUNCTION("IFERROR(INDEX(FILTER('RE Portfolio'!G$2:G2000,'RE Portfolio'!D$2:D2000=""BUY""), INT((ROW()-2)/amortYears)+1), )
"),"")</f>
        <v/>
      </c>
      <c r="D865" s="15">
        <f>MOD(ROW()-2, amortYears)+1</f>
        <v>28</v>
      </c>
      <c r="E865" s="15" t="str">
        <f t="shared" si="1"/>
        <v/>
      </c>
      <c r="F865" s="16">
        <f t="shared" si="2"/>
        <v>0</v>
      </c>
      <c r="G865" s="16">
        <f>IF(D865&lt;=mortTerm, -PMT(mortRate/12, mortTerm*12, C865)*12, 0)
</f>
        <v>0</v>
      </c>
      <c r="H865" s="16">
        <f>IF(D865&lt;=mortTerm, G865 - I865, 0)
</f>
        <v>0</v>
      </c>
      <c r="I865" s="16">
        <f>IF(D865&lt;=mortTerm, F865 - J865, 0)
</f>
        <v>0</v>
      </c>
      <c r="J865" s="16">
        <f>IF(D865&lt;=mortTerm,
   F865*(1+mortRate/12)^12 - (-PMT(mortRate/12, mortTerm*12, C865))*(((1+mortRate/12)^12 - 1)/(mortRate/12)),
   0
)
</f>
        <v>0</v>
      </c>
      <c r="K865" s="13" t="str">
        <f>IFERROR(__xludf.DUMMYFUNCTION("IF(A865="""","""",
   IF(F865&gt;0,
      INDEX(FILTER('RE Portfolio'!L$2:L2000,'RE Portfolio'!D$2:D2000=""BUY""), INT((ROW()-2)/amortYears)+1) - G865,
      INDEX(FILTER('RE Portfolio'!L$2:L2000,'RE Portfolio'!D$2:D2000=""BUY""), INT((ROW()-2)/amortYears)+1"&amp;")
   )
)
"),"")</f>
        <v/>
      </c>
      <c r="L865" s="15" t="str">
        <f>IFERROR(__xludf.DUMMYFUNCTION("IF(A865="""","""",
  INDEX(FILTER('RE Portfolio'!C$2:C2000,'RE Portfolio'!D$2:D2000=""BUY""), INT((ROW()-2)/amortYears)+1)
  * (1 + VALUE(Assumptions!$B$11))^(D865-1)
)
"),"")</f>
        <v/>
      </c>
    </row>
    <row r="866">
      <c r="A866" s="15" t="str">
        <f>IFERROR(__xludf.DUMMYFUNCTION("IFERROR(INDEX(FILTER('RE Portfolio'!A$2:A2000,'RE Portfolio'!D$2:D2000=""BUY""), INT((ROW()-2)/amortYears)+1), )
"),"")</f>
        <v/>
      </c>
      <c r="B866" s="15" t="str">
        <f>IFERROR(__xludf.DUMMYFUNCTION("IFERROR(INDEX(FILTER('RE Portfolio'!B$2:B2000,'RE Portfolio'!D$2:D2000=""BUY""), INT((ROW()-2)/amortYears)+1), )
"),"")</f>
        <v/>
      </c>
      <c r="C866" s="15" t="str">
        <f>IFERROR(__xludf.DUMMYFUNCTION("IFERROR(INDEX(FILTER('RE Portfolio'!G$2:G2000,'RE Portfolio'!D$2:D2000=""BUY""), INT((ROW()-2)/amortYears)+1), )
"),"")</f>
        <v/>
      </c>
      <c r="D866" s="15">
        <f>MOD(ROW()-2, amortYears)+1</f>
        <v>29</v>
      </c>
      <c r="E866" s="15" t="str">
        <f t="shared" si="1"/>
        <v/>
      </c>
      <c r="F866" s="16">
        <f t="shared" si="2"/>
        <v>0</v>
      </c>
      <c r="G866" s="16">
        <f>IF(D866&lt;=mortTerm, -PMT(mortRate/12, mortTerm*12, C866)*12, 0)
</f>
        <v>0</v>
      </c>
      <c r="H866" s="16">
        <f>IF(D866&lt;=mortTerm, G866 - I866, 0)
</f>
        <v>0</v>
      </c>
      <c r="I866" s="16">
        <f>IF(D866&lt;=mortTerm, F866 - J866, 0)
</f>
        <v>0</v>
      </c>
      <c r="J866" s="16">
        <f>IF(D866&lt;=mortTerm,
   F866*(1+mortRate/12)^12 - (-PMT(mortRate/12, mortTerm*12, C866))*(((1+mortRate/12)^12 - 1)/(mortRate/12)),
   0
)
</f>
        <v>0</v>
      </c>
      <c r="K866" s="13" t="str">
        <f>IFERROR(__xludf.DUMMYFUNCTION("IF(A866="""","""",
   IF(F866&gt;0,
      INDEX(FILTER('RE Portfolio'!L$2:L2000,'RE Portfolio'!D$2:D2000=""BUY""), INT((ROW()-2)/amortYears)+1) - G866,
      INDEX(FILTER('RE Portfolio'!L$2:L2000,'RE Portfolio'!D$2:D2000=""BUY""), INT((ROW()-2)/amortYears)+1"&amp;")
   )
)
"),"")</f>
        <v/>
      </c>
      <c r="L866" s="15" t="str">
        <f>IFERROR(__xludf.DUMMYFUNCTION("IF(A866="""","""",
  INDEX(FILTER('RE Portfolio'!C$2:C2000,'RE Portfolio'!D$2:D2000=""BUY""), INT((ROW()-2)/amortYears)+1)
  * (1 + VALUE(Assumptions!$B$11))^(D866-1)
)
"),"")</f>
        <v/>
      </c>
    </row>
    <row r="867">
      <c r="A867" s="15" t="str">
        <f>IFERROR(__xludf.DUMMYFUNCTION("IFERROR(INDEX(FILTER('RE Portfolio'!A$2:A2000,'RE Portfolio'!D$2:D2000=""BUY""), INT((ROW()-2)/amortYears)+1), )
"),"")</f>
        <v/>
      </c>
      <c r="B867" s="15" t="str">
        <f>IFERROR(__xludf.DUMMYFUNCTION("IFERROR(INDEX(FILTER('RE Portfolio'!B$2:B2000,'RE Portfolio'!D$2:D2000=""BUY""), INT((ROW()-2)/amortYears)+1), )
"),"")</f>
        <v/>
      </c>
      <c r="C867" s="15" t="str">
        <f>IFERROR(__xludf.DUMMYFUNCTION("IFERROR(INDEX(FILTER('RE Portfolio'!G$2:G2000,'RE Portfolio'!D$2:D2000=""BUY""), INT((ROW()-2)/amortYears)+1), )
"),"")</f>
        <v/>
      </c>
      <c r="D867" s="15">
        <f>MOD(ROW()-2, amortYears)+1</f>
        <v>30</v>
      </c>
      <c r="E867" s="15" t="str">
        <f t="shared" si="1"/>
        <v/>
      </c>
      <c r="F867" s="16">
        <f t="shared" si="2"/>
        <v>0</v>
      </c>
      <c r="G867" s="16">
        <f>IF(D867&lt;=mortTerm, -PMT(mortRate/12, mortTerm*12, C867)*12, 0)
</f>
        <v>0</v>
      </c>
      <c r="H867" s="16">
        <f>IF(D867&lt;=mortTerm, G867 - I867, 0)
</f>
        <v>0</v>
      </c>
      <c r="I867" s="16">
        <f>IF(D867&lt;=mortTerm, F867 - J867, 0)
</f>
        <v>0</v>
      </c>
      <c r="J867" s="16">
        <f>IF(D867&lt;=mortTerm,
   F867*(1+mortRate/12)^12 - (-PMT(mortRate/12, mortTerm*12, C867))*(((1+mortRate/12)^12 - 1)/(mortRate/12)),
   0
)
</f>
        <v>0</v>
      </c>
      <c r="K867" s="13" t="str">
        <f>IFERROR(__xludf.DUMMYFUNCTION("IF(A867="""","""",
   IF(F867&gt;0,
      INDEX(FILTER('RE Portfolio'!L$2:L2000,'RE Portfolio'!D$2:D2000=""BUY""), INT((ROW()-2)/amortYears)+1) - G867,
      INDEX(FILTER('RE Portfolio'!L$2:L2000,'RE Portfolio'!D$2:D2000=""BUY""), INT((ROW()-2)/amortYears)+1"&amp;")
   )
)
"),"")</f>
        <v/>
      </c>
      <c r="L867" s="15" t="str">
        <f>IFERROR(__xludf.DUMMYFUNCTION("IF(A867="""","""",
  INDEX(FILTER('RE Portfolio'!C$2:C2000,'RE Portfolio'!D$2:D2000=""BUY""), INT((ROW()-2)/amortYears)+1)
  * (1 + VALUE(Assumptions!$B$11))^(D867-1)
)
"),"")</f>
        <v/>
      </c>
    </row>
    <row r="868">
      <c r="A868" s="15" t="str">
        <f>IFERROR(__xludf.DUMMYFUNCTION("IFERROR(INDEX(FILTER('RE Portfolio'!A$2:A2000,'RE Portfolio'!D$2:D2000=""BUY""), INT((ROW()-2)/amortYears)+1), )
"),"")</f>
        <v/>
      </c>
      <c r="B868" s="15" t="str">
        <f>IFERROR(__xludf.DUMMYFUNCTION("IFERROR(INDEX(FILTER('RE Portfolio'!B$2:B2000,'RE Portfolio'!D$2:D2000=""BUY""), INT((ROW()-2)/amortYears)+1), )
"),"")</f>
        <v/>
      </c>
      <c r="C868" s="15" t="str">
        <f>IFERROR(__xludf.DUMMYFUNCTION("IFERROR(INDEX(FILTER('RE Portfolio'!G$2:G2000,'RE Portfolio'!D$2:D2000=""BUY""), INT((ROW()-2)/amortYears)+1), )
"),"")</f>
        <v/>
      </c>
      <c r="D868" s="15">
        <f>MOD(ROW()-2, amortYears)+1</f>
        <v>31</v>
      </c>
      <c r="E868" s="15" t="str">
        <f t="shared" si="1"/>
        <v/>
      </c>
      <c r="F868" s="16">
        <f t="shared" si="2"/>
        <v>0</v>
      </c>
      <c r="G868" s="15">
        <f>IF(D868&lt;=mortTerm, -PMT(mortRate/12, mortTerm*12, C868)*12, 0)
</f>
        <v>0</v>
      </c>
      <c r="H868" s="15">
        <f>IF(D868&lt;=mortTerm, G868 - I868, 0)
</f>
        <v>0</v>
      </c>
      <c r="I868" s="15">
        <f>IF(D868&lt;=mortTerm, F868 - J868, 0)
</f>
        <v>0</v>
      </c>
      <c r="J868" s="15">
        <f>IF(D868&lt;=mortTerm,
   F868*(1+mortRate/12)^12 - (-PMT(mortRate/12, mortTerm*12, C868))*(((1+mortRate/12)^12 - 1)/(mortRate/12)),
   0
)
</f>
        <v>0</v>
      </c>
      <c r="K868" s="13" t="str">
        <f>IFERROR(__xludf.DUMMYFUNCTION("IF(A868="""","""",
   IF(F868&gt;0,
      INDEX(FILTER('RE Portfolio'!L$2:L2000,'RE Portfolio'!D$2:D2000=""BUY""), INT((ROW()-2)/amortYears)+1) - G868,
      INDEX(FILTER('RE Portfolio'!L$2:L2000,'RE Portfolio'!D$2:D2000=""BUY""), INT((ROW()-2)/amortYears)+1"&amp;")
   )
)
"),"")</f>
        <v/>
      </c>
      <c r="L868" s="15" t="str">
        <f>IFERROR(__xludf.DUMMYFUNCTION("IF(A868="""","""",
  INDEX(FILTER('RE Portfolio'!C$2:C2000,'RE Portfolio'!D$2:D2000=""BUY""), INT((ROW()-2)/amortYears)+1)
  * (1 + VALUE(Assumptions!$B$11))^(D868-1)
)
"),"")</f>
        <v/>
      </c>
    </row>
    <row r="869">
      <c r="A869" s="15" t="str">
        <f>IFERROR(__xludf.DUMMYFUNCTION("IFERROR(INDEX(FILTER('RE Portfolio'!A$2:A2000,'RE Portfolio'!D$2:D2000=""BUY""), INT((ROW()-2)/amortYears)+1), )
"),"")</f>
        <v/>
      </c>
      <c r="B869" s="15" t="str">
        <f>IFERROR(__xludf.DUMMYFUNCTION("IFERROR(INDEX(FILTER('RE Portfolio'!B$2:B2000,'RE Portfolio'!D$2:D2000=""BUY""), INT((ROW()-2)/amortYears)+1), )
"),"")</f>
        <v/>
      </c>
      <c r="C869" s="15" t="str">
        <f>IFERROR(__xludf.DUMMYFUNCTION("IFERROR(INDEX(FILTER('RE Portfolio'!G$2:G2000,'RE Portfolio'!D$2:D2000=""BUY""), INT((ROW()-2)/amortYears)+1), )
"),"")</f>
        <v/>
      </c>
      <c r="D869" s="15">
        <f>MOD(ROW()-2, amortYears)+1</f>
        <v>32</v>
      </c>
      <c r="E869" s="15" t="str">
        <f t="shared" si="1"/>
        <v/>
      </c>
      <c r="F869" s="15">
        <f t="shared" si="2"/>
        <v>0</v>
      </c>
      <c r="G869" s="15">
        <f>IF(D869&lt;=mortTerm, -PMT(mortRate/12, mortTerm*12, C869)*12, 0)
</f>
        <v>0</v>
      </c>
      <c r="H869" s="15">
        <f>IF(D869&lt;=mortTerm, G869 - I869, 0)
</f>
        <v>0</v>
      </c>
      <c r="I869" s="15">
        <f>IF(D869&lt;=mortTerm, F869 - J869, 0)
</f>
        <v>0</v>
      </c>
      <c r="J869" s="15">
        <f>IF(D869&lt;=mortTerm,
   F869*(1+mortRate/12)^12 - (-PMT(mortRate/12, mortTerm*12, C869))*(((1+mortRate/12)^12 - 1)/(mortRate/12)),
   0
)
</f>
        <v>0</v>
      </c>
      <c r="K869" s="13" t="str">
        <f>IFERROR(__xludf.DUMMYFUNCTION("IF(A869="""","""",
   IF(F869&gt;0,
      INDEX(FILTER('RE Portfolio'!L$2:L2000,'RE Portfolio'!D$2:D2000=""BUY""), INT((ROW()-2)/amortYears)+1) - G869,
      INDEX(FILTER('RE Portfolio'!L$2:L2000,'RE Portfolio'!D$2:D2000=""BUY""), INT((ROW()-2)/amortYears)+1"&amp;")
   )
)
"),"")</f>
        <v/>
      </c>
      <c r="L869" s="15" t="str">
        <f>IFERROR(__xludf.DUMMYFUNCTION("IF(A869="""","""",
  INDEX(FILTER('RE Portfolio'!C$2:C2000,'RE Portfolio'!D$2:D2000=""BUY""), INT((ROW()-2)/amortYears)+1)
  * (1 + VALUE(Assumptions!$B$11))^(D869-1)
)
"),"")</f>
        <v/>
      </c>
    </row>
    <row r="870">
      <c r="A870" s="15" t="str">
        <f>IFERROR(__xludf.DUMMYFUNCTION("IFERROR(INDEX(FILTER('RE Portfolio'!A$2:A2000,'RE Portfolio'!D$2:D2000=""BUY""), INT((ROW()-2)/amortYears)+1), )
"),"")</f>
        <v/>
      </c>
      <c r="B870" s="15" t="str">
        <f>IFERROR(__xludf.DUMMYFUNCTION("IFERROR(INDEX(FILTER('RE Portfolio'!B$2:B2000,'RE Portfolio'!D$2:D2000=""BUY""), INT((ROW()-2)/amortYears)+1), )
"),"")</f>
        <v/>
      </c>
      <c r="C870" s="15" t="str">
        <f>IFERROR(__xludf.DUMMYFUNCTION("IFERROR(INDEX(FILTER('RE Portfolio'!G$2:G2000,'RE Portfolio'!D$2:D2000=""BUY""), INT((ROW()-2)/amortYears)+1), )
"),"")</f>
        <v/>
      </c>
      <c r="D870" s="15">
        <f>MOD(ROW()-2, amortYears)+1</f>
        <v>33</v>
      </c>
      <c r="E870" s="15" t="str">
        <f t="shared" si="1"/>
        <v/>
      </c>
      <c r="F870" s="15">
        <f t="shared" si="2"/>
        <v>0</v>
      </c>
      <c r="G870" s="15">
        <f>IF(D870&lt;=mortTerm, -PMT(mortRate/12, mortTerm*12, C870)*12, 0)
</f>
        <v>0</v>
      </c>
      <c r="H870" s="15">
        <f>IF(D870&lt;=mortTerm, G870 - I870, 0)
</f>
        <v>0</v>
      </c>
      <c r="I870" s="15">
        <f>IF(D870&lt;=mortTerm, F870 - J870, 0)
</f>
        <v>0</v>
      </c>
      <c r="J870" s="15">
        <f>IF(D870&lt;=mortTerm,
   F870*(1+mortRate/12)^12 - (-PMT(mortRate/12, mortTerm*12, C870))*(((1+mortRate/12)^12 - 1)/(mortRate/12)),
   0
)
</f>
        <v>0</v>
      </c>
      <c r="K870" s="13" t="str">
        <f>IFERROR(__xludf.DUMMYFUNCTION("IF(A870="""","""",
   IF(F870&gt;0,
      INDEX(FILTER('RE Portfolio'!L$2:L2000,'RE Portfolio'!D$2:D2000=""BUY""), INT((ROW()-2)/amortYears)+1) - G870,
      INDEX(FILTER('RE Portfolio'!L$2:L2000,'RE Portfolio'!D$2:D2000=""BUY""), INT((ROW()-2)/amortYears)+1"&amp;")
   )
)
"),"")</f>
        <v/>
      </c>
      <c r="L870" s="15" t="str">
        <f>IFERROR(__xludf.DUMMYFUNCTION("IF(A870="""","""",
  INDEX(FILTER('RE Portfolio'!C$2:C2000,'RE Portfolio'!D$2:D2000=""BUY""), INT((ROW()-2)/amortYears)+1)
  * (1 + VALUE(Assumptions!$B$11))^(D870-1)
)
"),"")</f>
        <v/>
      </c>
    </row>
    <row r="871">
      <c r="A871" s="15" t="str">
        <f>IFERROR(__xludf.DUMMYFUNCTION("IFERROR(INDEX(FILTER('RE Portfolio'!A$2:A2000,'RE Portfolio'!D$2:D2000=""BUY""), INT((ROW()-2)/amortYears)+1), )
"),"")</f>
        <v/>
      </c>
      <c r="B871" s="15" t="str">
        <f>IFERROR(__xludf.DUMMYFUNCTION("IFERROR(INDEX(FILTER('RE Portfolio'!B$2:B2000,'RE Portfolio'!D$2:D2000=""BUY""), INT((ROW()-2)/amortYears)+1), )
"),"")</f>
        <v/>
      </c>
      <c r="C871" s="15" t="str">
        <f>IFERROR(__xludf.DUMMYFUNCTION("IFERROR(INDEX(FILTER('RE Portfolio'!G$2:G2000,'RE Portfolio'!D$2:D2000=""BUY""), INT((ROW()-2)/amortYears)+1), )
"),"")</f>
        <v/>
      </c>
      <c r="D871" s="15">
        <f>MOD(ROW()-2, amortYears)+1</f>
        <v>34</v>
      </c>
      <c r="E871" s="15" t="str">
        <f t="shared" si="1"/>
        <v/>
      </c>
      <c r="F871" s="15">
        <f t="shared" si="2"/>
        <v>0</v>
      </c>
      <c r="G871" s="15">
        <f>IF(D871&lt;=mortTerm, -PMT(mortRate/12, mortTerm*12, C871)*12, 0)
</f>
        <v>0</v>
      </c>
      <c r="H871" s="15">
        <f>IF(D871&lt;=mortTerm, G871 - I871, 0)
</f>
        <v>0</v>
      </c>
      <c r="I871" s="15">
        <f>IF(D871&lt;=mortTerm, F871 - J871, 0)
</f>
        <v>0</v>
      </c>
      <c r="J871" s="15">
        <f>IF(D871&lt;=mortTerm,
   F871*(1+mortRate/12)^12 - (-PMT(mortRate/12, mortTerm*12, C871))*(((1+mortRate/12)^12 - 1)/(mortRate/12)),
   0
)
</f>
        <v>0</v>
      </c>
      <c r="K871" s="13" t="str">
        <f>IFERROR(__xludf.DUMMYFUNCTION("IF(A871="""","""",
   IF(F871&gt;0,
      INDEX(FILTER('RE Portfolio'!L$2:L2000,'RE Portfolio'!D$2:D2000=""BUY""), INT((ROW()-2)/amortYears)+1) - G871,
      INDEX(FILTER('RE Portfolio'!L$2:L2000,'RE Portfolio'!D$2:D2000=""BUY""), INT((ROW()-2)/amortYears)+1"&amp;")
   )
)
"),"")</f>
        <v/>
      </c>
      <c r="L871" s="15" t="str">
        <f>IFERROR(__xludf.DUMMYFUNCTION("IF(A871="""","""",
  INDEX(FILTER('RE Portfolio'!C$2:C2000,'RE Portfolio'!D$2:D2000=""BUY""), INT((ROW()-2)/amortYears)+1)
  * (1 + VALUE(Assumptions!$B$11))^(D871-1)
)
"),"")</f>
        <v/>
      </c>
    </row>
    <row r="872">
      <c r="A872" s="15" t="str">
        <f>IFERROR(__xludf.DUMMYFUNCTION("IFERROR(INDEX(FILTER('RE Portfolio'!A$2:A2000,'RE Portfolio'!D$2:D2000=""BUY""), INT((ROW()-2)/amortYears)+1), )
"),"")</f>
        <v/>
      </c>
      <c r="B872" s="15" t="str">
        <f>IFERROR(__xludf.DUMMYFUNCTION("IFERROR(INDEX(FILTER('RE Portfolio'!B$2:B2000,'RE Portfolio'!D$2:D2000=""BUY""), INT((ROW()-2)/amortYears)+1), )
"),"")</f>
        <v/>
      </c>
      <c r="C872" s="15" t="str">
        <f>IFERROR(__xludf.DUMMYFUNCTION("IFERROR(INDEX(FILTER('RE Portfolio'!G$2:G2000,'RE Portfolio'!D$2:D2000=""BUY""), INT((ROW()-2)/amortYears)+1), )
"),"")</f>
        <v/>
      </c>
      <c r="D872" s="15">
        <f>MOD(ROW()-2, amortYears)+1</f>
        <v>35</v>
      </c>
      <c r="E872" s="15" t="str">
        <f t="shared" si="1"/>
        <v/>
      </c>
      <c r="F872" s="15">
        <f t="shared" si="2"/>
        <v>0</v>
      </c>
      <c r="G872" s="15">
        <f>IF(D872&lt;=mortTerm, -PMT(mortRate/12, mortTerm*12, C872)*12, 0)
</f>
        <v>0</v>
      </c>
      <c r="H872" s="15">
        <f>IF(D872&lt;=mortTerm, G872 - I872, 0)
</f>
        <v>0</v>
      </c>
      <c r="I872" s="15">
        <f>IF(D872&lt;=mortTerm, F872 - J872, 0)
</f>
        <v>0</v>
      </c>
      <c r="J872" s="15">
        <f>IF(D872&lt;=mortTerm,
   F872*(1+mortRate/12)^12 - (-PMT(mortRate/12, mortTerm*12, C872))*(((1+mortRate/12)^12 - 1)/(mortRate/12)),
   0
)
</f>
        <v>0</v>
      </c>
      <c r="K872" s="13" t="str">
        <f>IFERROR(__xludf.DUMMYFUNCTION("IF(A872="""","""",
   IF(F872&gt;0,
      INDEX(FILTER('RE Portfolio'!L$2:L2000,'RE Portfolio'!D$2:D2000=""BUY""), INT((ROW()-2)/amortYears)+1) - G872,
      INDEX(FILTER('RE Portfolio'!L$2:L2000,'RE Portfolio'!D$2:D2000=""BUY""), INT((ROW()-2)/amortYears)+1"&amp;")
   )
)
"),"")</f>
        <v/>
      </c>
      <c r="L872" s="15" t="str">
        <f>IFERROR(__xludf.DUMMYFUNCTION("IF(A872="""","""",
  INDEX(FILTER('RE Portfolio'!C$2:C2000,'RE Portfolio'!D$2:D2000=""BUY""), INT((ROW()-2)/amortYears)+1)
  * (1 + VALUE(Assumptions!$B$11))^(D872-1)
)
"),"")</f>
        <v/>
      </c>
    </row>
    <row r="873">
      <c r="A873" s="15" t="str">
        <f>IFERROR(__xludf.DUMMYFUNCTION("IFERROR(INDEX(FILTER('RE Portfolio'!A$2:A2000,'RE Portfolio'!D$2:D2000=""BUY""), INT((ROW()-2)/amortYears)+1), )
"),"")</f>
        <v/>
      </c>
      <c r="B873" s="15" t="str">
        <f>IFERROR(__xludf.DUMMYFUNCTION("IFERROR(INDEX(FILTER('RE Portfolio'!B$2:B2000,'RE Portfolio'!D$2:D2000=""BUY""), INT((ROW()-2)/amortYears)+1), )
"),"")</f>
        <v/>
      </c>
      <c r="C873" s="15" t="str">
        <f>IFERROR(__xludf.DUMMYFUNCTION("IFERROR(INDEX(FILTER('RE Portfolio'!G$2:G2000,'RE Portfolio'!D$2:D2000=""BUY""), INT((ROW()-2)/amortYears)+1), )
"),"")</f>
        <v/>
      </c>
      <c r="D873" s="15">
        <f>MOD(ROW()-2, amortYears)+1</f>
        <v>36</v>
      </c>
      <c r="E873" s="15" t="str">
        <f t="shared" si="1"/>
        <v/>
      </c>
      <c r="F873" s="15">
        <f t="shared" si="2"/>
        <v>0</v>
      </c>
      <c r="G873" s="15">
        <f>IF(D873&lt;=mortTerm, -PMT(mortRate/12, mortTerm*12, C873)*12, 0)
</f>
        <v>0</v>
      </c>
      <c r="H873" s="15">
        <f>IF(D873&lt;=mortTerm, G873 - I873, 0)
</f>
        <v>0</v>
      </c>
      <c r="I873" s="15">
        <f>IF(D873&lt;=mortTerm, F873 - J873, 0)
</f>
        <v>0</v>
      </c>
      <c r="J873" s="15">
        <f>IF(D873&lt;=mortTerm,
   F873*(1+mortRate/12)^12 - (-PMT(mortRate/12, mortTerm*12, C873))*(((1+mortRate/12)^12 - 1)/(mortRate/12)),
   0
)
</f>
        <v>0</v>
      </c>
      <c r="K873" s="13" t="str">
        <f>IFERROR(__xludf.DUMMYFUNCTION("IF(A873="""","""",
   IF(F873&gt;0,
      INDEX(FILTER('RE Portfolio'!L$2:L2000,'RE Portfolio'!D$2:D2000=""BUY""), INT((ROW()-2)/amortYears)+1) - G873,
      INDEX(FILTER('RE Portfolio'!L$2:L2000,'RE Portfolio'!D$2:D2000=""BUY""), INT((ROW()-2)/amortYears)+1"&amp;")
   )
)
"),"")</f>
        <v/>
      </c>
      <c r="L873" s="15" t="str">
        <f>IFERROR(__xludf.DUMMYFUNCTION("IF(A873="""","""",
  INDEX(FILTER('RE Portfolio'!C$2:C2000,'RE Portfolio'!D$2:D2000=""BUY""), INT((ROW()-2)/amortYears)+1)
  * (1 + VALUE(Assumptions!$B$11))^(D873-1)
)
"),"")</f>
        <v/>
      </c>
    </row>
    <row r="874">
      <c r="A874" s="15" t="str">
        <f>IFERROR(__xludf.DUMMYFUNCTION("IFERROR(INDEX(FILTER('RE Portfolio'!A$2:A2000,'RE Portfolio'!D$2:D2000=""BUY""), INT((ROW()-2)/amortYears)+1), )
"),"")</f>
        <v/>
      </c>
      <c r="B874" s="15" t="str">
        <f>IFERROR(__xludf.DUMMYFUNCTION("IFERROR(INDEX(FILTER('RE Portfolio'!B$2:B2000,'RE Portfolio'!D$2:D2000=""BUY""), INT((ROW()-2)/amortYears)+1), )
"),"")</f>
        <v/>
      </c>
      <c r="C874" s="15" t="str">
        <f>IFERROR(__xludf.DUMMYFUNCTION("IFERROR(INDEX(FILTER('RE Portfolio'!G$2:G2000,'RE Portfolio'!D$2:D2000=""BUY""), INT((ROW()-2)/amortYears)+1), )
"),"")</f>
        <v/>
      </c>
      <c r="D874" s="15">
        <f>MOD(ROW()-2, amortYears)+1</f>
        <v>37</v>
      </c>
      <c r="E874" s="15" t="str">
        <f t="shared" si="1"/>
        <v/>
      </c>
      <c r="F874" s="15">
        <f t="shared" si="2"/>
        <v>0</v>
      </c>
      <c r="G874" s="15">
        <f>IF(D874&lt;=mortTerm, -PMT(mortRate/12, mortTerm*12, C874)*12, 0)
</f>
        <v>0</v>
      </c>
      <c r="H874" s="15">
        <f>IF(D874&lt;=mortTerm, G874 - I874, 0)
</f>
        <v>0</v>
      </c>
      <c r="I874" s="15">
        <f>IF(D874&lt;=mortTerm, F874 - J874, 0)
</f>
        <v>0</v>
      </c>
      <c r="J874" s="15">
        <f>IF(D874&lt;=mortTerm,
   F874*(1+mortRate/12)^12 - (-PMT(mortRate/12, mortTerm*12, C874))*(((1+mortRate/12)^12 - 1)/(mortRate/12)),
   0
)
</f>
        <v>0</v>
      </c>
      <c r="K874" s="13" t="str">
        <f>IFERROR(__xludf.DUMMYFUNCTION("IF(A874="""","""",
   IF(F874&gt;0,
      INDEX(FILTER('RE Portfolio'!L$2:L2000,'RE Portfolio'!D$2:D2000=""BUY""), INT((ROW()-2)/amortYears)+1) - G874,
      INDEX(FILTER('RE Portfolio'!L$2:L2000,'RE Portfolio'!D$2:D2000=""BUY""), INT((ROW()-2)/amortYears)+1"&amp;")
   )
)
"),"")</f>
        <v/>
      </c>
      <c r="L874" s="15" t="str">
        <f>IFERROR(__xludf.DUMMYFUNCTION("IF(A874="""","""",
  INDEX(FILTER('RE Portfolio'!C$2:C2000,'RE Portfolio'!D$2:D2000=""BUY""), INT((ROW()-2)/amortYears)+1)
  * (1 + VALUE(Assumptions!$B$11))^(D874-1)
)
"),"")</f>
        <v/>
      </c>
    </row>
    <row r="875">
      <c r="A875" s="15" t="str">
        <f>IFERROR(__xludf.DUMMYFUNCTION("IFERROR(INDEX(FILTER('RE Portfolio'!A$2:A2000,'RE Portfolio'!D$2:D2000=""BUY""), INT((ROW()-2)/amortYears)+1), )
"),"")</f>
        <v/>
      </c>
      <c r="B875" s="15" t="str">
        <f>IFERROR(__xludf.DUMMYFUNCTION("IFERROR(INDEX(FILTER('RE Portfolio'!B$2:B2000,'RE Portfolio'!D$2:D2000=""BUY""), INT((ROW()-2)/amortYears)+1), )
"),"")</f>
        <v/>
      </c>
      <c r="C875" s="15" t="str">
        <f>IFERROR(__xludf.DUMMYFUNCTION("IFERROR(INDEX(FILTER('RE Portfolio'!G$2:G2000,'RE Portfolio'!D$2:D2000=""BUY""), INT((ROW()-2)/amortYears)+1), )
"),"")</f>
        <v/>
      </c>
      <c r="D875" s="15">
        <f>MOD(ROW()-2, amortYears)+1</f>
        <v>38</v>
      </c>
      <c r="E875" s="15" t="str">
        <f t="shared" si="1"/>
        <v/>
      </c>
      <c r="F875" s="15">
        <f t="shared" si="2"/>
        <v>0</v>
      </c>
      <c r="G875" s="15">
        <f>IF(D875&lt;=mortTerm, -PMT(mortRate/12, mortTerm*12, C875)*12, 0)
</f>
        <v>0</v>
      </c>
      <c r="H875" s="15">
        <f>IF(D875&lt;=mortTerm, G875 - I875, 0)
</f>
        <v>0</v>
      </c>
      <c r="I875" s="15">
        <f>IF(D875&lt;=mortTerm, F875 - J875, 0)
</f>
        <v>0</v>
      </c>
      <c r="J875" s="15">
        <f>IF(D875&lt;=mortTerm,
   F875*(1+mortRate/12)^12 - (-PMT(mortRate/12, mortTerm*12, C875))*(((1+mortRate/12)^12 - 1)/(mortRate/12)),
   0
)
</f>
        <v>0</v>
      </c>
      <c r="K875" s="13" t="str">
        <f>IFERROR(__xludf.DUMMYFUNCTION("IF(A875="""","""",
   IF(F875&gt;0,
      INDEX(FILTER('RE Portfolio'!L$2:L2000,'RE Portfolio'!D$2:D2000=""BUY""), INT((ROW()-2)/amortYears)+1) - G875,
      INDEX(FILTER('RE Portfolio'!L$2:L2000,'RE Portfolio'!D$2:D2000=""BUY""), INT((ROW()-2)/amortYears)+1"&amp;")
   )
)
"),"")</f>
        <v/>
      </c>
      <c r="L875" s="15" t="str">
        <f>IFERROR(__xludf.DUMMYFUNCTION("IF(A875="""","""",
  INDEX(FILTER('RE Portfolio'!C$2:C2000,'RE Portfolio'!D$2:D2000=""BUY""), INT((ROW()-2)/amortYears)+1)
  * (1 + VALUE(Assumptions!$B$11))^(D875-1)
)
"),"")</f>
        <v/>
      </c>
    </row>
    <row r="876">
      <c r="A876" s="15" t="str">
        <f>IFERROR(__xludf.DUMMYFUNCTION("IFERROR(INDEX(FILTER('RE Portfolio'!A$2:A2000,'RE Portfolio'!D$2:D2000=""BUY""), INT((ROW()-2)/amortYears)+1), )
"),"")</f>
        <v/>
      </c>
      <c r="B876" s="15" t="str">
        <f>IFERROR(__xludf.DUMMYFUNCTION("IFERROR(INDEX(FILTER('RE Portfolio'!B$2:B2000,'RE Portfolio'!D$2:D2000=""BUY""), INT((ROW()-2)/amortYears)+1), )
"),"")</f>
        <v/>
      </c>
      <c r="C876" s="15" t="str">
        <f>IFERROR(__xludf.DUMMYFUNCTION("IFERROR(INDEX(FILTER('RE Portfolio'!G$2:G2000,'RE Portfolio'!D$2:D2000=""BUY""), INT((ROW()-2)/amortYears)+1), )
"),"")</f>
        <v/>
      </c>
      <c r="D876" s="15">
        <f>MOD(ROW()-2, amortYears)+1</f>
        <v>1</v>
      </c>
      <c r="E876" s="15" t="str">
        <f t="shared" si="1"/>
        <v/>
      </c>
      <c r="F876" s="15" t="str">
        <f t="shared" si="2"/>
        <v/>
      </c>
      <c r="G876" s="16">
        <f>IF(D876&lt;=mortTerm, -PMT(mortRate/12, mortTerm*12, C876)*12, 0)
</f>
        <v>0</v>
      </c>
      <c r="H876" s="16">
        <f>IF(D876&lt;=mortTerm, G876 - I876, 0)
</f>
        <v>0</v>
      </c>
      <c r="I876" s="16">
        <f>IF(D876&lt;=mortTerm, F876 - J876, 0)
</f>
        <v>0</v>
      </c>
      <c r="J876" s="16">
        <f>IF(D876&lt;=mortTerm,
   F876*(1+mortRate/12)^12 - (-PMT(mortRate/12, mortTerm*12, C876))*(((1+mortRate/12)^12 - 1)/(mortRate/12)),
   0
)
</f>
        <v>0</v>
      </c>
      <c r="K876" s="13" t="str">
        <f>IFERROR(__xludf.DUMMYFUNCTION("IF(A876="""","""",
   IF(F876&gt;0,
      INDEX(FILTER('RE Portfolio'!L$2:L2000,'RE Portfolio'!D$2:D2000=""BUY""), INT((ROW()-2)/amortYears)+1) - G876,
      INDEX(FILTER('RE Portfolio'!L$2:L2000,'RE Portfolio'!D$2:D2000=""BUY""), INT((ROW()-2)/amortYears)+1"&amp;")
   )
)
"),"")</f>
        <v/>
      </c>
      <c r="L876" s="15" t="str">
        <f>IFERROR(__xludf.DUMMYFUNCTION("IF(A876="""","""",
  INDEX(FILTER('RE Portfolio'!C$2:C2000,'RE Portfolio'!D$2:D2000=""BUY""), INT((ROW()-2)/amortYears)+1)
  * (1 + VALUE(Assumptions!$B$11))^(D876-1)
)
"),"")</f>
        <v/>
      </c>
    </row>
    <row r="877">
      <c r="A877" s="15" t="str">
        <f>IFERROR(__xludf.DUMMYFUNCTION("IFERROR(INDEX(FILTER('RE Portfolio'!A$2:A2000,'RE Portfolio'!D$2:D2000=""BUY""), INT((ROW()-2)/amortYears)+1), )
"),"")</f>
        <v/>
      </c>
      <c r="B877" s="15" t="str">
        <f>IFERROR(__xludf.DUMMYFUNCTION("IFERROR(INDEX(FILTER('RE Portfolio'!B$2:B2000,'RE Portfolio'!D$2:D2000=""BUY""), INT((ROW()-2)/amortYears)+1), )
"),"")</f>
        <v/>
      </c>
      <c r="C877" s="15" t="str">
        <f>IFERROR(__xludf.DUMMYFUNCTION("IFERROR(INDEX(FILTER('RE Portfolio'!G$2:G2000,'RE Portfolio'!D$2:D2000=""BUY""), INT((ROW()-2)/amortYears)+1), )
"),"")</f>
        <v/>
      </c>
      <c r="D877" s="15">
        <f>MOD(ROW()-2, amortYears)+1</f>
        <v>2</v>
      </c>
      <c r="E877" s="15" t="str">
        <f t="shared" si="1"/>
        <v/>
      </c>
      <c r="F877" s="16">
        <f t="shared" si="2"/>
        <v>0</v>
      </c>
      <c r="G877" s="16">
        <f>IF(D877&lt;=mortTerm, -PMT(mortRate/12, mortTerm*12, C877)*12, 0)
</f>
        <v>0</v>
      </c>
      <c r="H877" s="16">
        <f>IF(D877&lt;=mortTerm, G877 - I877, 0)
</f>
        <v>0</v>
      </c>
      <c r="I877" s="16">
        <f>IF(D877&lt;=mortTerm, F877 - J877, 0)
</f>
        <v>0</v>
      </c>
      <c r="J877" s="16">
        <f>IF(D877&lt;=mortTerm,
   F877*(1+mortRate/12)^12 - (-PMT(mortRate/12, mortTerm*12, C877))*(((1+mortRate/12)^12 - 1)/(mortRate/12)),
   0
)
</f>
        <v>0</v>
      </c>
      <c r="K877" s="13" t="str">
        <f>IFERROR(__xludf.DUMMYFUNCTION("IF(A877="""","""",
   IF(F877&gt;0,
      INDEX(FILTER('RE Portfolio'!L$2:L2000,'RE Portfolio'!D$2:D2000=""BUY""), INT((ROW()-2)/amortYears)+1) - G877,
      INDEX(FILTER('RE Portfolio'!L$2:L2000,'RE Portfolio'!D$2:D2000=""BUY""), INT((ROW()-2)/amortYears)+1"&amp;")
   )
)
"),"")</f>
        <v/>
      </c>
      <c r="L877" s="15" t="str">
        <f>IFERROR(__xludf.DUMMYFUNCTION("IF(A877="""","""",
  INDEX(FILTER('RE Portfolio'!C$2:C2000,'RE Portfolio'!D$2:D2000=""BUY""), INT((ROW()-2)/amortYears)+1)
  * (1 + VALUE(Assumptions!$B$11))^(D877-1)
)
"),"")</f>
        <v/>
      </c>
    </row>
    <row r="878">
      <c r="A878" s="15" t="str">
        <f>IFERROR(__xludf.DUMMYFUNCTION("IFERROR(INDEX(FILTER('RE Portfolio'!A$2:A2000,'RE Portfolio'!D$2:D2000=""BUY""), INT((ROW()-2)/amortYears)+1), )
"),"")</f>
        <v/>
      </c>
      <c r="B878" s="15" t="str">
        <f>IFERROR(__xludf.DUMMYFUNCTION("IFERROR(INDEX(FILTER('RE Portfolio'!B$2:B2000,'RE Portfolio'!D$2:D2000=""BUY""), INT((ROW()-2)/amortYears)+1), )
"),"")</f>
        <v/>
      </c>
      <c r="C878" s="15" t="str">
        <f>IFERROR(__xludf.DUMMYFUNCTION("IFERROR(INDEX(FILTER('RE Portfolio'!G$2:G2000,'RE Portfolio'!D$2:D2000=""BUY""), INT((ROW()-2)/amortYears)+1), )
"),"")</f>
        <v/>
      </c>
      <c r="D878" s="15">
        <f>MOD(ROW()-2, amortYears)+1</f>
        <v>3</v>
      </c>
      <c r="E878" s="15" t="str">
        <f t="shared" si="1"/>
        <v/>
      </c>
      <c r="F878" s="16">
        <f t="shared" si="2"/>
        <v>0</v>
      </c>
      <c r="G878" s="16">
        <f>IF(D878&lt;=mortTerm, -PMT(mortRate/12, mortTerm*12, C878)*12, 0)
</f>
        <v>0</v>
      </c>
      <c r="H878" s="16">
        <f>IF(D878&lt;=mortTerm, G878 - I878, 0)
</f>
        <v>0</v>
      </c>
      <c r="I878" s="16">
        <f>IF(D878&lt;=mortTerm, F878 - J878, 0)
</f>
        <v>0</v>
      </c>
      <c r="J878" s="16">
        <f>IF(D878&lt;=mortTerm,
   F878*(1+mortRate/12)^12 - (-PMT(mortRate/12, mortTerm*12, C878))*(((1+mortRate/12)^12 - 1)/(mortRate/12)),
   0
)
</f>
        <v>0</v>
      </c>
      <c r="K878" s="13" t="str">
        <f>IFERROR(__xludf.DUMMYFUNCTION("IF(A878="""","""",
   IF(F878&gt;0,
      INDEX(FILTER('RE Portfolio'!L$2:L2000,'RE Portfolio'!D$2:D2000=""BUY""), INT((ROW()-2)/amortYears)+1) - G878,
      INDEX(FILTER('RE Portfolio'!L$2:L2000,'RE Portfolio'!D$2:D2000=""BUY""), INT((ROW()-2)/amortYears)+1"&amp;")
   )
)
"),"")</f>
        <v/>
      </c>
      <c r="L878" s="15" t="str">
        <f>IFERROR(__xludf.DUMMYFUNCTION("IF(A878="""","""",
  INDEX(FILTER('RE Portfolio'!C$2:C2000,'RE Portfolio'!D$2:D2000=""BUY""), INT((ROW()-2)/amortYears)+1)
  * (1 + VALUE(Assumptions!$B$11))^(D878-1)
)
"),"")</f>
        <v/>
      </c>
    </row>
    <row r="879">
      <c r="A879" s="15" t="str">
        <f>IFERROR(__xludf.DUMMYFUNCTION("IFERROR(INDEX(FILTER('RE Portfolio'!A$2:A2000,'RE Portfolio'!D$2:D2000=""BUY""), INT((ROW()-2)/amortYears)+1), )
"),"")</f>
        <v/>
      </c>
      <c r="B879" s="15" t="str">
        <f>IFERROR(__xludf.DUMMYFUNCTION("IFERROR(INDEX(FILTER('RE Portfolio'!B$2:B2000,'RE Portfolio'!D$2:D2000=""BUY""), INT((ROW()-2)/amortYears)+1), )
"),"")</f>
        <v/>
      </c>
      <c r="C879" s="15" t="str">
        <f>IFERROR(__xludf.DUMMYFUNCTION("IFERROR(INDEX(FILTER('RE Portfolio'!G$2:G2000,'RE Portfolio'!D$2:D2000=""BUY""), INT((ROW()-2)/amortYears)+1), )
"),"")</f>
        <v/>
      </c>
      <c r="D879" s="15">
        <f>MOD(ROW()-2, amortYears)+1</f>
        <v>4</v>
      </c>
      <c r="E879" s="15" t="str">
        <f t="shared" si="1"/>
        <v/>
      </c>
      <c r="F879" s="16">
        <f t="shared" si="2"/>
        <v>0</v>
      </c>
      <c r="G879" s="16">
        <f>IF(D879&lt;=mortTerm, -PMT(mortRate/12, mortTerm*12, C879)*12, 0)
</f>
        <v>0</v>
      </c>
      <c r="H879" s="16">
        <f>IF(D879&lt;=mortTerm, G879 - I879, 0)
</f>
        <v>0</v>
      </c>
      <c r="I879" s="16">
        <f>IF(D879&lt;=mortTerm, F879 - J879, 0)
</f>
        <v>0</v>
      </c>
      <c r="J879" s="16">
        <f>IF(D879&lt;=mortTerm,
   F879*(1+mortRate/12)^12 - (-PMT(mortRate/12, mortTerm*12, C879))*(((1+mortRate/12)^12 - 1)/(mortRate/12)),
   0
)
</f>
        <v>0</v>
      </c>
      <c r="K879" s="13" t="str">
        <f>IFERROR(__xludf.DUMMYFUNCTION("IF(A879="""","""",
   IF(F879&gt;0,
      INDEX(FILTER('RE Portfolio'!L$2:L2000,'RE Portfolio'!D$2:D2000=""BUY""), INT((ROW()-2)/amortYears)+1) - G879,
      INDEX(FILTER('RE Portfolio'!L$2:L2000,'RE Portfolio'!D$2:D2000=""BUY""), INT((ROW()-2)/amortYears)+1"&amp;")
   )
)
"),"")</f>
        <v/>
      </c>
      <c r="L879" s="15" t="str">
        <f>IFERROR(__xludf.DUMMYFUNCTION("IF(A879="""","""",
  INDEX(FILTER('RE Portfolio'!C$2:C2000,'RE Portfolio'!D$2:D2000=""BUY""), INT((ROW()-2)/amortYears)+1)
  * (1 + VALUE(Assumptions!$B$11))^(D879-1)
)
"),"")</f>
        <v/>
      </c>
    </row>
    <row r="880">
      <c r="A880" s="15" t="str">
        <f>IFERROR(__xludf.DUMMYFUNCTION("IFERROR(INDEX(FILTER('RE Portfolio'!A$2:A2000,'RE Portfolio'!D$2:D2000=""BUY""), INT((ROW()-2)/amortYears)+1), )
"),"")</f>
        <v/>
      </c>
      <c r="B880" s="15" t="str">
        <f>IFERROR(__xludf.DUMMYFUNCTION("IFERROR(INDEX(FILTER('RE Portfolio'!B$2:B2000,'RE Portfolio'!D$2:D2000=""BUY""), INT((ROW()-2)/amortYears)+1), )
"),"")</f>
        <v/>
      </c>
      <c r="C880" s="15" t="str">
        <f>IFERROR(__xludf.DUMMYFUNCTION("IFERROR(INDEX(FILTER('RE Portfolio'!G$2:G2000,'RE Portfolio'!D$2:D2000=""BUY""), INT((ROW()-2)/amortYears)+1), )
"),"")</f>
        <v/>
      </c>
      <c r="D880" s="15">
        <f>MOD(ROW()-2, amortYears)+1</f>
        <v>5</v>
      </c>
      <c r="E880" s="15" t="str">
        <f t="shared" si="1"/>
        <v/>
      </c>
      <c r="F880" s="16">
        <f t="shared" si="2"/>
        <v>0</v>
      </c>
      <c r="G880" s="16">
        <f>IF(D880&lt;=mortTerm, -PMT(mortRate/12, mortTerm*12, C880)*12, 0)
</f>
        <v>0</v>
      </c>
      <c r="H880" s="16">
        <f>IF(D880&lt;=mortTerm, G880 - I880, 0)
</f>
        <v>0</v>
      </c>
      <c r="I880" s="16">
        <f>IF(D880&lt;=mortTerm, F880 - J880, 0)
</f>
        <v>0</v>
      </c>
      <c r="J880" s="16">
        <f>IF(D880&lt;=mortTerm,
   F880*(1+mortRate/12)^12 - (-PMT(mortRate/12, mortTerm*12, C880))*(((1+mortRate/12)^12 - 1)/(mortRate/12)),
   0
)
</f>
        <v>0</v>
      </c>
      <c r="K880" s="13" t="str">
        <f>IFERROR(__xludf.DUMMYFUNCTION("IF(A880="""","""",
   IF(F880&gt;0,
      INDEX(FILTER('RE Portfolio'!L$2:L2000,'RE Portfolio'!D$2:D2000=""BUY""), INT((ROW()-2)/amortYears)+1) - G880,
      INDEX(FILTER('RE Portfolio'!L$2:L2000,'RE Portfolio'!D$2:D2000=""BUY""), INT((ROW()-2)/amortYears)+1"&amp;")
   )
)
"),"")</f>
        <v/>
      </c>
      <c r="L880" s="15" t="str">
        <f>IFERROR(__xludf.DUMMYFUNCTION("IF(A880="""","""",
  INDEX(FILTER('RE Portfolio'!C$2:C2000,'RE Portfolio'!D$2:D2000=""BUY""), INT((ROW()-2)/amortYears)+1)
  * (1 + VALUE(Assumptions!$B$11))^(D880-1)
)
"),"")</f>
        <v/>
      </c>
    </row>
    <row r="881">
      <c r="A881" s="15" t="str">
        <f>IFERROR(__xludf.DUMMYFUNCTION("IFERROR(INDEX(FILTER('RE Portfolio'!A$2:A2000,'RE Portfolio'!D$2:D2000=""BUY""), INT((ROW()-2)/amortYears)+1), )
"),"")</f>
        <v/>
      </c>
      <c r="B881" s="15" t="str">
        <f>IFERROR(__xludf.DUMMYFUNCTION("IFERROR(INDEX(FILTER('RE Portfolio'!B$2:B2000,'RE Portfolio'!D$2:D2000=""BUY""), INT((ROW()-2)/amortYears)+1), )
"),"")</f>
        <v/>
      </c>
      <c r="C881" s="15" t="str">
        <f>IFERROR(__xludf.DUMMYFUNCTION("IFERROR(INDEX(FILTER('RE Portfolio'!G$2:G2000,'RE Portfolio'!D$2:D2000=""BUY""), INT((ROW()-2)/amortYears)+1), )
"),"")</f>
        <v/>
      </c>
      <c r="D881" s="15">
        <f>MOD(ROW()-2, amortYears)+1</f>
        <v>6</v>
      </c>
      <c r="E881" s="15" t="str">
        <f t="shared" si="1"/>
        <v/>
      </c>
      <c r="F881" s="16">
        <f t="shared" si="2"/>
        <v>0</v>
      </c>
      <c r="G881" s="16">
        <f>IF(D881&lt;=mortTerm, -PMT(mortRate/12, mortTerm*12, C881)*12, 0)
</f>
        <v>0</v>
      </c>
      <c r="H881" s="16">
        <f>IF(D881&lt;=mortTerm, G881 - I881, 0)
</f>
        <v>0</v>
      </c>
      <c r="I881" s="16">
        <f>IF(D881&lt;=mortTerm, F881 - J881, 0)
</f>
        <v>0</v>
      </c>
      <c r="J881" s="16">
        <f>IF(D881&lt;=mortTerm,
   F881*(1+mortRate/12)^12 - (-PMT(mortRate/12, mortTerm*12, C881))*(((1+mortRate/12)^12 - 1)/(mortRate/12)),
   0
)
</f>
        <v>0</v>
      </c>
      <c r="K881" s="13" t="str">
        <f>IFERROR(__xludf.DUMMYFUNCTION("IF(A881="""","""",
   IF(F881&gt;0,
      INDEX(FILTER('RE Portfolio'!L$2:L2000,'RE Portfolio'!D$2:D2000=""BUY""), INT((ROW()-2)/amortYears)+1) - G881,
      INDEX(FILTER('RE Portfolio'!L$2:L2000,'RE Portfolio'!D$2:D2000=""BUY""), INT((ROW()-2)/amortYears)+1"&amp;")
   )
)
"),"")</f>
        <v/>
      </c>
      <c r="L881" s="15" t="str">
        <f>IFERROR(__xludf.DUMMYFUNCTION("IF(A881="""","""",
  INDEX(FILTER('RE Portfolio'!C$2:C2000,'RE Portfolio'!D$2:D2000=""BUY""), INT((ROW()-2)/amortYears)+1)
  * (1 + VALUE(Assumptions!$B$11))^(D881-1)
)
"),"")</f>
        <v/>
      </c>
    </row>
    <row r="882">
      <c r="A882" s="15" t="str">
        <f>IFERROR(__xludf.DUMMYFUNCTION("IFERROR(INDEX(FILTER('RE Portfolio'!A$2:A2000,'RE Portfolio'!D$2:D2000=""BUY""), INT((ROW()-2)/amortYears)+1), )
"),"")</f>
        <v/>
      </c>
      <c r="B882" s="15" t="str">
        <f>IFERROR(__xludf.DUMMYFUNCTION("IFERROR(INDEX(FILTER('RE Portfolio'!B$2:B2000,'RE Portfolio'!D$2:D2000=""BUY""), INT((ROW()-2)/amortYears)+1), )
"),"")</f>
        <v/>
      </c>
      <c r="C882" s="15" t="str">
        <f>IFERROR(__xludf.DUMMYFUNCTION("IFERROR(INDEX(FILTER('RE Portfolio'!G$2:G2000,'RE Portfolio'!D$2:D2000=""BUY""), INT((ROW()-2)/amortYears)+1), )
"),"")</f>
        <v/>
      </c>
      <c r="D882" s="15">
        <f>MOD(ROW()-2, amortYears)+1</f>
        <v>7</v>
      </c>
      <c r="E882" s="15" t="str">
        <f t="shared" si="1"/>
        <v/>
      </c>
      <c r="F882" s="16">
        <f t="shared" si="2"/>
        <v>0</v>
      </c>
      <c r="G882" s="16">
        <f>IF(D882&lt;=mortTerm, -PMT(mortRate/12, mortTerm*12, C882)*12, 0)
</f>
        <v>0</v>
      </c>
      <c r="H882" s="16">
        <f>IF(D882&lt;=mortTerm, G882 - I882, 0)
</f>
        <v>0</v>
      </c>
      <c r="I882" s="16">
        <f>IF(D882&lt;=mortTerm, F882 - J882, 0)
</f>
        <v>0</v>
      </c>
      <c r="J882" s="16">
        <f>IF(D882&lt;=mortTerm,
   F882*(1+mortRate/12)^12 - (-PMT(mortRate/12, mortTerm*12, C882))*(((1+mortRate/12)^12 - 1)/(mortRate/12)),
   0
)
</f>
        <v>0</v>
      </c>
      <c r="K882" s="13" t="str">
        <f>IFERROR(__xludf.DUMMYFUNCTION("IF(A882="""","""",
   IF(F882&gt;0,
      INDEX(FILTER('RE Portfolio'!L$2:L2000,'RE Portfolio'!D$2:D2000=""BUY""), INT((ROW()-2)/amortYears)+1) - G882,
      INDEX(FILTER('RE Portfolio'!L$2:L2000,'RE Portfolio'!D$2:D2000=""BUY""), INT((ROW()-2)/amortYears)+1"&amp;")
   )
)
"),"")</f>
        <v/>
      </c>
      <c r="L882" s="15" t="str">
        <f>IFERROR(__xludf.DUMMYFUNCTION("IF(A882="""","""",
  INDEX(FILTER('RE Portfolio'!C$2:C2000,'RE Portfolio'!D$2:D2000=""BUY""), INT((ROW()-2)/amortYears)+1)
  * (1 + VALUE(Assumptions!$B$11))^(D882-1)
)
"),"")</f>
        <v/>
      </c>
    </row>
    <row r="883">
      <c r="A883" s="15" t="str">
        <f>IFERROR(__xludf.DUMMYFUNCTION("IFERROR(INDEX(FILTER('RE Portfolio'!A$2:A2000,'RE Portfolio'!D$2:D2000=""BUY""), INT((ROW()-2)/amortYears)+1), )
"),"")</f>
        <v/>
      </c>
      <c r="B883" s="15" t="str">
        <f>IFERROR(__xludf.DUMMYFUNCTION("IFERROR(INDEX(FILTER('RE Portfolio'!B$2:B2000,'RE Portfolio'!D$2:D2000=""BUY""), INT((ROW()-2)/amortYears)+1), )
"),"")</f>
        <v/>
      </c>
      <c r="C883" s="15" t="str">
        <f>IFERROR(__xludf.DUMMYFUNCTION("IFERROR(INDEX(FILTER('RE Portfolio'!G$2:G2000,'RE Portfolio'!D$2:D2000=""BUY""), INT((ROW()-2)/amortYears)+1), )
"),"")</f>
        <v/>
      </c>
      <c r="D883" s="15">
        <f>MOD(ROW()-2, amortYears)+1</f>
        <v>8</v>
      </c>
      <c r="E883" s="15" t="str">
        <f t="shared" si="1"/>
        <v/>
      </c>
      <c r="F883" s="16">
        <f t="shared" si="2"/>
        <v>0</v>
      </c>
      <c r="G883" s="16">
        <f>IF(D883&lt;=mortTerm, -PMT(mortRate/12, mortTerm*12, C883)*12, 0)
</f>
        <v>0</v>
      </c>
      <c r="H883" s="16">
        <f>IF(D883&lt;=mortTerm, G883 - I883, 0)
</f>
        <v>0</v>
      </c>
      <c r="I883" s="16">
        <f>IF(D883&lt;=mortTerm, F883 - J883, 0)
</f>
        <v>0</v>
      </c>
      <c r="J883" s="16">
        <f>IF(D883&lt;=mortTerm,
   F883*(1+mortRate/12)^12 - (-PMT(mortRate/12, mortTerm*12, C883))*(((1+mortRate/12)^12 - 1)/(mortRate/12)),
   0
)
</f>
        <v>0</v>
      </c>
      <c r="K883" s="13" t="str">
        <f>IFERROR(__xludf.DUMMYFUNCTION("IF(A883="""","""",
   IF(F883&gt;0,
      INDEX(FILTER('RE Portfolio'!L$2:L2000,'RE Portfolio'!D$2:D2000=""BUY""), INT((ROW()-2)/amortYears)+1) - G883,
      INDEX(FILTER('RE Portfolio'!L$2:L2000,'RE Portfolio'!D$2:D2000=""BUY""), INT((ROW()-2)/amortYears)+1"&amp;")
   )
)
"),"")</f>
        <v/>
      </c>
      <c r="L883" s="15" t="str">
        <f>IFERROR(__xludf.DUMMYFUNCTION("IF(A883="""","""",
  INDEX(FILTER('RE Portfolio'!C$2:C2000,'RE Portfolio'!D$2:D2000=""BUY""), INT((ROW()-2)/amortYears)+1)
  * (1 + VALUE(Assumptions!$B$11))^(D883-1)
)
"),"")</f>
        <v/>
      </c>
    </row>
    <row r="884">
      <c r="A884" s="15" t="str">
        <f>IFERROR(__xludf.DUMMYFUNCTION("IFERROR(INDEX(FILTER('RE Portfolio'!A$2:A2000,'RE Portfolio'!D$2:D2000=""BUY""), INT((ROW()-2)/amortYears)+1), )
"),"")</f>
        <v/>
      </c>
      <c r="B884" s="15" t="str">
        <f>IFERROR(__xludf.DUMMYFUNCTION("IFERROR(INDEX(FILTER('RE Portfolio'!B$2:B2000,'RE Portfolio'!D$2:D2000=""BUY""), INT((ROW()-2)/amortYears)+1), )
"),"")</f>
        <v/>
      </c>
      <c r="C884" s="15" t="str">
        <f>IFERROR(__xludf.DUMMYFUNCTION("IFERROR(INDEX(FILTER('RE Portfolio'!G$2:G2000,'RE Portfolio'!D$2:D2000=""BUY""), INT((ROW()-2)/amortYears)+1), )
"),"")</f>
        <v/>
      </c>
      <c r="D884" s="15">
        <f>MOD(ROW()-2, amortYears)+1</f>
        <v>9</v>
      </c>
      <c r="E884" s="15" t="str">
        <f t="shared" si="1"/>
        <v/>
      </c>
      <c r="F884" s="16">
        <f t="shared" si="2"/>
        <v>0</v>
      </c>
      <c r="G884" s="16">
        <f>IF(D884&lt;=mortTerm, -PMT(mortRate/12, mortTerm*12, C884)*12, 0)
</f>
        <v>0</v>
      </c>
      <c r="H884" s="16">
        <f>IF(D884&lt;=mortTerm, G884 - I884, 0)
</f>
        <v>0</v>
      </c>
      <c r="I884" s="16">
        <f>IF(D884&lt;=mortTerm, F884 - J884, 0)
</f>
        <v>0</v>
      </c>
      <c r="J884" s="16">
        <f>IF(D884&lt;=mortTerm,
   F884*(1+mortRate/12)^12 - (-PMT(mortRate/12, mortTerm*12, C884))*(((1+mortRate/12)^12 - 1)/(mortRate/12)),
   0
)
</f>
        <v>0</v>
      </c>
      <c r="K884" s="13" t="str">
        <f>IFERROR(__xludf.DUMMYFUNCTION("IF(A884="""","""",
   IF(F884&gt;0,
      INDEX(FILTER('RE Portfolio'!L$2:L2000,'RE Portfolio'!D$2:D2000=""BUY""), INT((ROW()-2)/amortYears)+1) - G884,
      INDEX(FILTER('RE Portfolio'!L$2:L2000,'RE Portfolio'!D$2:D2000=""BUY""), INT((ROW()-2)/amortYears)+1"&amp;")
   )
)
"),"")</f>
        <v/>
      </c>
      <c r="L884" s="15" t="str">
        <f>IFERROR(__xludf.DUMMYFUNCTION("IF(A884="""","""",
  INDEX(FILTER('RE Portfolio'!C$2:C2000,'RE Portfolio'!D$2:D2000=""BUY""), INT((ROW()-2)/amortYears)+1)
  * (1 + VALUE(Assumptions!$B$11))^(D884-1)
)
"),"")</f>
        <v/>
      </c>
    </row>
    <row r="885">
      <c r="A885" s="15" t="str">
        <f>IFERROR(__xludf.DUMMYFUNCTION("IFERROR(INDEX(FILTER('RE Portfolio'!A$2:A2000,'RE Portfolio'!D$2:D2000=""BUY""), INT((ROW()-2)/amortYears)+1), )
"),"")</f>
        <v/>
      </c>
      <c r="B885" s="15" t="str">
        <f>IFERROR(__xludf.DUMMYFUNCTION("IFERROR(INDEX(FILTER('RE Portfolio'!B$2:B2000,'RE Portfolio'!D$2:D2000=""BUY""), INT((ROW()-2)/amortYears)+1), )
"),"")</f>
        <v/>
      </c>
      <c r="C885" s="15" t="str">
        <f>IFERROR(__xludf.DUMMYFUNCTION("IFERROR(INDEX(FILTER('RE Portfolio'!G$2:G2000,'RE Portfolio'!D$2:D2000=""BUY""), INT((ROW()-2)/amortYears)+1), )
"),"")</f>
        <v/>
      </c>
      <c r="D885" s="15">
        <f>MOD(ROW()-2, amortYears)+1</f>
        <v>10</v>
      </c>
      <c r="E885" s="15" t="str">
        <f t="shared" si="1"/>
        <v/>
      </c>
      <c r="F885" s="16">
        <f t="shared" si="2"/>
        <v>0</v>
      </c>
      <c r="G885" s="16">
        <f>IF(D885&lt;=mortTerm, -PMT(mortRate/12, mortTerm*12, C885)*12, 0)
</f>
        <v>0</v>
      </c>
      <c r="H885" s="16">
        <f>IF(D885&lt;=mortTerm, G885 - I885, 0)
</f>
        <v>0</v>
      </c>
      <c r="I885" s="16">
        <f>IF(D885&lt;=mortTerm, F885 - J885, 0)
</f>
        <v>0</v>
      </c>
      <c r="J885" s="16">
        <f>IF(D885&lt;=mortTerm,
   F885*(1+mortRate/12)^12 - (-PMT(mortRate/12, mortTerm*12, C885))*(((1+mortRate/12)^12 - 1)/(mortRate/12)),
   0
)
</f>
        <v>0</v>
      </c>
      <c r="K885" s="13" t="str">
        <f>IFERROR(__xludf.DUMMYFUNCTION("IF(A885="""","""",
   IF(F885&gt;0,
      INDEX(FILTER('RE Portfolio'!L$2:L2000,'RE Portfolio'!D$2:D2000=""BUY""), INT((ROW()-2)/amortYears)+1) - G885,
      INDEX(FILTER('RE Portfolio'!L$2:L2000,'RE Portfolio'!D$2:D2000=""BUY""), INT((ROW()-2)/amortYears)+1"&amp;")
   )
)
"),"")</f>
        <v/>
      </c>
      <c r="L885" s="15" t="str">
        <f>IFERROR(__xludf.DUMMYFUNCTION("IF(A885="""","""",
  INDEX(FILTER('RE Portfolio'!C$2:C2000,'RE Portfolio'!D$2:D2000=""BUY""), INT((ROW()-2)/amortYears)+1)
  * (1 + VALUE(Assumptions!$B$11))^(D885-1)
)
"),"")</f>
        <v/>
      </c>
    </row>
    <row r="886">
      <c r="A886" s="15" t="str">
        <f>IFERROR(__xludf.DUMMYFUNCTION("IFERROR(INDEX(FILTER('RE Portfolio'!A$2:A2000,'RE Portfolio'!D$2:D2000=""BUY""), INT((ROW()-2)/amortYears)+1), )
"),"")</f>
        <v/>
      </c>
      <c r="B886" s="15" t="str">
        <f>IFERROR(__xludf.DUMMYFUNCTION("IFERROR(INDEX(FILTER('RE Portfolio'!B$2:B2000,'RE Portfolio'!D$2:D2000=""BUY""), INT((ROW()-2)/amortYears)+1), )
"),"")</f>
        <v/>
      </c>
      <c r="C886" s="15" t="str">
        <f>IFERROR(__xludf.DUMMYFUNCTION("IFERROR(INDEX(FILTER('RE Portfolio'!G$2:G2000,'RE Portfolio'!D$2:D2000=""BUY""), INT((ROW()-2)/amortYears)+1), )
"),"")</f>
        <v/>
      </c>
      <c r="D886" s="15">
        <f>MOD(ROW()-2, amortYears)+1</f>
        <v>11</v>
      </c>
      <c r="E886" s="15" t="str">
        <f t="shared" si="1"/>
        <v/>
      </c>
      <c r="F886" s="16">
        <f t="shared" si="2"/>
        <v>0</v>
      </c>
      <c r="G886" s="16">
        <f>IF(D886&lt;=mortTerm, -PMT(mortRate/12, mortTerm*12, C886)*12, 0)
</f>
        <v>0</v>
      </c>
      <c r="H886" s="16">
        <f>IF(D886&lt;=mortTerm, G886 - I886, 0)
</f>
        <v>0</v>
      </c>
      <c r="I886" s="16">
        <f>IF(D886&lt;=mortTerm, F886 - J886, 0)
</f>
        <v>0</v>
      </c>
      <c r="J886" s="16">
        <f>IF(D886&lt;=mortTerm,
   F886*(1+mortRate/12)^12 - (-PMT(mortRate/12, mortTerm*12, C886))*(((1+mortRate/12)^12 - 1)/(mortRate/12)),
   0
)
</f>
        <v>0</v>
      </c>
      <c r="K886" s="13" t="str">
        <f>IFERROR(__xludf.DUMMYFUNCTION("IF(A886="""","""",
   IF(F886&gt;0,
      INDEX(FILTER('RE Portfolio'!L$2:L2000,'RE Portfolio'!D$2:D2000=""BUY""), INT((ROW()-2)/amortYears)+1) - G886,
      INDEX(FILTER('RE Portfolio'!L$2:L2000,'RE Portfolio'!D$2:D2000=""BUY""), INT((ROW()-2)/amortYears)+1"&amp;")
   )
)
"),"")</f>
        <v/>
      </c>
      <c r="L886" s="15" t="str">
        <f>IFERROR(__xludf.DUMMYFUNCTION("IF(A886="""","""",
  INDEX(FILTER('RE Portfolio'!C$2:C2000,'RE Portfolio'!D$2:D2000=""BUY""), INT((ROW()-2)/amortYears)+1)
  * (1 + VALUE(Assumptions!$B$11))^(D886-1)
)
"),"")</f>
        <v/>
      </c>
    </row>
    <row r="887">
      <c r="A887" s="15" t="str">
        <f>IFERROR(__xludf.DUMMYFUNCTION("IFERROR(INDEX(FILTER('RE Portfolio'!A$2:A2000,'RE Portfolio'!D$2:D2000=""BUY""), INT((ROW()-2)/amortYears)+1), )
"),"")</f>
        <v/>
      </c>
      <c r="B887" s="15" t="str">
        <f>IFERROR(__xludf.DUMMYFUNCTION("IFERROR(INDEX(FILTER('RE Portfolio'!B$2:B2000,'RE Portfolio'!D$2:D2000=""BUY""), INT((ROW()-2)/amortYears)+1), )
"),"")</f>
        <v/>
      </c>
      <c r="C887" s="15" t="str">
        <f>IFERROR(__xludf.DUMMYFUNCTION("IFERROR(INDEX(FILTER('RE Portfolio'!G$2:G2000,'RE Portfolio'!D$2:D2000=""BUY""), INT((ROW()-2)/amortYears)+1), )
"),"")</f>
        <v/>
      </c>
      <c r="D887" s="15">
        <f>MOD(ROW()-2, amortYears)+1</f>
        <v>12</v>
      </c>
      <c r="E887" s="15" t="str">
        <f t="shared" si="1"/>
        <v/>
      </c>
      <c r="F887" s="16">
        <f t="shared" si="2"/>
        <v>0</v>
      </c>
      <c r="G887" s="16">
        <f>IF(D887&lt;=mortTerm, -PMT(mortRate/12, mortTerm*12, C887)*12, 0)
</f>
        <v>0</v>
      </c>
      <c r="H887" s="16">
        <f>IF(D887&lt;=mortTerm, G887 - I887, 0)
</f>
        <v>0</v>
      </c>
      <c r="I887" s="16">
        <f>IF(D887&lt;=mortTerm, F887 - J887, 0)
</f>
        <v>0</v>
      </c>
      <c r="J887" s="16">
        <f>IF(D887&lt;=mortTerm,
   F887*(1+mortRate/12)^12 - (-PMT(mortRate/12, mortTerm*12, C887))*(((1+mortRate/12)^12 - 1)/(mortRate/12)),
   0
)
</f>
        <v>0</v>
      </c>
      <c r="K887" s="13" t="str">
        <f>IFERROR(__xludf.DUMMYFUNCTION("IF(A887="""","""",
   IF(F887&gt;0,
      INDEX(FILTER('RE Portfolio'!L$2:L2000,'RE Portfolio'!D$2:D2000=""BUY""), INT((ROW()-2)/amortYears)+1) - G887,
      INDEX(FILTER('RE Portfolio'!L$2:L2000,'RE Portfolio'!D$2:D2000=""BUY""), INT((ROW()-2)/amortYears)+1"&amp;")
   )
)
"),"")</f>
        <v/>
      </c>
      <c r="L887" s="15" t="str">
        <f>IFERROR(__xludf.DUMMYFUNCTION("IF(A887="""","""",
  INDEX(FILTER('RE Portfolio'!C$2:C2000,'RE Portfolio'!D$2:D2000=""BUY""), INT((ROW()-2)/amortYears)+1)
  * (1 + VALUE(Assumptions!$B$11))^(D887-1)
)
"),"")</f>
        <v/>
      </c>
    </row>
    <row r="888">
      <c r="A888" s="15" t="str">
        <f>IFERROR(__xludf.DUMMYFUNCTION("IFERROR(INDEX(FILTER('RE Portfolio'!A$2:A2000,'RE Portfolio'!D$2:D2000=""BUY""), INT((ROW()-2)/amortYears)+1), )
"),"")</f>
        <v/>
      </c>
      <c r="B888" s="15" t="str">
        <f>IFERROR(__xludf.DUMMYFUNCTION("IFERROR(INDEX(FILTER('RE Portfolio'!B$2:B2000,'RE Portfolio'!D$2:D2000=""BUY""), INT((ROW()-2)/amortYears)+1), )
"),"")</f>
        <v/>
      </c>
      <c r="C888" s="15" t="str">
        <f>IFERROR(__xludf.DUMMYFUNCTION("IFERROR(INDEX(FILTER('RE Portfolio'!G$2:G2000,'RE Portfolio'!D$2:D2000=""BUY""), INT((ROW()-2)/amortYears)+1), )
"),"")</f>
        <v/>
      </c>
      <c r="D888" s="15">
        <f>MOD(ROW()-2, amortYears)+1</f>
        <v>13</v>
      </c>
      <c r="E888" s="15" t="str">
        <f t="shared" si="1"/>
        <v/>
      </c>
      <c r="F888" s="16">
        <f t="shared" si="2"/>
        <v>0</v>
      </c>
      <c r="G888" s="16">
        <f>IF(D888&lt;=mortTerm, -PMT(mortRate/12, mortTerm*12, C888)*12, 0)
</f>
        <v>0</v>
      </c>
      <c r="H888" s="16">
        <f>IF(D888&lt;=mortTerm, G888 - I888, 0)
</f>
        <v>0</v>
      </c>
      <c r="I888" s="16">
        <f>IF(D888&lt;=mortTerm, F888 - J888, 0)
</f>
        <v>0</v>
      </c>
      <c r="J888" s="16">
        <f>IF(D888&lt;=mortTerm,
   F888*(1+mortRate/12)^12 - (-PMT(mortRate/12, mortTerm*12, C888))*(((1+mortRate/12)^12 - 1)/(mortRate/12)),
   0
)
</f>
        <v>0</v>
      </c>
      <c r="K888" s="13" t="str">
        <f>IFERROR(__xludf.DUMMYFUNCTION("IF(A888="""","""",
   IF(F888&gt;0,
      INDEX(FILTER('RE Portfolio'!L$2:L2000,'RE Portfolio'!D$2:D2000=""BUY""), INT((ROW()-2)/amortYears)+1) - G888,
      INDEX(FILTER('RE Portfolio'!L$2:L2000,'RE Portfolio'!D$2:D2000=""BUY""), INT((ROW()-2)/amortYears)+1"&amp;")
   )
)
"),"")</f>
        <v/>
      </c>
      <c r="L888" s="15" t="str">
        <f>IFERROR(__xludf.DUMMYFUNCTION("IF(A888="""","""",
  INDEX(FILTER('RE Portfolio'!C$2:C2000,'RE Portfolio'!D$2:D2000=""BUY""), INT((ROW()-2)/amortYears)+1)
  * (1 + VALUE(Assumptions!$B$11))^(D888-1)
)
"),"")</f>
        <v/>
      </c>
    </row>
    <row r="889">
      <c r="A889" s="15" t="str">
        <f>IFERROR(__xludf.DUMMYFUNCTION("IFERROR(INDEX(FILTER('RE Portfolio'!A$2:A2000,'RE Portfolio'!D$2:D2000=""BUY""), INT((ROW()-2)/amortYears)+1), )
"),"")</f>
        <v/>
      </c>
      <c r="B889" s="15" t="str">
        <f>IFERROR(__xludf.DUMMYFUNCTION("IFERROR(INDEX(FILTER('RE Portfolio'!B$2:B2000,'RE Portfolio'!D$2:D2000=""BUY""), INT((ROW()-2)/amortYears)+1), )
"),"")</f>
        <v/>
      </c>
      <c r="C889" s="15" t="str">
        <f>IFERROR(__xludf.DUMMYFUNCTION("IFERROR(INDEX(FILTER('RE Portfolio'!G$2:G2000,'RE Portfolio'!D$2:D2000=""BUY""), INT((ROW()-2)/amortYears)+1), )
"),"")</f>
        <v/>
      </c>
      <c r="D889" s="15">
        <f>MOD(ROW()-2, amortYears)+1</f>
        <v>14</v>
      </c>
      <c r="E889" s="15" t="str">
        <f t="shared" si="1"/>
        <v/>
      </c>
      <c r="F889" s="16">
        <f t="shared" si="2"/>
        <v>0</v>
      </c>
      <c r="G889" s="16">
        <f>IF(D889&lt;=mortTerm, -PMT(mortRate/12, mortTerm*12, C889)*12, 0)
</f>
        <v>0</v>
      </c>
      <c r="H889" s="16">
        <f>IF(D889&lt;=mortTerm, G889 - I889, 0)
</f>
        <v>0</v>
      </c>
      <c r="I889" s="16">
        <f>IF(D889&lt;=mortTerm, F889 - J889, 0)
</f>
        <v>0</v>
      </c>
      <c r="J889" s="16">
        <f>IF(D889&lt;=mortTerm,
   F889*(1+mortRate/12)^12 - (-PMT(mortRate/12, mortTerm*12, C889))*(((1+mortRate/12)^12 - 1)/(mortRate/12)),
   0
)
</f>
        <v>0</v>
      </c>
      <c r="K889" s="13" t="str">
        <f>IFERROR(__xludf.DUMMYFUNCTION("IF(A889="""","""",
   IF(F889&gt;0,
      INDEX(FILTER('RE Portfolio'!L$2:L2000,'RE Portfolio'!D$2:D2000=""BUY""), INT((ROW()-2)/amortYears)+1) - G889,
      INDEX(FILTER('RE Portfolio'!L$2:L2000,'RE Portfolio'!D$2:D2000=""BUY""), INT((ROW()-2)/amortYears)+1"&amp;")
   )
)
"),"")</f>
        <v/>
      </c>
      <c r="L889" s="15" t="str">
        <f>IFERROR(__xludf.DUMMYFUNCTION("IF(A889="""","""",
  INDEX(FILTER('RE Portfolio'!C$2:C2000,'RE Portfolio'!D$2:D2000=""BUY""), INT((ROW()-2)/amortYears)+1)
  * (1 + VALUE(Assumptions!$B$11))^(D889-1)
)
"),"")</f>
        <v/>
      </c>
    </row>
    <row r="890">
      <c r="A890" s="15" t="str">
        <f>IFERROR(__xludf.DUMMYFUNCTION("IFERROR(INDEX(FILTER('RE Portfolio'!A$2:A2000,'RE Portfolio'!D$2:D2000=""BUY""), INT((ROW()-2)/amortYears)+1), )
"),"")</f>
        <v/>
      </c>
      <c r="B890" s="15" t="str">
        <f>IFERROR(__xludf.DUMMYFUNCTION("IFERROR(INDEX(FILTER('RE Portfolio'!B$2:B2000,'RE Portfolio'!D$2:D2000=""BUY""), INT((ROW()-2)/amortYears)+1), )
"),"")</f>
        <v/>
      </c>
      <c r="C890" s="15" t="str">
        <f>IFERROR(__xludf.DUMMYFUNCTION("IFERROR(INDEX(FILTER('RE Portfolio'!G$2:G2000,'RE Portfolio'!D$2:D2000=""BUY""), INT((ROW()-2)/amortYears)+1), )
"),"")</f>
        <v/>
      </c>
      <c r="D890" s="15">
        <f>MOD(ROW()-2, amortYears)+1</f>
        <v>15</v>
      </c>
      <c r="E890" s="15" t="str">
        <f t="shared" si="1"/>
        <v/>
      </c>
      <c r="F890" s="16">
        <f t="shared" si="2"/>
        <v>0</v>
      </c>
      <c r="G890" s="16">
        <f>IF(D890&lt;=mortTerm, -PMT(mortRate/12, mortTerm*12, C890)*12, 0)
</f>
        <v>0</v>
      </c>
      <c r="H890" s="16">
        <f>IF(D890&lt;=mortTerm, G890 - I890, 0)
</f>
        <v>0</v>
      </c>
      <c r="I890" s="16">
        <f>IF(D890&lt;=mortTerm, F890 - J890, 0)
</f>
        <v>0</v>
      </c>
      <c r="J890" s="16">
        <f>IF(D890&lt;=mortTerm,
   F890*(1+mortRate/12)^12 - (-PMT(mortRate/12, mortTerm*12, C890))*(((1+mortRate/12)^12 - 1)/(mortRate/12)),
   0
)
</f>
        <v>0</v>
      </c>
      <c r="K890" s="13" t="str">
        <f>IFERROR(__xludf.DUMMYFUNCTION("IF(A890="""","""",
   IF(F890&gt;0,
      INDEX(FILTER('RE Portfolio'!L$2:L2000,'RE Portfolio'!D$2:D2000=""BUY""), INT((ROW()-2)/amortYears)+1) - G890,
      INDEX(FILTER('RE Portfolio'!L$2:L2000,'RE Portfolio'!D$2:D2000=""BUY""), INT((ROW()-2)/amortYears)+1"&amp;")
   )
)
"),"")</f>
        <v/>
      </c>
      <c r="L890" s="15" t="str">
        <f>IFERROR(__xludf.DUMMYFUNCTION("IF(A890="""","""",
  INDEX(FILTER('RE Portfolio'!C$2:C2000,'RE Portfolio'!D$2:D2000=""BUY""), INT((ROW()-2)/amortYears)+1)
  * (1 + VALUE(Assumptions!$B$11))^(D890-1)
)
"),"")</f>
        <v/>
      </c>
    </row>
    <row r="891">
      <c r="A891" s="15" t="str">
        <f>IFERROR(__xludf.DUMMYFUNCTION("IFERROR(INDEX(FILTER('RE Portfolio'!A$2:A2000,'RE Portfolio'!D$2:D2000=""BUY""), INT((ROW()-2)/amortYears)+1), )
"),"")</f>
        <v/>
      </c>
      <c r="B891" s="15" t="str">
        <f>IFERROR(__xludf.DUMMYFUNCTION("IFERROR(INDEX(FILTER('RE Portfolio'!B$2:B2000,'RE Portfolio'!D$2:D2000=""BUY""), INT((ROW()-2)/amortYears)+1), )
"),"")</f>
        <v/>
      </c>
      <c r="C891" s="15" t="str">
        <f>IFERROR(__xludf.DUMMYFUNCTION("IFERROR(INDEX(FILTER('RE Portfolio'!G$2:G2000,'RE Portfolio'!D$2:D2000=""BUY""), INT((ROW()-2)/amortYears)+1), )
"),"")</f>
        <v/>
      </c>
      <c r="D891" s="15">
        <f>MOD(ROW()-2, amortYears)+1</f>
        <v>16</v>
      </c>
      <c r="E891" s="15" t="str">
        <f t="shared" si="1"/>
        <v/>
      </c>
      <c r="F891" s="16">
        <f t="shared" si="2"/>
        <v>0</v>
      </c>
      <c r="G891" s="16">
        <f>IF(D891&lt;=mortTerm, -PMT(mortRate/12, mortTerm*12, C891)*12, 0)
</f>
        <v>0</v>
      </c>
      <c r="H891" s="16">
        <f>IF(D891&lt;=mortTerm, G891 - I891, 0)
</f>
        <v>0</v>
      </c>
      <c r="I891" s="16">
        <f>IF(D891&lt;=mortTerm, F891 - J891, 0)
</f>
        <v>0</v>
      </c>
      <c r="J891" s="16">
        <f>IF(D891&lt;=mortTerm,
   F891*(1+mortRate/12)^12 - (-PMT(mortRate/12, mortTerm*12, C891))*(((1+mortRate/12)^12 - 1)/(mortRate/12)),
   0
)
</f>
        <v>0</v>
      </c>
      <c r="K891" s="13" t="str">
        <f>IFERROR(__xludf.DUMMYFUNCTION("IF(A891="""","""",
   IF(F891&gt;0,
      INDEX(FILTER('RE Portfolio'!L$2:L2000,'RE Portfolio'!D$2:D2000=""BUY""), INT((ROW()-2)/amortYears)+1) - G891,
      INDEX(FILTER('RE Portfolio'!L$2:L2000,'RE Portfolio'!D$2:D2000=""BUY""), INT((ROW()-2)/amortYears)+1"&amp;")
   )
)
"),"")</f>
        <v/>
      </c>
      <c r="L891" s="15" t="str">
        <f>IFERROR(__xludf.DUMMYFUNCTION("IF(A891="""","""",
  INDEX(FILTER('RE Portfolio'!C$2:C2000,'RE Portfolio'!D$2:D2000=""BUY""), INT((ROW()-2)/amortYears)+1)
  * (1 + VALUE(Assumptions!$B$11))^(D891-1)
)
"),"")</f>
        <v/>
      </c>
    </row>
    <row r="892">
      <c r="A892" s="15" t="str">
        <f>IFERROR(__xludf.DUMMYFUNCTION("IFERROR(INDEX(FILTER('RE Portfolio'!A$2:A2000,'RE Portfolio'!D$2:D2000=""BUY""), INT((ROW()-2)/amortYears)+1), )
"),"")</f>
        <v/>
      </c>
      <c r="B892" s="15" t="str">
        <f>IFERROR(__xludf.DUMMYFUNCTION("IFERROR(INDEX(FILTER('RE Portfolio'!B$2:B2000,'RE Portfolio'!D$2:D2000=""BUY""), INT((ROW()-2)/amortYears)+1), )
"),"")</f>
        <v/>
      </c>
      <c r="C892" s="15" t="str">
        <f>IFERROR(__xludf.DUMMYFUNCTION("IFERROR(INDEX(FILTER('RE Portfolio'!G$2:G2000,'RE Portfolio'!D$2:D2000=""BUY""), INT((ROW()-2)/amortYears)+1), )
"),"")</f>
        <v/>
      </c>
      <c r="D892" s="15">
        <f>MOD(ROW()-2, amortYears)+1</f>
        <v>17</v>
      </c>
      <c r="E892" s="15" t="str">
        <f t="shared" si="1"/>
        <v/>
      </c>
      <c r="F892" s="16">
        <f t="shared" si="2"/>
        <v>0</v>
      </c>
      <c r="G892" s="16">
        <f>IF(D892&lt;=mortTerm, -PMT(mortRate/12, mortTerm*12, C892)*12, 0)
</f>
        <v>0</v>
      </c>
      <c r="H892" s="16">
        <f>IF(D892&lt;=mortTerm, G892 - I892, 0)
</f>
        <v>0</v>
      </c>
      <c r="I892" s="16">
        <f>IF(D892&lt;=mortTerm, F892 - J892, 0)
</f>
        <v>0</v>
      </c>
      <c r="J892" s="16">
        <f>IF(D892&lt;=mortTerm,
   F892*(1+mortRate/12)^12 - (-PMT(mortRate/12, mortTerm*12, C892))*(((1+mortRate/12)^12 - 1)/(mortRate/12)),
   0
)
</f>
        <v>0</v>
      </c>
      <c r="K892" s="13" t="str">
        <f>IFERROR(__xludf.DUMMYFUNCTION("IF(A892="""","""",
   IF(F892&gt;0,
      INDEX(FILTER('RE Portfolio'!L$2:L2000,'RE Portfolio'!D$2:D2000=""BUY""), INT((ROW()-2)/amortYears)+1) - G892,
      INDEX(FILTER('RE Portfolio'!L$2:L2000,'RE Portfolio'!D$2:D2000=""BUY""), INT((ROW()-2)/amortYears)+1"&amp;")
   )
)
"),"")</f>
        <v/>
      </c>
      <c r="L892" s="15" t="str">
        <f>IFERROR(__xludf.DUMMYFUNCTION("IF(A892="""","""",
  INDEX(FILTER('RE Portfolio'!C$2:C2000,'RE Portfolio'!D$2:D2000=""BUY""), INT((ROW()-2)/amortYears)+1)
  * (1 + VALUE(Assumptions!$B$11))^(D892-1)
)
"),"")</f>
        <v/>
      </c>
    </row>
    <row r="893">
      <c r="A893" s="15" t="str">
        <f>IFERROR(__xludf.DUMMYFUNCTION("IFERROR(INDEX(FILTER('RE Portfolio'!A$2:A2000,'RE Portfolio'!D$2:D2000=""BUY""), INT((ROW()-2)/amortYears)+1), )
"),"")</f>
        <v/>
      </c>
      <c r="B893" s="15" t="str">
        <f>IFERROR(__xludf.DUMMYFUNCTION("IFERROR(INDEX(FILTER('RE Portfolio'!B$2:B2000,'RE Portfolio'!D$2:D2000=""BUY""), INT((ROW()-2)/amortYears)+1), )
"),"")</f>
        <v/>
      </c>
      <c r="C893" s="15" t="str">
        <f>IFERROR(__xludf.DUMMYFUNCTION("IFERROR(INDEX(FILTER('RE Portfolio'!G$2:G2000,'RE Portfolio'!D$2:D2000=""BUY""), INT((ROW()-2)/amortYears)+1), )
"),"")</f>
        <v/>
      </c>
      <c r="D893" s="15">
        <f>MOD(ROW()-2, amortYears)+1</f>
        <v>18</v>
      </c>
      <c r="E893" s="15" t="str">
        <f t="shared" si="1"/>
        <v/>
      </c>
      <c r="F893" s="16">
        <f t="shared" si="2"/>
        <v>0</v>
      </c>
      <c r="G893" s="16">
        <f>IF(D893&lt;=mortTerm, -PMT(mortRate/12, mortTerm*12, C893)*12, 0)
</f>
        <v>0</v>
      </c>
      <c r="H893" s="16">
        <f>IF(D893&lt;=mortTerm, G893 - I893, 0)
</f>
        <v>0</v>
      </c>
      <c r="I893" s="16">
        <f>IF(D893&lt;=mortTerm, F893 - J893, 0)
</f>
        <v>0</v>
      </c>
      <c r="J893" s="16">
        <f>IF(D893&lt;=mortTerm,
   F893*(1+mortRate/12)^12 - (-PMT(mortRate/12, mortTerm*12, C893))*(((1+mortRate/12)^12 - 1)/(mortRate/12)),
   0
)
</f>
        <v>0</v>
      </c>
      <c r="K893" s="13" t="str">
        <f>IFERROR(__xludf.DUMMYFUNCTION("IF(A893="""","""",
   IF(F893&gt;0,
      INDEX(FILTER('RE Portfolio'!L$2:L2000,'RE Portfolio'!D$2:D2000=""BUY""), INT((ROW()-2)/amortYears)+1) - G893,
      INDEX(FILTER('RE Portfolio'!L$2:L2000,'RE Portfolio'!D$2:D2000=""BUY""), INT((ROW()-2)/amortYears)+1"&amp;")
   )
)
"),"")</f>
        <v/>
      </c>
      <c r="L893" s="15" t="str">
        <f>IFERROR(__xludf.DUMMYFUNCTION("IF(A893="""","""",
  INDEX(FILTER('RE Portfolio'!C$2:C2000,'RE Portfolio'!D$2:D2000=""BUY""), INT((ROW()-2)/amortYears)+1)
  * (1 + VALUE(Assumptions!$B$11))^(D893-1)
)
"),"")</f>
        <v/>
      </c>
    </row>
    <row r="894">
      <c r="A894" s="15" t="str">
        <f>IFERROR(__xludf.DUMMYFUNCTION("IFERROR(INDEX(FILTER('RE Portfolio'!A$2:A2000,'RE Portfolio'!D$2:D2000=""BUY""), INT((ROW()-2)/amortYears)+1), )
"),"")</f>
        <v/>
      </c>
      <c r="B894" s="15" t="str">
        <f>IFERROR(__xludf.DUMMYFUNCTION("IFERROR(INDEX(FILTER('RE Portfolio'!B$2:B2000,'RE Portfolio'!D$2:D2000=""BUY""), INT((ROW()-2)/amortYears)+1), )
"),"")</f>
        <v/>
      </c>
      <c r="C894" s="15" t="str">
        <f>IFERROR(__xludf.DUMMYFUNCTION("IFERROR(INDEX(FILTER('RE Portfolio'!G$2:G2000,'RE Portfolio'!D$2:D2000=""BUY""), INT((ROW()-2)/amortYears)+1), )
"),"")</f>
        <v/>
      </c>
      <c r="D894" s="15">
        <f>MOD(ROW()-2, amortYears)+1</f>
        <v>19</v>
      </c>
      <c r="E894" s="15" t="str">
        <f t="shared" si="1"/>
        <v/>
      </c>
      <c r="F894" s="16">
        <f t="shared" si="2"/>
        <v>0</v>
      </c>
      <c r="G894" s="16">
        <f>IF(D894&lt;=mortTerm, -PMT(mortRate/12, mortTerm*12, C894)*12, 0)
</f>
        <v>0</v>
      </c>
      <c r="H894" s="16">
        <f>IF(D894&lt;=mortTerm, G894 - I894, 0)
</f>
        <v>0</v>
      </c>
      <c r="I894" s="16">
        <f>IF(D894&lt;=mortTerm, F894 - J894, 0)
</f>
        <v>0</v>
      </c>
      <c r="J894" s="16">
        <f>IF(D894&lt;=mortTerm,
   F894*(1+mortRate/12)^12 - (-PMT(mortRate/12, mortTerm*12, C894))*(((1+mortRate/12)^12 - 1)/(mortRate/12)),
   0
)
</f>
        <v>0</v>
      </c>
      <c r="K894" s="13" t="str">
        <f>IFERROR(__xludf.DUMMYFUNCTION("IF(A894="""","""",
   IF(F894&gt;0,
      INDEX(FILTER('RE Portfolio'!L$2:L2000,'RE Portfolio'!D$2:D2000=""BUY""), INT((ROW()-2)/amortYears)+1) - G894,
      INDEX(FILTER('RE Portfolio'!L$2:L2000,'RE Portfolio'!D$2:D2000=""BUY""), INT((ROW()-2)/amortYears)+1"&amp;")
   )
)
"),"")</f>
        <v/>
      </c>
      <c r="L894" s="15" t="str">
        <f>IFERROR(__xludf.DUMMYFUNCTION("IF(A894="""","""",
  INDEX(FILTER('RE Portfolio'!C$2:C2000,'RE Portfolio'!D$2:D2000=""BUY""), INT((ROW()-2)/amortYears)+1)
  * (1 + VALUE(Assumptions!$B$11))^(D894-1)
)
"),"")</f>
        <v/>
      </c>
    </row>
    <row r="895">
      <c r="A895" s="15" t="str">
        <f>IFERROR(__xludf.DUMMYFUNCTION("IFERROR(INDEX(FILTER('RE Portfolio'!A$2:A2000,'RE Portfolio'!D$2:D2000=""BUY""), INT((ROW()-2)/amortYears)+1), )
"),"")</f>
        <v/>
      </c>
      <c r="B895" s="15" t="str">
        <f>IFERROR(__xludf.DUMMYFUNCTION("IFERROR(INDEX(FILTER('RE Portfolio'!B$2:B2000,'RE Portfolio'!D$2:D2000=""BUY""), INT((ROW()-2)/amortYears)+1), )
"),"")</f>
        <v/>
      </c>
      <c r="C895" s="15" t="str">
        <f>IFERROR(__xludf.DUMMYFUNCTION("IFERROR(INDEX(FILTER('RE Portfolio'!G$2:G2000,'RE Portfolio'!D$2:D2000=""BUY""), INT((ROW()-2)/amortYears)+1), )
"),"")</f>
        <v/>
      </c>
      <c r="D895" s="15">
        <f>MOD(ROW()-2, amortYears)+1</f>
        <v>20</v>
      </c>
      <c r="E895" s="15" t="str">
        <f t="shared" si="1"/>
        <v/>
      </c>
      <c r="F895" s="16">
        <f t="shared" si="2"/>
        <v>0</v>
      </c>
      <c r="G895" s="16">
        <f>IF(D895&lt;=mortTerm, -PMT(mortRate/12, mortTerm*12, C895)*12, 0)
</f>
        <v>0</v>
      </c>
      <c r="H895" s="16">
        <f>IF(D895&lt;=mortTerm, G895 - I895, 0)
</f>
        <v>0</v>
      </c>
      <c r="I895" s="16">
        <f>IF(D895&lt;=mortTerm, F895 - J895, 0)
</f>
        <v>0</v>
      </c>
      <c r="J895" s="16">
        <f>IF(D895&lt;=mortTerm,
   F895*(1+mortRate/12)^12 - (-PMT(mortRate/12, mortTerm*12, C895))*(((1+mortRate/12)^12 - 1)/(mortRate/12)),
   0
)
</f>
        <v>0</v>
      </c>
      <c r="K895" s="13" t="str">
        <f>IFERROR(__xludf.DUMMYFUNCTION("IF(A895="""","""",
   IF(F895&gt;0,
      INDEX(FILTER('RE Portfolio'!L$2:L2000,'RE Portfolio'!D$2:D2000=""BUY""), INT((ROW()-2)/amortYears)+1) - G895,
      INDEX(FILTER('RE Portfolio'!L$2:L2000,'RE Portfolio'!D$2:D2000=""BUY""), INT((ROW()-2)/amortYears)+1"&amp;")
   )
)
"),"")</f>
        <v/>
      </c>
      <c r="L895" s="15" t="str">
        <f>IFERROR(__xludf.DUMMYFUNCTION("IF(A895="""","""",
  INDEX(FILTER('RE Portfolio'!C$2:C2000,'RE Portfolio'!D$2:D2000=""BUY""), INT((ROW()-2)/amortYears)+1)
  * (1 + VALUE(Assumptions!$B$11))^(D895-1)
)
"),"")</f>
        <v/>
      </c>
    </row>
    <row r="896">
      <c r="A896" s="15" t="str">
        <f>IFERROR(__xludf.DUMMYFUNCTION("IFERROR(INDEX(FILTER('RE Portfolio'!A$2:A2000,'RE Portfolio'!D$2:D2000=""BUY""), INT((ROW()-2)/amortYears)+1), )
"),"")</f>
        <v/>
      </c>
      <c r="B896" s="15" t="str">
        <f>IFERROR(__xludf.DUMMYFUNCTION("IFERROR(INDEX(FILTER('RE Portfolio'!B$2:B2000,'RE Portfolio'!D$2:D2000=""BUY""), INT((ROW()-2)/amortYears)+1), )
"),"")</f>
        <v/>
      </c>
      <c r="C896" s="15" t="str">
        <f>IFERROR(__xludf.DUMMYFUNCTION("IFERROR(INDEX(FILTER('RE Portfolio'!G$2:G2000,'RE Portfolio'!D$2:D2000=""BUY""), INT((ROW()-2)/amortYears)+1), )
"),"")</f>
        <v/>
      </c>
      <c r="D896" s="15">
        <f>MOD(ROW()-2, amortYears)+1</f>
        <v>21</v>
      </c>
      <c r="E896" s="15" t="str">
        <f t="shared" si="1"/>
        <v/>
      </c>
      <c r="F896" s="16">
        <f t="shared" si="2"/>
        <v>0</v>
      </c>
      <c r="G896" s="16">
        <f>IF(D896&lt;=mortTerm, -PMT(mortRate/12, mortTerm*12, C896)*12, 0)
</f>
        <v>0</v>
      </c>
      <c r="H896" s="16">
        <f>IF(D896&lt;=mortTerm, G896 - I896, 0)
</f>
        <v>0</v>
      </c>
      <c r="I896" s="16">
        <f>IF(D896&lt;=mortTerm, F896 - J896, 0)
</f>
        <v>0</v>
      </c>
      <c r="J896" s="16">
        <f>IF(D896&lt;=mortTerm,
   F896*(1+mortRate/12)^12 - (-PMT(mortRate/12, mortTerm*12, C896))*(((1+mortRate/12)^12 - 1)/(mortRate/12)),
   0
)
</f>
        <v>0</v>
      </c>
      <c r="K896" s="13" t="str">
        <f>IFERROR(__xludf.DUMMYFUNCTION("IF(A896="""","""",
   IF(F896&gt;0,
      INDEX(FILTER('RE Portfolio'!L$2:L2000,'RE Portfolio'!D$2:D2000=""BUY""), INT((ROW()-2)/amortYears)+1) - G896,
      INDEX(FILTER('RE Portfolio'!L$2:L2000,'RE Portfolio'!D$2:D2000=""BUY""), INT((ROW()-2)/amortYears)+1"&amp;")
   )
)
"),"")</f>
        <v/>
      </c>
      <c r="L896" s="15" t="str">
        <f>IFERROR(__xludf.DUMMYFUNCTION("IF(A896="""","""",
  INDEX(FILTER('RE Portfolio'!C$2:C2000,'RE Portfolio'!D$2:D2000=""BUY""), INT((ROW()-2)/amortYears)+1)
  * (1 + VALUE(Assumptions!$B$11))^(D896-1)
)
"),"")</f>
        <v/>
      </c>
    </row>
    <row r="897">
      <c r="A897" s="15" t="str">
        <f>IFERROR(__xludf.DUMMYFUNCTION("IFERROR(INDEX(FILTER('RE Portfolio'!A$2:A2000,'RE Portfolio'!D$2:D2000=""BUY""), INT((ROW()-2)/amortYears)+1), )
"),"")</f>
        <v/>
      </c>
      <c r="B897" s="15" t="str">
        <f>IFERROR(__xludf.DUMMYFUNCTION("IFERROR(INDEX(FILTER('RE Portfolio'!B$2:B2000,'RE Portfolio'!D$2:D2000=""BUY""), INT((ROW()-2)/amortYears)+1), )
"),"")</f>
        <v/>
      </c>
      <c r="C897" s="15" t="str">
        <f>IFERROR(__xludf.DUMMYFUNCTION("IFERROR(INDEX(FILTER('RE Portfolio'!G$2:G2000,'RE Portfolio'!D$2:D2000=""BUY""), INT((ROW()-2)/amortYears)+1), )
"),"")</f>
        <v/>
      </c>
      <c r="D897" s="15">
        <f>MOD(ROW()-2, amortYears)+1</f>
        <v>22</v>
      </c>
      <c r="E897" s="15" t="str">
        <f t="shared" si="1"/>
        <v/>
      </c>
      <c r="F897" s="16">
        <f t="shared" si="2"/>
        <v>0</v>
      </c>
      <c r="G897" s="16">
        <f>IF(D897&lt;=mortTerm, -PMT(mortRate/12, mortTerm*12, C897)*12, 0)
</f>
        <v>0</v>
      </c>
      <c r="H897" s="16">
        <f>IF(D897&lt;=mortTerm, G897 - I897, 0)
</f>
        <v>0</v>
      </c>
      <c r="I897" s="16">
        <f>IF(D897&lt;=mortTerm, F897 - J897, 0)
</f>
        <v>0</v>
      </c>
      <c r="J897" s="16">
        <f>IF(D897&lt;=mortTerm,
   F897*(1+mortRate/12)^12 - (-PMT(mortRate/12, mortTerm*12, C897))*(((1+mortRate/12)^12 - 1)/(mortRate/12)),
   0
)
</f>
        <v>0</v>
      </c>
      <c r="K897" s="13" t="str">
        <f>IFERROR(__xludf.DUMMYFUNCTION("IF(A897="""","""",
   IF(F897&gt;0,
      INDEX(FILTER('RE Portfolio'!L$2:L2000,'RE Portfolio'!D$2:D2000=""BUY""), INT((ROW()-2)/amortYears)+1) - G897,
      INDEX(FILTER('RE Portfolio'!L$2:L2000,'RE Portfolio'!D$2:D2000=""BUY""), INT((ROW()-2)/amortYears)+1"&amp;")
   )
)
"),"")</f>
        <v/>
      </c>
      <c r="L897" s="15" t="str">
        <f>IFERROR(__xludf.DUMMYFUNCTION("IF(A897="""","""",
  INDEX(FILTER('RE Portfolio'!C$2:C2000,'RE Portfolio'!D$2:D2000=""BUY""), INT((ROW()-2)/amortYears)+1)
  * (1 + VALUE(Assumptions!$B$11))^(D897-1)
)
"),"")</f>
        <v/>
      </c>
    </row>
    <row r="898">
      <c r="A898" s="15" t="str">
        <f>IFERROR(__xludf.DUMMYFUNCTION("IFERROR(INDEX(FILTER('RE Portfolio'!A$2:A2000,'RE Portfolio'!D$2:D2000=""BUY""), INT((ROW()-2)/amortYears)+1), )
"),"")</f>
        <v/>
      </c>
      <c r="B898" s="15" t="str">
        <f>IFERROR(__xludf.DUMMYFUNCTION("IFERROR(INDEX(FILTER('RE Portfolio'!B$2:B2000,'RE Portfolio'!D$2:D2000=""BUY""), INT((ROW()-2)/amortYears)+1), )
"),"")</f>
        <v/>
      </c>
      <c r="C898" s="15" t="str">
        <f>IFERROR(__xludf.DUMMYFUNCTION("IFERROR(INDEX(FILTER('RE Portfolio'!G$2:G2000,'RE Portfolio'!D$2:D2000=""BUY""), INT((ROW()-2)/amortYears)+1), )
"),"")</f>
        <v/>
      </c>
      <c r="D898" s="15">
        <f>MOD(ROW()-2, amortYears)+1</f>
        <v>23</v>
      </c>
      <c r="E898" s="15" t="str">
        <f t="shared" si="1"/>
        <v/>
      </c>
      <c r="F898" s="16">
        <f t="shared" si="2"/>
        <v>0</v>
      </c>
      <c r="G898" s="16">
        <f>IF(D898&lt;=mortTerm, -PMT(mortRate/12, mortTerm*12, C898)*12, 0)
</f>
        <v>0</v>
      </c>
      <c r="H898" s="16">
        <f>IF(D898&lt;=mortTerm, G898 - I898, 0)
</f>
        <v>0</v>
      </c>
      <c r="I898" s="16">
        <f>IF(D898&lt;=mortTerm, F898 - J898, 0)
</f>
        <v>0</v>
      </c>
      <c r="J898" s="16">
        <f>IF(D898&lt;=mortTerm,
   F898*(1+mortRate/12)^12 - (-PMT(mortRate/12, mortTerm*12, C898))*(((1+mortRate/12)^12 - 1)/(mortRate/12)),
   0
)
</f>
        <v>0</v>
      </c>
      <c r="K898" s="13" t="str">
        <f>IFERROR(__xludf.DUMMYFUNCTION("IF(A898="""","""",
   IF(F898&gt;0,
      INDEX(FILTER('RE Portfolio'!L$2:L2000,'RE Portfolio'!D$2:D2000=""BUY""), INT((ROW()-2)/amortYears)+1) - G898,
      INDEX(FILTER('RE Portfolio'!L$2:L2000,'RE Portfolio'!D$2:D2000=""BUY""), INT((ROW()-2)/amortYears)+1"&amp;")
   )
)
"),"")</f>
        <v/>
      </c>
      <c r="L898" s="15" t="str">
        <f>IFERROR(__xludf.DUMMYFUNCTION("IF(A898="""","""",
  INDEX(FILTER('RE Portfolio'!C$2:C2000,'RE Portfolio'!D$2:D2000=""BUY""), INT((ROW()-2)/amortYears)+1)
  * (1 + VALUE(Assumptions!$B$11))^(D898-1)
)
"),"")</f>
        <v/>
      </c>
    </row>
    <row r="899">
      <c r="A899" s="15" t="str">
        <f>IFERROR(__xludf.DUMMYFUNCTION("IFERROR(INDEX(FILTER('RE Portfolio'!A$2:A2000,'RE Portfolio'!D$2:D2000=""BUY""), INT((ROW()-2)/amortYears)+1), )
"),"")</f>
        <v/>
      </c>
      <c r="B899" s="15" t="str">
        <f>IFERROR(__xludf.DUMMYFUNCTION("IFERROR(INDEX(FILTER('RE Portfolio'!B$2:B2000,'RE Portfolio'!D$2:D2000=""BUY""), INT((ROW()-2)/amortYears)+1), )
"),"")</f>
        <v/>
      </c>
      <c r="C899" s="15" t="str">
        <f>IFERROR(__xludf.DUMMYFUNCTION("IFERROR(INDEX(FILTER('RE Portfolio'!G$2:G2000,'RE Portfolio'!D$2:D2000=""BUY""), INT((ROW()-2)/amortYears)+1), )
"),"")</f>
        <v/>
      </c>
      <c r="D899" s="15">
        <f>MOD(ROW()-2, amortYears)+1</f>
        <v>24</v>
      </c>
      <c r="E899" s="15" t="str">
        <f t="shared" si="1"/>
        <v/>
      </c>
      <c r="F899" s="16">
        <f t="shared" si="2"/>
        <v>0</v>
      </c>
      <c r="G899" s="16">
        <f>IF(D899&lt;=mortTerm, -PMT(mortRate/12, mortTerm*12, C899)*12, 0)
</f>
        <v>0</v>
      </c>
      <c r="H899" s="16">
        <f>IF(D899&lt;=mortTerm, G899 - I899, 0)
</f>
        <v>0</v>
      </c>
      <c r="I899" s="16">
        <f>IF(D899&lt;=mortTerm, F899 - J899, 0)
</f>
        <v>0</v>
      </c>
      <c r="J899" s="16">
        <f>IF(D899&lt;=mortTerm,
   F899*(1+mortRate/12)^12 - (-PMT(mortRate/12, mortTerm*12, C899))*(((1+mortRate/12)^12 - 1)/(mortRate/12)),
   0
)
</f>
        <v>0</v>
      </c>
      <c r="K899" s="13" t="str">
        <f>IFERROR(__xludf.DUMMYFUNCTION("IF(A899="""","""",
   IF(F899&gt;0,
      INDEX(FILTER('RE Portfolio'!L$2:L2000,'RE Portfolio'!D$2:D2000=""BUY""), INT((ROW()-2)/amortYears)+1) - G899,
      INDEX(FILTER('RE Portfolio'!L$2:L2000,'RE Portfolio'!D$2:D2000=""BUY""), INT((ROW()-2)/amortYears)+1"&amp;")
   )
)
"),"")</f>
        <v/>
      </c>
      <c r="L899" s="15" t="str">
        <f>IFERROR(__xludf.DUMMYFUNCTION("IF(A899="""","""",
  INDEX(FILTER('RE Portfolio'!C$2:C2000,'RE Portfolio'!D$2:D2000=""BUY""), INT((ROW()-2)/amortYears)+1)
  * (1 + VALUE(Assumptions!$B$11))^(D899-1)
)
"),"")</f>
        <v/>
      </c>
    </row>
    <row r="900">
      <c r="A900" s="15" t="str">
        <f>IFERROR(__xludf.DUMMYFUNCTION("IFERROR(INDEX(FILTER('RE Portfolio'!A$2:A2000,'RE Portfolio'!D$2:D2000=""BUY""), INT((ROW()-2)/amortYears)+1), )
"),"")</f>
        <v/>
      </c>
      <c r="B900" s="15" t="str">
        <f>IFERROR(__xludf.DUMMYFUNCTION("IFERROR(INDEX(FILTER('RE Portfolio'!B$2:B2000,'RE Portfolio'!D$2:D2000=""BUY""), INT((ROW()-2)/amortYears)+1), )
"),"")</f>
        <v/>
      </c>
      <c r="C900" s="15" t="str">
        <f>IFERROR(__xludf.DUMMYFUNCTION("IFERROR(INDEX(FILTER('RE Portfolio'!G$2:G2000,'RE Portfolio'!D$2:D2000=""BUY""), INT((ROW()-2)/amortYears)+1), )
"),"")</f>
        <v/>
      </c>
      <c r="D900" s="15">
        <f>MOD(ROW()-2, amortYears)+1</f>
        <v>25</v>
      </c>
      <c r="E900" s="15" t="str">
        <f t="shared" si="1"/>
        <v/>
      </c>
      <c r="F900" s="16">
        <f t="shared" si="2"/>
        <v>0</v>
      </c>
      <c r="G900" s="16">
        <f>IF(D900&lt;=mortTerm, -PMT(mortRate/12, mortTerm*12, C900)*12, 0)
</f>
        <v>0</v>
      </c>
      <c r="H900" s="16">
        <f>IF(D900&lt;=mortTerm, G900 - I900, 0)
</f>
        <v>0</v>
      </c>
      <c r="I900" s="16">
        <f>IF(D900&lt;=mortTerm, F900 - J900, 0)
</f>
        <v>0</v>
      </c>
      <c r="J900" s="16">
        <f>IF(D900&lt;=mortTerm,
   F900*(1+mortRate/12)^12 - (-PMT(mortRate/12, mortTerm*12, C900))*(((1+mortRate/12)^12 - 1)/(mortRate/12)),
   0
)
</f>
        <v>0</v>
      </c>
      <c r="K900" s="13" t="str">
        <f>IFERROR(__xludf.DUMMYFUNCTION("IF(A900="""","""",
   IF(F900&gt;0,
      INDEX(FILTER('RE Portfolio'!L$2:L2000,'RE Portfolio'!D$2:D2000=""BUY""), INT((ROW()-2)/amortYears)+1) - G900,
      INDEX(FILTER('RE Portfolio'!L$2:L2000,'RE Portfolio'!D$2:D2000=""BUY""), INT((ROW()-2)/amortYears)+1"&amp;")
   )
)
"),"")</f>
        <v/>
      </c>
      <c r="L900" s="15" t="str">
        <f>IFERROR(__xludf.DUMMYFUNCTION("IF(A900="""","""",
  INDEX(FILTER('RE Portfolio'!C$2:C2000,'RE Portfolio'!D$2:D2000=""BUY""), INT((ROW()-2)/amortYears)+1)
  * (1 + VALUE(Assumptions!$B$11))^(D900-1)
)
"),"")</f>
        <v/>
      </c>
    </row>
    <row r="901">
      <c r="A901" s="15" t="str">
        <f>IFERROR(__xludf.DUMMYFUNCTION("IFERROR(INDEX(FILTER('RE Portfolio'!A$2:A2000,'RE Portfolio'!D$2:D2000=""BUY""), INT((ROW()-2)/amortYears)+1), )
"),"")</f>
        <v/>
      </c>
      <c r="B901" s="15" t="str">
        <f>IFERROR(__xludf.DUMMYFUNCTION("IFERROR(INDEX(FILTER('RE Portfolio'!B$2:B2000,'RE Portfolio'!D$2:D2000=""BUY""), INT((ROW()-2)/amortYears)+1), )
"),"")</f>
        <v/>
      </c>
      <c r="C901" s="15" t="str">
        <f>IFERROR(__xludf.DUMMYFUNCTION("IFERROR(INDEX(FILTER('RE Portfolio'!G$2:G2000,'RE Portfolio'!D$2:D2000=""BUY""), INT((ROW()-2)/amortYears)+1), )
"),"")</f>
        <v/>
      </c>
      <c r="D901" s="15">
        <f>MOD(ROW()-2, amortYears)+1</f>
        <v>26</v>
      </c>
      <c r="E901" s="15" t="str">
        <f t="shared" si="1"/>
        <v/>
      </c>
      <c r="F901" s="16">
        <f t="shared" si="2"/>
        <v>0</v>
      </c>
      <c r="G901" s="16">
        <f>IF(D901&lt;=mortTerm, -PMT(mortRate/12, mortTerm*12, C901)*12, 0)
</f>
        <v>0</v>
      </c>
      <c r="H901" s="16">
        <f>IF(D901&lt;=mortTerm, G901 - I901, 0)
</f>
        <v>0</v>
      </c>
      <c r="I901" s="16">
        <f>IF(D901&lt;=mortTerm, F901 - J901, 0)
</f>
        <v>0</v>
      </c>
      <c r="J901" s="16">
        <f>IF(D901&lt;=mortTerm,
   F901*(1+mortRate/12)^12 - (-PMT(mortRate/12, mortTerm*12, C901))*(((1+mortRate/12)^12 - 1)/(mortRate/12)),
   0
)
</f>
        <v>0</v>
      </c>
      <c r="K901" s="13" t="str">
        <f>IFERROR(__xludf.DUMMYFUNCTION("IF(A901="""","""",
   IF(F901&gt;0,
      INDEX(FILTER('RE Portfolio'!L$2:L2000,'RE Portfolio'!D$2:D2000=""BUY""), INT((ROW()-2)/amortYears)+1) - G901,
      INDEX(FILTER('RE Portfolio'!L$2:L2000,'RE Portfolio'!D$2:D2000=""BUY""), INT((ROW()-2)/amortYears)+1"&amp;")
   )
)
"),"")</f>
        <v/>
      </c>
      <c r="L901" s="15" t="str">
        <f>IFERROR(__xludf.DUMMYFUNCTION("IF(A901="""","""",
  INDEX(FILTER('RE Portfolio'!C$2:C2000,'RE Portfolio'!D$2:D2000=""BUY""), INT((ROW()-2)/amortYears)+1)
  * (1 + VALUE(Assumptions!$B$11))^(D901-1)
)
"),"")</f>
        <v/>
      </c>
    </row>
    <row r="902">
      <c r="A902" s="15" t="str">
        <f>IFERROR(__xludf.DUMMYFUNCTION("IFERROR(INDEX(FILTER('RE Portfolio'!A$2:A2000,'RE Portfolio'!D$2:D2000=""BUY""), INT((ROW()-2)/amortYears)+1), )
"),"")</f>
        <v/>
      </c>
      <c r="B902" s="15" t="str">
        <f>IFERROR(__xludf.DUMMYFUNCTION("IFERROR(INDEX(FILTER('RE Portfolio'!B$2:B2000,'RE Portfolio'!D$2:D2000=""BUY""), INT((ROW()-2)/amortYears)+1), )
"),"")</f>
        <v/>
      </c>
      <c r="C902" s="15" t="str">
        <f>IFERROR(__xludf.DUMMYFUNCTION("IFERROR(INDEX(FILTER('RE Portfolio'!G$2:G2000,'RE Portfolio'!D$2:D2000=""BUY""), INT((ROW()-2)/amortYears)+1), )
"),"")</f>
        <v/>
      </c>
      <c r="D902" s="15">
        <f>MOD(ROW()-2, amortYears)+1</f>
        <v>27</v>
      </c>
      <c r="E902" s="15" t="str">
        <f t="shared" si="1"/>
        <v/>
      </c>
      <c r="F902" s="16">
        <f t="shared" si="2"/>
        <v>0</v>
      </c>
      <c r="G902" s="16">
        <f>IF(D902&lt;=mortTerm, -PMT(mortRate/12, mortTerm*12, C902)*12, 0)
</f>
        <v>0</v>
      </c>
      <c r="H902" s="16">
        <f>IF(D902&lt;=mortTerm, G902 - I902, 0)
</f>
        <v>0</v>
      </c>
      <c r="I902" s="16">
        <f>IF(D902&lt;=mortTerm, F902 - J902, 0)
</f>
        <v>0</v>
      </c>
      <c r="J902" s="16">
        <f>IF(D902&lt;=mortTerm,
   F902*(1+mortRate/12)^12 - (-PMT(mortRate/12, mortTerm*12, C902))*(((1+mortRate/12)^12 - 1)/(mortRate/12)),
   0
)
</f>
        <v>0</v>
      </c>
      <c r="K902" s="13" t="str">
        <f>IFERROR(__xludf.DUMMYFUNCTION("IF(A902="""","""",
   IF(F902&gt;0,
      INDEX(FILTER('RE Portfolio'!L$2:L2000,'RE Portfolio'!D$2:D2000=""BUY""), INT((ROW()-2)/amortYears)+1) - G902,
      INDEX(FILTER('RE Portfolio'!L$2:L2000,'RE Portfolio'!D$2:D2000=""BUY""), INT((ROW()-2)/amortYears)+1"&amp;")
   )
)
"),"")</f>
        <v/>
      </c>
      <c r="L902" s="15" t="str">
        <f>IFERROR(__xludf.DUMMYFUNCTION("IF(A902="""","""",
  INDEX(FILTER('RE Portfolio'!C$2:C2000,'RE Portfolio'!D$2:D2000=""BUY""), INT((ROW()-2)/amortYears)+1)
  * (1 + VALUE(Assumptions!$B$11))^(D902-1)
)
"),"")</f>
        <v/>
      </c>
    </row>
    <row r="903">
      <c r="A903" s="15" t="str">
        <f>IFERROR(__xludf.DUMMYFUNCTION("IFERROR(INDEX(FILTER('RE Portfolio'!A$2:A2000,'RE Portfolio'!D$2:D2000=""BUY""), INT((ROW()-2)/amortYears)+1), )
"),"")</f>
        <v/>
      </c>
      <c r="B903" s="15" t="str">
        <f>IFERROR(__xludf.DUMMYFUNCTION("IFERROR(INDEX(FILTER('RE Portfolio'!B$2:B2000,'RE Portfolio'!D$2:D2000=""BUY""), INT((ROW()-2)/amortYears)+1), )
"),"")</f>
        <v/>
      </c>
      <c r="C903" s="15" t="str">
        <f>IFERROR(__xludf.DUMMYFUNCTION("IFERROR(INDEX(FILTER('RE Portfolio'!G$2:G2000,'RE Portfolio'!D$2:D2000=""BUY""), INT((ROW()-2)/amortYears)+1), )
"),"")</f>
        <v/>
      </c>
      <c r="D903" s="15">
        <f>MOD(ROW()-2, amortYears)+1</f>
        <v>28</v>
      </c>
      <c r="E903" s="15" t="str">
        <f t="shared" si="1"/>
        <v/>
      </c>
      <c r="F903" s="16">
        <f t="shared" si="2"/>
        <v>0</v>
      </c>
      <c r="G903" s="16">
        <f>IF(D903&lt;=mortTerm, -PMT(mortRate/12, mortTerm*12, C903)*12, 0)
</f>
        <v>0</v>
      </c>
      <c r="H903" s="16">
        <f>IF(D903&lt;=mortTerm, G903 - I903, 0)
</f>
        <v>0</v>
      </c>
      <c r="I903" s="16">
        <f>IF(D903&lt;=mortTerm, F903 - J903, 0)
</f>
        <v>0</v>
      </c>
      <c r="J903" s="16">
        <f>IF(D903&lt;=mortTerm,
   F903*(1+mortRate/12)^12 - (-PMT(mortRate/12, mortTerm*12, C903))*(((1+mortRate/12)^12 - 1)/(mortRate/12)),
   0
)
</f>
        <v>0</v>
      </c>
      <c r="K903" s="13" t="str">
        <f>IFERROR(__xludf.DUMMYFUNCTION("IF(A903="""","""",
   IF(F903&gt;0,
      INDEX(FILTER('RE Portfolio'!L$2:L2000,'RE Portfolio'!D$2:D2000=""BUY""), INT((ROW()-2)/amortYears)+1) - G903,
      INDEX(FILTER('RE Portfolio'!L$2:L2000,'RE Portfolio'!D$2:D2000=""BUY""), INT((ROW()-2)/amortYears)+1"&amp;")
   )
)
"),"")</f>
        <v/>
      </c>
      <c r="L903" s="15" t="str">
        <f>IFERROR(__xludf.DUMMYFUNCTION("IF(A903="""","""",
  INDEX(FILTER('RE Portfolio'!C$2:C2000,'RE Portfolio'!D$2:D2000=""BUY""), INT((ROW()-2)/amortYears)+1)
  * (1 + VALUE(Assumptions!$B$11))^(D903-1)
)
"),"")</f>
        <v/>
      </c>
    </row>
    <row r="904">
      <c r="A904" s="15" t="str">
        <f>IFERROR(__xludf.DUMMYFUNCTION("IFERROR(INDEX(FILTER('RE Portfolio'!A$2:A2000,'RE Portfolio'!D$2:D2000=""BUY""), INT((ROW()-2)/amortYears)+1), )
"),"")</f>
        <v/>
      </c>
      <c r="B904" s="15" t="str">
        <f>IFERROR(__xludf.DUMMYFUNCTION("IFERROR(INDEX(FILTER('RE Portfolio'!B$2:B2000,'RE Portfolio'!D$2:D2000=""BUY""), INT((ROW()-2)/amortYears)+1), )
"),"")</f>
        <v/>
      </c>
      <c r="C904" s="15" t="str">
        <f>IFERROR(__xludf.DUMMYFUNCTION("IFERROR(INDEX(FILTER('RE Portfolio'!G$2:G2000,'RE Portfolio'!D$2:D2000=""BUY""), INT((ROW()-2)/amortYears)+1), )
"),"")</f>
        <v/>
      </c>
      <c r="D904" s="15">
        <f>MOD(ROW()-2, amortYears)+1</f>
        <v>29</v>
      </c>
      <c r="E904" s="15" t="str">
        <f t="shared" si="1"/>
        <v/>
      </c>
      <c r="F904" s="16">
        <f t="shared" si="2"/>
        <v>0</v>
      </c>
      <c r="G904" s="16">
        <f>IF(D904&lt;=mortTerm, -PMT(mortRate/12, mortTerm*12, C904)*12, 0)
</f>
        <v>0</v>
      </c>
      <c r="H904" s="16">
        <f>IF(D904&lt;=mortTerm, G904 - I904, 0)
</f>
        <v>0</v>
      </c>
      <c r="I904" s="16">
        <f>IF(D904&lt;=mortTerm, F904 - J904, 0)
</f>
        <v>0</v>
      </c>
      <c r="J904" s="16">
        <f>IF(D904&lt;=mortTerm,
   F904*(1+mortRate/12)^12 - (-PMT(mortRate/12, mortTerm*12, C904))*(((1+mortRate/12)^12 - 1)/(mortRate/12)),
   0
)
</f>
        <v>0</v>
      </c>
      <c r="K904" s="13" t="str">
        <f>IFERROR(__xludf.DUMMYFUNCTION("IF(A904="""","""",
   IF(F904&gt;0,
      INDEX(FILTER('RE Portfolio'!L$2:L2000,'RE Portfolio'!D$2:D2000=""BUY""), INT((ROW()-2)/amortYears)+1) - G904,
      INDEX(FILTER('RE Portfolio'!L$2:L2000,'RE Portfolio'!D$2:D2000=""BUY""), INT((ROW()-2)/amortYears)+1"&amp;")
   )
)
"),"")</f>
        <v/>
      </c>
      <c r="L904" s="15" t="str">
        <f>IFERROR(__xludf.DUMMYFUNCTION("IF(A904="""","""",
  INDEX(FILTER('RE Portfolio'!C$2:C2000,'RE Portfolio'!D$2:D2000=""BUY""), INT((ROW()-2)/amortYears)+1)
  * (1 + VALUE(Assumptions!$B$11))^(D904-1)
)
"),"")</f>
        <v/>
      </c>
    </row>
    <row r="905">
      <c r="A905" s="15" t="str">
        <f>IFERROR(__xludf.DUMMYFUNCTION("IFERROR(INDEX(FILTER('RE Portfolio'!A$2:A2000,'RE Portfolio'!D$2:D2000=""BUY""), INT((ROW()-2)/amortYears)+1), )
"),"")</f>
        <v/>
      </c>
      <c r="B905" s="15" t="str">
        <f>IFERROR(__xludf.DUMMYFUNCTION("IFERROR(INDEX(FILTER('RE Portfolio'!B$2:B2000,'RE Portfolio'!D$2:D2000=""BUY""), INT((ROW()-2)/amortYears)+1), )
"),"")</f>
        <v/>
      </c>
      <c r="C905" s="15" t="str">
        <f>IFERROR(__xludf.DUMMYFUNCTION("IFERROR(INDEX(FILTER('RE Portfolio'!G$2:G2000,'RE Portfolio'!D$2:D2000=""BUY""), INT((ROW()-2)/amortYears)+1), )
"),"")</f>
        <v/>
      </c>
      <c r="D905" s="15">
        <f>MOD(ROW()-2, amortYears)+1</f>
        <v>30</v>
      </c>
      <c r="E905" s="15" t="str">
        <f t="shared" si="1"/>
        <v/>
      </c>
      <c r="F905" s="16">
        <f t="shared" si="2"/>
        <v>0</v>
      </c>
      <c r="G905" s="16">
        <f>IF(D905&lt;=mortTerm, -PMT(mortRate/12, mortTerm*12, C905)*12, 0)
</f>
        <v>0</v>
      </c>
      <c r="H905" s="16">
        <f>IF(D905&lt;=mortTerm, G905 - I905, 0)
</f>
        <v>0</v>
      </c>
      <c r="I905" s="16">
        <f>IF(D905&lt;=mortTerm, F905 - J905, 0)
</f>
        <v>0</v>
      </c>
      <c r="J905" s="16">
        <f>IF(D905&lt;=mortTerm,
   F905*(1+mortRate/12)^12 - (-PMT(mortRate/12, mortTerm*12, C905))*(((1+mortRate/12)^12 - 1)/(mortRate/12)),
   0
)
</f>
        <v>0</v>
      </c>
      <c r="K905" s="13" t="str">
        <f>IFERROR(__xludf.DUMMYFUNCTION("IF(A905="""","""",
   IF(F905&gt;0,
      INDEX(FILTER('RE Portfolio'!L$2:L2000,'RE Portfolio'!D$2:D2000=""BUY""), INT((ROW()-2)/amortYears)+1) - G905,
      INDEX(FILTER('RE Portfolio'!L$2:L2000,'RE Portfolio'!D$2:D2000=""BUY""), INT((ROW()-2)/amortYears)+1"&amp;")
   )
)
"),"")</f>
        <v/>
      </c>
      <c r="L905" s="15" t="str">
        <f>IFERROR(__xludf.DUMMYFUNCTION("IF(A905="""","""",
  INDEX(FILTER('RE Portfolio'!C$2:C2000,'RE Portfolio'!D$2:D2000=""BUY""), INT((ROW()-2)/amortYears)+1)
  * (1 + VALUE(Assumptions!$B$11))^(D905-1)
)
"),"")</f>
        <v/>
      </c>
    </row>
    <row r="906">
      <c r="A906" s="15" t="str">
        <f>IFERROR(__xludf.DUMMYFUNCTION("IFERROR(INDEX(FILTER('RE Portfolio'!A$2:A2000,'RE Portfolio'!D$2:D2000=""BUY""), INT((ROW()-2)/amortYears)+1), )
"),"")</f>
        <v/>
      </c>
      <c r="B906" s="15" t="str">
        <f>IFERROR(__xludf.DUMMYFUNCTION("IFERROR(INDEX(FILTER('RE Portfolio'!B$2:B2000,'RE Portfolio'!D$2:D2000=""BUY""), INT((ROW()-2)/amortYears)+1), )
"),"")</f>
        <v/>
      </c>
      <c r="C906" s="15" t="str">
        <f>IFERROR(__xludf.DUMMYFUNCTION("IFERROR(INDEX(FILTER('RE Portfolio'!G$2:G2000,'RE Portfolio'!D$2:D2000=""BUY""), INT((ROW()-2)/amortYears)+1), )
"),"")</f>
        <v/>
      </c>
      <c r="D906" s="15">
        <f>MOD(ROW()-2, amortYears)+1</f>
        <v>31</v>
      </c>
      <c r="E906" s="15" t="str">
        <f t="shared" si="1"/>
        <v/>
      </c>
      <c r="F906" s="16">
        <f t="shared" si="2"/>
        <v>0</v>
      </c>
      <c r="G906" s="15">
        <f>IF(D906&lt;=mortTerm, -PMT(mortRate/12, mortTerm*12, C906)*12, 0)
</f>
        <v>0</v>
      </c>
      <c r="H906" s="15">
        <f>IF(D906&lt;=mortTerm, G906 - I906, 0)
</f>
        <v>0</v>
      </c>
      <c r="I906" s="15">
        <f>IF(D906&lt;=mortTerm, F906 - J906, 0)
</f>
        <v>0</v>
      </c>
      <c r="J906" s="15">
        <f>IF(D906&lt;=mortTerm,
   F906*(1+mortRate/12)^12 - (-PMT(mortRate/12, mortTerm*12, C906))*(((1+mortRate/12)^12 - 1)/(mortRate/12)),
   0
)
</f>
        <v>0</v>
      </c>
      <c r="K906" s="13" t="str">
        <f>IFERROR(__xludf.DUMMYFUNCTION("IF(A906="""","""",
   IF(F906&gt;0,
      INDEX(FILTER('RE Portfolio'!L$2:L2000,'RE Portfolio'!D$2:D2000=""BUY""), INT((ROW()-2)/amortYears)+1) - G906,
      INDEX(FILTER('RE Portfolio'!L$2:L2000,'RE Portfolio'!D$2:D2000=""BUY""), INT((ROW()-2)/amortYears)+1"&amp;")
   )
)
"),"")</f>
        <v/>
      </c>
      <c r="L906" s="15" t="str">
        <f>IFERROR(__xludf.DUMMYFUNCTION("IF(A906="""","""",
  INDEX(FILTER('RE Portfolio'!C$2:C2000,'RE Portfolio'!D$2:D2000=""BUY""), INT((ROW()-2)/amortYears)+1)
  * (1 + VALUE(Assumptions!$B$11))^(D906-1)
)
"),"")</f>
        <v/>
      </c>
    </row>
    <row r="907">
      <c r="A907" s="15" t="str">
        <f>IFERROR(__xludf.DUMMYFUNCTION("IFERROR(INDEX(FILTER('RE Portfolio'!A$2:A2000,'RE Portfolio'!D$2:D2000=""BUY""), INT((ROW()-2)/amortYears)+1), )
"),"")</f>
        <v/>
      </c>
      <c r="B907" s="15" t="str">
        <f>IFERROR(__xludf.DUMMYFUNCTION("IFERROR(INDEX(FILTER('RE Portfolio'!B$2:B2000,'RE Portfolio'!D$2:D2000=""BUY""), INT((ROW()-2)/amortYears)+1), )
"),"")</f>
        <v/>
      </c>
      <c r="C907" s="15" t="str">
        <f>IFERROR(__xludf.DUMMYFUNCTION("IFERROR(INDEX(FILTER('RE Portfolio'!G$2:G2000,'RE Portfolio'!D$2:D2000=""BUY""), INT((ROW()-2)/amortYears)+1), )
"),"")</f>
        <v/>
      </c>
      <c r="D907" s="15">
        <f>MOD(ROW()-2, amortYears)+1</f>
        <v>32</v>
      </c>
      <c r="E907" s="15" t="str">
        <f t="shared" si="1"/>
        <v/>
      </c>
      <c r="F907" s="15">
        <f t="shared" si="2"/>
        <v>0</v>
      </c>
      <c r="G907" s="15">
        <f>IF(D907&lt;=mortTerm, -PMT(mortRate/12, mortTerm*12, C907)*12, 0)
</f>
        <v>0</v>
      </c>
      <c r="H907" s="15">
        <f>IF(D907&lt;=mortTerm, G907 - I907, 0)
</f>
        <v>0</v>
      </c>
      <c r="I907" s="15">
        <f>IF(D907&lt;=mortTerm, F907 - J907, 0)
</f>
        <v>0</v>
      </c>
      <c r="J907" s="15">
        <f>IF(D907&lt;=mortTerm,
   F907*(1+mortRate/12)^12 - (-PMT(mortRate/12, mortTerm*12, C907))*(((1+mortRate/12)^12 - 1)/(mortRate/12)),
   0
)
</f>
        <v>0</v>
      </c>
      <c r="K907" s="13" t="str">
        <f>IFERROR(__xludf.DUMMYFUNCTION("IF(A907="""","""",
   IF(F907&gt;0,
      INDEX(FILTER('RE Portfolio'!L$2:L2000,'RE Portfolio'!D$2:D2000=""BUY""), INT((ROW()-2)/amortYears)+1) - G907,
      INDEX(FILTER('RE Portfolio'!L$2:L2000,'RE Portfolio'!D$2:D2000=""BUY""), INT((ROW()-2)/amortYears)+1"&amp;")
   )
)
"),"")</f>
        <v/>
      </c>
      <c r="L907" s="15" t="str">
        <f>IFERROR(__xludf.DUMMYFUNCTION("IF(A907="""","""",
  INDEX(FILTER('RE Portfolio'!C$2:C2000,'RE Portfolio'!D$2:D2000=""BUY""), INT((ROW()-2)/amortYears)+1)
  * (1 + VALUE(Assumptions!$B$11))^(D907-1)
)
"),"")</f>
        <v/>
      </c>
    </row>
    <row r="908">
      <c r="A908" s="15" t="str">
        <f>IFERROR(__xludf.DUMMYFUNCTION("IFERROR(INDEX(FILTER('RE Portfolio'!A$2:A2000,'RE Portfolio'!D$2:D2000=""BUY""), INT((ROW()-2)/amortYears)+1), )
"),"")</f>
        <v/>
      </c>
      <c r="B908" s="15" t="str">
        <f>IFERROR(__xludf.DUMMYFUNCTION("IFERROR(INDEX(FILTER('RE Portfolio'!B$2:B2000,'RE Portfolio'!D$2:D2000=""BUY""), INT((ROW()-2)/amortYears)+1), )
"),"")</f>
        <v/>
      </c>
      <c r="C908" s="15" t="str">
        <f>IFERROR(__xludf.DUMMYFUNCTION("IFERROR(INDEX(FILTER('RE Portfolio'!G$2:G2000,'RE Portfolio'!D$2:D2000=""BUY""), INT((ROW()-2)/amortYears)+1), )
"),"")</f>
        <v/>
      </c>
      <c r="D908" s="15">
        <f>MOD(ROW()-2, amortYears)+1</f>
        <v>33</v>
      </c>
      <c r="E908" s="15" t="str">
        <f t="shared" si="1"/>
        <v/>
      </c>
      <c r="F908" s="15">
        <f t="shared" si="2"/>
        <v>0</v>
      </c>
      <c r="G908" s="15">
        <f>IF(D908&lt;=mortTerm, -PMT(mortRate/12, mortTerm*12, C908)*12, 0)
</f>
        <v>0</v>
      </c>
      <c r="H908" s="15">
        <f>IF(D908&lt;=mortTerm, G908 - I908, 0)
</f>
        <v>0</v>
      </c>
      <c r="I908" s="15">
        <f>IF(D908&lt;=mortTerm, F908 - J908, 0)
</f>
        <v>0</v>
      </c>
      <c r="J908" s="15">
        <f>IF(D908&lt;=mortTerm,
   F908*(1+mortRate/12)^12 - (-PMT(mortRate/12, mortTerm*12, C908))*(((1+mortRate/12)^12 - 1)/(mortRate/12)),
   0
)
</f>
        <v>0</v>
      </c>
      <c r="K908" s="13" t="str">
        <f>IFERROR(__xludf.DUMMYFUNCTION("IF(A908="""","""",
   IF(F908&gt;0,
      INDEX(FILTER('RE Portfolio'!L$2:L2000,'RE Portfolio'!D$2:D2000=""BUY""), INT((ROW()-2)/amortYears)+1) - G908,
      INDEX(FILTER('RE Portfolio'!L$2:L2000,'RE Portfolio'!D$2:D2000=""BUY""), INT((ROW()-2)/amortYears)+1"&amp;")
   )
)
"),"")</f>
        <v/>
      </c>
      <c r="L908" s="15" t="str">
        <f>IFERROR(__xludf.DUMMYFUNCTION("IF(A908="""","""",
  INDEX(FILTER('RE Portfolio'!C$2:C2000,'RE Portfolio'!D$2:D2000=""BUY""), INT((ROW()-2)/amortYears)+1)
  * (1 + VALUE(Assumptions!$B$11))^(D908-1)
)
"),"")</f>
        <v/>
      </c>
    </row>
    <row r="909">
      <c r="A909" s="15" t="str">
        <f>IFERROR(__xludf.DUMMYFUNCTION("IFERROR(INDEX(FILTER('RE Portfolio'!A$2:A2000,'RE Portfolio'!D$2:D2000=""BUY""), INT((ROW()-2)/amortYears)+1), )
"),"")</f>
        <v/>
      </c>
      <c r="B909" s="15" t="str">
        <f>IFERROR(__xludf.DUMMYFUNCTION("IFERROR(INDEX(FILTER('RE Portfolio'!B$2:B2000,'RE Portfolio'!D$2:D2000=""BUY""), INT((ROW()-2)/amortYears)+1), )
"),"")</f>
        <v/>
      </c>
      <c r="C909" s="15" t="str">
        <f>IFERROR(__xludf.DUMMYFUNCTION("IFERROR(INDEX(FILTER('RE Portfolio'!G$2:G2000,'RE Portfolio'!D$2:D2000=""BUY""), INT((ROW()-2)/amortYears)+1), )
"),"")</f>
        <v/>
      </c>
      <c r="D909" s="15">
        <f>MOD(ROW()-2, amortYears)+1</f>
        <v>34</v>
      </c>
      <c r="E909" s="15" t="str">
        <f t="shared" si="1"/>
        <v/>
      </c>
      <c r="F909" s="15">
        <f t="shared" si="2"/>
        <v>0</v>
      </c>
      <c r="G909" s="15">
        <f>IF(D909&lt;=mortTerm, -PMT(mortRate/12, mortTerm*12, C909)*12, 0)
</f>
        <v>0</v>
      </c>
      <c r="H909" s="15">
        <f>IF(D909&lt;=mortTerm, G909 - I909, 0)
</f>
        <v>0</v>
      </c>
      <c r="I909" s="15">
        <f>IF(D909&lt;=mortTerm, F909 - J909, 0)
</f>
        <v>0</v>
      </c>
      <c r="J909" s="15">
        <f>IF(D909&lt;=mortTerm,
   F909*(1+mortRate/12)^12 - (-PMT(mortRate/12, mortTerm*12, C909))*(((1+mortRate/12)^12 - 1)/(mortRate/12)),
   0
)
</f>
        <v>0</v>
      </c>
      <c r="K909" s="13" t="str">
        <f>IFERROR(__xludf.DUMMYFUNCTION("IF(A909="""","""",
   IF(F909&gt;0,
      INDEX(FILTER('RE Portfolio'!L$2:L2000,'RE Portfolio'!D$2:D2000=""BUY""), INT((ROW()-2)/amortYears)+1) - G909,
      INDEX(FILTER('RE Portfolio'!L$2:L2000,'RE Portfolio'!D$2:D2000=""BUY""), INT((ROW()-2)/amortYears)+1"&amp;")
   )
)
"),"")</f>
        <v/>
      </c>
      <c r="L909" s="15" t="str">
        <f>IFERROR(__xludf.DUMMYFUNCTION("IF(A909="""","""",
  INDEX(FILTER('RE Portfolio'!C$2:C2000,'RE Portfolio'!D$2:D2000=""BUY""), INT((ROW()-2)/amortYears)+1)
  * (1 + VALUE(Assumptions!$B$11))^(D909-1)
)
"),"")</f>
        <v/>
      </c>
    </row>
    <row r="910">
      <c r="A910" s="15" t="str">
        <f>IFERROR(__xludf.DUMMYFUNCTION("IFERROR(INDEX(FILTER('RE Portfolio'!A$2:A2000,'RE Portfolio'!D$2:D2000=""BUY""), INT((ROW()-2)/amortYears)+1), )
"),"")</f>
        <v/>
      </c>
      <c r="B910" s="15" t="str">
        <f>IFERROR(__xludf.DUMMYFUNCTION("IFERROR(INDEX(FILTER('RE Portfolio'!B$2:B2000,'RE Portfolio'!D$2:D2000=""BUY""), INT((ROW()-2)/amortYears)+1), )
"),"")</f>
        <v/>
      </c>
      <c r="C910" s="15" t="str">
        <f>IFERROR(__xludf.DUMMYFUNCTION("IFERROR(INDEX(FILTER('RE Portfolio'!G$2:G2000,'RE Portfolio'!D$2:D2000=""BUY""), INT((ROW()-2)/amortYears)+1), )
"),"")</f>
        <v/>
      </c>
      <c r="D910" s="15">
        <f>MOD(ROW()-2, amortYears)+1</f>
        <v>35</v>
      </c>
      <c r="E910" s="15" t="str">
        <f t="shared" si="1"/>
        <v/>
      </c>
      <c r="F910" s="15">
        <f t="shared" si="2"/>
        <v>0</v>
      </c>
      <c r="G910" s="15">
        <f>IF(D910&lt;=mortTerm, -PMT(mortRate/12, mortTerm*12, C910)*12, 0)
</f>
        <v>0</v>
      </c>
      <c r="H910" s="15">
        <f>IF(D910&lt;=mortTerm, G910 - I910, 0)
</f>
        <v>0</v>
      </c>
      <c r="I910" s="15">
        <f>IF(D910&lt;=mortTerm, F910 - J910, 0)
</f>
        <v>0</v>
      </c>
      <c r="J910" s="15">
        <f>IF(D910&lt;=mortTerm,
   F910*(1+mortRate/12)^12 - (-PMT(mortRate/12, mortTerm*12, C910))*(((1+mortRate/12)^12 - 1)/(mortRate/12)),
   0
)
</f>
        <v>0</v>
      </c>
      <c r="K910" s="13" t="str">
        <f>IFERROR(__xludf.DUMMYFUNCTION("IF(A910="""","""",
   IF(F910&gt;0,
      INDEX(FILTER('RE Portfolio'!L$2:L2000,'RE Portfolio'!D$2:D2000=""BUY""), INT((ROW()-2)/amortYears)+1) - G910,
      INDEX(FILTER('RE Portfolio'!L$2:L2000,'RE Portfolio'!D$2:D2000=""BUY""), INT((ROW()-2)/amortYears)+1"&amp;")
   )
)
"),"")</f>
        <v/>
      </c>
      <c r="L910" s="15" t="str">
        <f>IFERROR(__xludf.DUMMYFUNCTION("IF(A910="""","""",
  INDEX(FILTER('RE Portfolio'!C$2:C2000,'RE Portfolio'!D$2:D2000=""BUY""), INT((ROW()-2)/amortYears)+1)
  * (1 + VALUE(Assumptions!$B$11))^(D910-1)
)
"),"")</f>
        <v/>
      </c>
    </row>
    <row r="911">
      <c r="A911" s="15" t="str">
        <f>IFERROR(__xludf.DUMMYFUNCTION("IFERROR(INDEX(FILTER('RE Portfolio'!A$2:A2000,'RE Portfolio'!D$2:D2000=""BUY""), INT((ROW()-2)/amortYears)+1), )
"),"")</f>
        <v/>
      </c>
      <c r="B911" s="15" t="str">
        <f>IFERROR(__xludf.DUMMYFUNCTION("IFERROR(INDEX(FILTER('RE Portfolio'!B$2:B2000,'RE Portfolio'!D$2:D2000=""BUY""), INT((ROW()-2)/amortYears)+1), )
"),"")</f>
        <v/>
      </c>
      <c r="C911" s="15" t="str">
        <f>IFERROR(__xludf.DUMMYFUNCTION("IFERROR(INDEX(FILTER('RE Portfolio'!G$2:G2000,'RE Portfolio'!D$2:D2000=""BUY""), INT((ROW()-2)/amortYears)+1), )
"),"")</f>
        <v/>
      </c>
      <c r="D911" s="15">
        <f>MOD(ROW()-2, amortYears)+1</f>
        <v>36</v>
      </c>
      <c r="E911" s="15" t="str">
        <f t="shared" si="1"/>
        <v/>
      </c>
      <c r="F911" s="15">
        <f t="shared" si="2"/>
        <v>0</v>
      </c>
      <c r="G911" s="15">
        <f>IF(D911&lt;=mortTerm, -PMT(mortRate/12, mortTerm*12, C911)*12, 0)
</f>
        <v>0</v>
      </c>
      <c r="H911" s="15">
        <f>IF(D911&lt;=mortTerm, G911 - I911, 0)
</f>
        <v>0</v>
      </c>
      <c r="I911" s="15">
        <f>IF(D911&lt;=mortTerm, F911 - J911, 0)
</f>
        <v>0</v>
      </c>
      <c r="J911" s="15">
        <f>IF(D911&lt;=mortTerm,
   F911*(1+mortRate/12)^12 - (-PMT(mortRate/12, mortTerm*12, C911))*(((1+mortRate/12)^12 - 1)/(mortRate/12)),
   0
)
</f>
        <v>0</v>
      </c>
      <c r="K911" s="13" t="str">
        <f>IFERROR(__xludf.DUMMYFUNCTION("IF(A911="""","""",
   IF(F911&gt;0,
      INDEX(FILTER('RE Portfolio'!L$2:L2000,'RE Portfolio'!D$2:D2000=""BUY""), INT((ROW()-2)/amortYears)+1) - G911,
      INDEX(FILTER('RE Portfolio'!L$2:L2000,'RE Portfolio'!D$2:D2000=""BUY""), INT((ROW()-2)/amortYears)+1"&amp;")
   )
)
"),"")</f>
        <v/>
      </c>
      <c r="L911" s="15" t="str">
        <f>IFERROR(__xludf.DUMMYFUNCTION("IF(A911="""","""",
  INDEX(FILTER('RE Portfolio'!C$2:C2000,'RE Portfolio'!D$2:D2000=""BUY""), INT((ROW()-2)/amortYears)+1)
  * (1 + VALUE(Assumptions!$B$11))^(D911-1)
)
"),"")</f>
        <v/>
      </c>
    </row>
    <row r="912">
      <c r="A912" s="15" t="str">
        <f>IFERROR(__xludf.DUMMYFUNCTION("IFERROR(INDEX(FILTER('RE Portfolio'!A$2:A2000,'RE Portfolio'!D$2:D2000=""BUY""), INT((ROW()-2)/amortYears)+1), )
"),"")</f>
        <v/>
      </c>
      <c r="B912" s="15" t="str">
        <f>IFERROR(__xludf.DUMMYFUNCTION("IFERROR(INDEX(FILTER('RE Portfolio'!B$2:B2000,'RE Portfolio'!D$2:D2000=""BUY""), INT((ROW()-2)/amortYears)+1), )
"),"")</f>
        <v/>
      </c>
      <c r="C912" s="15" t="str">
        <f>IFERROR(__xludf.DUMMYFUNCTION("IFERROR(INDEX(FILTER('RE Portfolio'!G$2:G2000,'RE Portfolio'!D$2:D2000=""BUY""), INT((ROW()-2)/amortYears)+1), )
"),"")</f>
        <v/>
      </c>
      <c r="D912" s="15">
        <f>MOD(ROW()-2, amortYears)+1</f>
        <v>37</v>
      </c>
      <c r="E912" s="15" t="str">
        <f t="shared" si="1"/>
        <v/>
      </c>
      <c r="F912" s="15">
        <f t="shared" si="2"/>
        <v>0</v>
      </c>
      <c r="G912" s="15">
        <f>IF(D912&lt;=mortTerm, -PMT(mortRate/12, mortTerm*12, C912)*12, 0)
</f>
        <v>0</v>
      </c>
      <c r="H912" s="15">
        <f>IF(D912&lt;=mortTerm, G912 - I912, 0)
</f>
        <v>0</v>
      </c>
      <c r="I912" s="15">
        <f>IF(D912&lt;=mortTerm, F912 - J912, 0)
</f>
        <v>0</v>
      </c>
      <c r="J912" s="15">
        <f>IF(D912&lt;=mortTerm,
   F912*(1+mortRate/12)^12 - (-PMT(mortRate/12, mortTerm*12, C912))*(((1+mortRate/12)^12 - 1)/(mortRate/12)),
   0
)
</f>
        <v>0</v>
      </c>
      <c r="K912" s="13" t="str">
        <f>IFERROR(__xludf.DUMMYFUNCTION("IF(A912="""","""",
   IF(F912&gt;0,
      INDEX(FILTER('RE Portfolio'!L$2:L2000,'RE Portfolio'!D$2:D2000=""BUY""), INT((ROW()-2)/amortYears)+1) - G912,
      INDEX(FILTER('RE Portfolio'!L$2:L2000,'RE Portfolio'!D$2:D2000=""BUY""), INT((ROW()-2)/amortYears)+1"&amp;")
   )
)
"),"")</f>
        <v/>
      </c>
      <c r="L912" s="15" t="str">
        <f>IFERROR(__xludf.DUMMYFUNCTION("IF(A912="""","""",
  INDEX(FILTER('RE Portfolio'!C$2:C2000,'RE Portfolio'!D$2:D2000=""BUY""), INT((ROW()-2)/amortYears)+1)
  * (1 + VALUE(Assumptions!$B$11))^(D912-1)
)
"),"")</f>
        <v/>
      </c>
    </row>
    <row r="913">
      <c r="A913" s="15" t="str">
        <f>IFERROR(__xludf.DUMMYFUNCTION("IFERROR(INDEX(FILTER('RE Portfolio'!A$2:A2000,'RE Portfolio'!D$2:D2000=""BUY""), INT((ROW()-2)/amortYears)+1), )
"),"")</f>
        <v/>
      </c>
      <c r="B913" s="15" t="str">
        <f>IFERROR(__xludf.DUMMYFUNCTION("IFERROR(INDEX(FILTER('RE Portfolio'!B$2:B2000,'RE Portfolio'!D$2:D2000=""BUY""), INT((ROW()-2)/amortYears)+1), )
"),"")</f>
        <v/>
      </c>
      <c r="C913" s="15" t="str">
        <f>IFERROR(__xludf.DUMMYFUNCTION("IFERROR(INDEX(FILTER('RE Portfolio'!G$2:G2000,'RE Portfolio'!D$2:D2000=""BUY""), INT((ROW()-2)/amortYears)+1), )
"),"")</f>
        <v/>
      </c>
      <c r="D913" s="15">
        <f>MOD(ROW()-2, amortYears)+1</f>
        <v>38</v>
      </c>
      <c r="E913" s="15" t="str">
        <f t="shared" si="1"/>
        <v/>
      </c>
      <c r="F913" s="15">
        <f t="shared" si="2"/>
        <v>0</v>
      </c>
      <c r="G913" s="15">
        <f>IF(D913&lt;=mortTerm, -PMT(mortRate/12, mortTerm*12, C913)*12, 0)
</f>
        <v>0</v>
      </c>
      <c r="H913" s="15">
        <f>IF(D913&lt;=mortTerm, G913 - I913, 0)
</f>
        <v>0</v>
      </c>
      <c r="I913" s="15">
        <f>IF(D913&lt;=mortTerm, F913 - J913, 0)
</f>
        <v>0</v>
      </c>
      <c r="J913" s="15">
        <f>IF(D913&lt;=mortTerm,
   F913*(1+mortRate/12)^12 - (-PMT(mortRate/12, mortTerm*12, C913))*(((1+mortRate/12)^12 - 1)/(mortRate/12)),
   0
)
</f>
        <v>0</v>
      </c>
      <c r="K913" s="13" t="str">
        <f>IFERROR(__xludf.DUMMYFUNCTION("IF(A913="""","""",
   IF(F913&gt;0,
      INDEX(FILTER('RE Portfolio'!L$2:L2000,'RE Portfolio'!D$2:D2000=""BUY""), INT((ROW()-2)/amortYears)+1) - G913,
      INDEX(FILTER('RE Portfolio'!L$2:L2000,'RE Portfolio'!D$2:D2000=""BUY""), INT((ROW()-2)/amortYears)+1"&amp;")
   )
)
"),"")</f>
        <v/>
      </c>
      <c r="L913" s="15" t="str">
        <f>IFERROR(__xludf.DUMMYFUNCTION("IF(A913="""","""",
  INDEX(FILTER('RE Portfolio'!C$2:C2000,'RE Portfolio'!D$2:D2000=""BUY""), INT((ROW()-2)/amortYears)+1)
  * (1 + VALUE(Assumptions!$B$11))^(D913-1)
)
"),"")</f>
        <v/>
      </c>
    </row>
    <row r="914">
      <c r="A914" s="15" t="str">
        <f>IFERROR(__xludf.DUMMYFUNCTION("IFERROR(INDEX(FILTER('RE Portfolio'!A$2:A2000,'RE Portfolio'!D$2:D2000=""BUY""), INT((ROW()-2)/amortYears)+1), )
"),"")</f>
        <v/>
      </c>
      <c r="B914" s="15" t="str">
        <f>IFERROR(__xludf.DUMMYFUNCTION("IFERROR(INDEX(FILTER('RE Portfolio'!B$2:B2000,'RE Portfolio'!D$2:D2000=""BUY""), INT((ROW()-2)/amortYears)+1), )
"),"")</f>
        <v/>
      </c>
      <c r="C914" s="15" t="str">
        <f>IFERROR(__xludf.DUMMYFUNCTION("IFERROR(INDEX(FILTER('RE Portfolio'!G$2:G2000,'RE Portfolio'!D$2:D2000=""BUY""), INT((ROW()-2)/amortYears)+1), )
"),"")</f>
        <v/>
      </c>
      <c r="D914" s="15">
        <f>MOD(ROW()-2, amortYears)+1</f>
        <v>1</v>
      </c>
      <c r="E914" s="15" t="str">
        <f t="shared" si="1"/>
        <v/>
      </c>
      <c r="F914" s="15" t="str">
        <f t="shared" si="2"/>
        <v/>
      </c>
      <c r="G914" s="16">
        <f>IF(D914&lt;=mortTerm, -PMT(mortRate/12, mortTerm*12, C914)*12, 0)
</f>
        <v>0</v>
      </c>
      <c r="H914" s="16">
        <f>IF(D914&lt;=mortTerm, G914 - I914, 0)
</f>
        <v>0</v>
      </c>
      <c r="I914" s="16">
        <f>IF(D914&lt;=mortTerm, F914 - J914, 0)
</f>
        <v>0</v>
      </c>
      <c r="J914" s="16">
        <f>IF(D914&lt;=mortTerm,
   F914*(1+mortRate/12)^12 - (-PMT(mortRate/12, mortTerm*12, C914))*(((1+mortRate/12)^12 - 1)/(mortRate/12)),
   0
)
</f>
        <v>0</v>
      </c>
      <c r="K914" s="13" t="str">
        <f>IFERROR(__xludf.DUMMYFUNCTION("IF(A914="""","""",
   IF(F914&gt;0,
      INDEX(FILTER('RE Portfolio'!L$2:L2000,'RE Portfolio'!D$2:D2000=""BUY""), INT((ROW()-2)/amortYears)+1) - G914,
      INDEX(FILTER('RE Portfolio'!L$2:L2000,'RE Portfolio'!D$2:D2000=""BUY""), INT((ROW()-2)/amortYears)+1"&amp;")
   )
)
"),"")</f>
        <v/>
      </c>
      <c r="L914" s="15" t="str">
        <f>IFERROR(__xludf.DUMMYFUNCTION("IF(A914="""","""",
  INDEX(FILTER('RE Portfolio'!C$2:C2000,'RE Portfolio'!D$2:D2000=""BUY""), INT((ROW()-2)/amortYears)+1)
  * (1 + VALUE(Assumptions!$B$11))^(D914-1)
)
"),"")</f>
        <v/>
      </c>
    </row>
    <row r="915">
      <c r="A915" s="15" t="str">
        <f>IFERROR(__xludf.DUMMYFUNCTION("IFERROR(INDEX(FILTER('RE Portfolio'!A$2:A2000,'RE Portfolio'!D$2:D2000=""BUY""), INT((ROW()-2)/amortYears)+1), )
"),"")</f>
        <v/>
      </c>
      <c r="B915" s="15" t="str">
        <f>IFERROR(__xludf.DUMMYFUNCTION("IFERROR(INDEX(FILTER('RE Portfolio'!B$2:B2000,'RE Portfolio'!D$2:D2000=""BUY""), INT((ROW()-2)/amortYears)+1), )
"),"")</f>
        <v/>
      </c>
      <c r="C915" s="15" t="str">
        <f>IFERROR(__xludf.DUMMYFUNCTION("IFERROR(INDEX(FILTER('RE Portfolio'!G$2:G2000,'RE Portfolio'!D$2:D2000=""BUY""), INT((ROW()-2)/amortYears)+1), )
"),"")</f>
        <v/>
      </c>
      <c r="D915" s="15">
        <f>MOD(ROW()-2, amortYears)+1</f>
        <v>2</v>
      </c>
      <c r="E915" s="15" t="str">
        <f t="shared" si="1"/>
        <v/>
      </c>
      <c r="F915" s="16">
        <f t="shared" si="2"/>
        <v>0</v>
      </c>
      <c r="G915" s="16">
        <f>IF(D915&lt;=mortTerm, -PMT(mortRate/12, mortTerm*12, C915)*12, 0)
</f>
        <v>0</v>
      </c>
      <c r="H915" s="16">
        <f>IF(D915&lt;=mortTerm, G915 - I915, 0)
</f>
        <v>0</v>
      </c>
      <c r="I915" s="16">
        <f>IF(D915&lt;=mortTerm, F915 - J915, 0)
</f>
        <v>0</v>
      </c>
      <c r="J915" s="16">
        <f>IF(D915&lt;=mortTerm,
   F915*(1+mortRate/12)^12 - (-PMT(mortRate/12, mortTerm*12, C915))*(((1+mortRate/12)^12 - 1)/(mortRate/12)),
   0
)
</f>
        <v>0</v>
      </c>
      <c r="K915" s="13" t="str">
        <f>IFERROR(__xludf.DUMMYFUNCTION("IF(A915="""","""",
   IF(F915&gt;0,
      INDEX(FILTER('RE Portfolio'!L$2:L2000,'RE Portfolio'!D$2:D2000=""BUY""), INT((ROW()-2)/amortYears)+1) - G915,
      INDEX(FILTER('RE Portfolio'!L$2:L2000,'RE Portfolio'!D$2:D2000=""BUY""), INT((ROW()-2)/amortYears)+1"&amp;")
   )
)
"),"")</f>
        <v/>
      </c>
      <c r="L915" s="15" t="str">
        <f>IFERROR(__xludf.DUMMYFUNCTION("IF(A915="""","""",
  INDEX(FILTER('RE Portfolio'!C$2:C2000,'RE Portfolio'!D$2:D2000=""BUY""), INT((ROW()-2)/amortYears)+1)
  * (1 + VALUE(Assumptions!$B$11))^(D915-1)
)
"),"")</f>
        <v/>
      </c>
    </row>
    <row r="916">
      <c r="A916" s="15" t="str">
        <f>IFERROR(__xludf.DUMMYFUNCTION("IFERROR(INDEX(FILTER('RE Portfolio'!A$2:A2000,'RE Portfolio'!D$2:D2000=""BUY""), INT((ROW()-2)/amortYears)+1), )
"),"")</f>
        <v/>
      </c>
      <c r="B916" s="15" t="str">
        <f>IFERROR(__xludf.DUMMYFUNCTION("IFERROR(INDEX(FILTER('RE Portfolio'!B$2:B2000,'RE Portfolio'!D$2:D2000=""BUY""), INT((ROW()-2)/amortYears)+1), )
"),"")</f>
        <v/>
      </c>
      <c r="C916" s="15" t="str">
        <f>IFERROR(__xludf.DUMMYFUNCTION("IFERROR(INDEX(FILTER('RE Portfolio'!G$2:G2000,'RE Portfolio'!D$2:D2000=""BUY""), INT((ROW()-2)/amortYears)+1), )
"),"")</f>
        <v/>
      </c>
      <c r="D916" s="15">
        <f>MOD(ROW()-2, amortYears)+1</f>
        <v>3</v>
      </c>
      <c r="E916" s="15" t="str">
        <f t="shared" si="1"/>
        <v/>
      </c>
      <c r="F916" s="16">
        <f t="shared" si="2"/>
        <v>0</v>
      </c>
      <c r="G916" s="16">
        <f>IF(D916&lt;=mortTerm, -PMT(mortRate/12, mortTerm*12, C916)*12, 0)
</f>
        <v>0</v>
      </c>
      <c r="H916" s="16">
        <f>IF(D916&lt;=mortTerm, G916 - I916, 0)
</f>
        <v>0</v>
      </c>
      <c r="I916" s="16">
        <f>IF(D916&lt;=mortTerm, F916 - J916, 0)
</f>
        <v>0</v>
      </c>
      <c r="J916" s="16">
        <f>IF(D916&lt;=mortTerm,
   F916*(1+mortRate/12)^12 - (-PMT(mortRate/12, mortTerm*12, C916))*(((1+mortRate/12)^12 - 1)/(mortRate/12)),
   0
)
</f>
        <v>0</v>
      </c>
      <c r="K916" s="13" t="str">
        <f>IFERROR(__xludf.DUMMYFUNCTION("IF(A916="""","""",
   IF(F916&gt;0,
      INDEX(FILTER('RE Portfolio'!L$2:L2000,'RE Portfolio'!D$2:D2000=""BUY""), INT((ROW()-2)/amortYears)+1) - G916,
      INDEX(FILTER('RE Portfolio'!L$2:L2000,'RE Portfolio'!D$2:D2000=""BUY""), INT((ROW()-2)/amortYears)+1"&amp;")
   )
)
"),"")</f>
        <v/>
      </c>
      <c r="L916" s="15" t="str">
        <f>IFERROR(__xludf.DUMMYFUNCTION("IF(A916="""","""",
  INDEX(FILTER('RE Portfolio'!C$2:C2000,'RE Portfolio'!D$2:D2000=""BUY""), INT((ROW()-2)/amortYears)+1)
  * (1 + VALUE(Assumptions!$B$11))^(D916-1)
)
"),"")</f>
        <v/>
      </c>
    </row>
    <row r="917">
      <c r="A917" s="15" t="str">
        <f>IFERROR(__xludf.DUMMYFUNCTION("IFERROR(INDEX(FILTER('RE Portfolio'!A$2:A2000,'RE Portfolio'!D$2:D2000=""BUY""), INT((ROW()-2)/amortYears)+1), )
"),"")</f>
        <v/>
      </c>
      <c r="B917" s="15" t="str">
        <f>IFERROR(__xludf.DUMMYFUNCTION("IFERROR(INDEX(FILTER('RE Portfolio'!B$2:B2000,'RE Portfolio'!D$2:D2000=""BUY""), INT((ROW()-2)/amortYears)+1), )
"),"")</f>
        <v/>
      </c>
      <c r="C917" s="15" t="str">
        <f>IFERROR(__xludf.DUMMYFUNCTION("IFERROR(INDEX(FILTER('RE Portfolio'!G$2:G2000,'RE Portfolio'!D$2:D2000=""BUY""), INT((ROW()-2)/amortYears)+1), )
"),"")</f>
        <v/>
      </c>
      <c r="D917" s="15">
        <f>MOD(ROW()-2, amortYears)+1</f>
        <v>4</v>
      </c>
      <c r="E917" s="15" t="str">
        <f t="shared" si="1"/>
        <v/>
      </c>
      <c r="F917" s="16">
        <f t="shared" si="2"/>
        <v>0</v>
      </c>
      <c r="G917" s="16">
        <f>IF(D917&lt;=mortTerm, -PMT(mortRate/12, mortTerm*12, C917)*12, 0)
</f>
        <v>0</v>
      </c>
      <c r="H917" s="16">
        <f>IF(D917&lt;=mortTerm, G917 - I917, 0)
</f>
        <v>0</v>
      </c>
      <c r="I917" s="16">
        <f>IF(D917&lt;=mortTerm, F917 - J917, 0)
</f>
        <v>0</v>
      </c>
      <c r="J917" s="16">
        <f>IF(D917&lt;=mortTerm,
   F917*(1+mortRate/12)^12 - (-PMT(mortRate/12, mortTerm*12, C917))*(((1+mortRate/12)^12 - 1)/(mortRate/12)),
   0
)
</f>
        <v>0</v>
      </c>
      <c r="K917" s="13" t="str">
        <f>IFERROR(__xludf.DUMMYFUNCTION("IF(A917="""","""",
   IF(F917&gt;0,
      INDEX(FILTER('RE Portfolio'!L$2:L2000,'RE Portfolio'!D$2:D2000=""BUY""), INT((ROW()-2)/amortYears)+1) - G917,
      INDEX(FILTER('RE Portfolio'!L$2:L2000,'RE Portfolio'!D$2:D2000=""BUY""), INT((ROW()-2)/amortYears)+1"&amp;")
   )
)
"),"")</f>
        <v/>
      </c>
      <c r="L917" s="15" t="str">
        <f>IFERROR(__xludf.DUMMYFUNCTION("IF(A917="""","""",
  INDEX(FILTER('RE Portfolio'!C$2:C2000,'RE Portfolio'!D$2:D2000=""BUY""), INT((ROW()-2)/amortYears)+1)
  * (1 + VALUE(Assumptions!$B$11))^(D917-1)
)
"),"")</f>
        <v/>
      </c>
    </row>
    <row r="918">
      <c r="A918" s="15" t="str">
        <f>IFERROR(__xludf.DUMMYFUNCTION("IFERROR(INDEX(FILTER('RE Portfolio'!A$2:A2000,'RE Portfolio'!D$2:D2000=""BUY""), INT((ROW()-2)/amortYears)+1), )
"),"")</f>
        <v/>
      </c>
      <c r="B918" s="15" t="str">
        <f>IFERROR(__xludf.DUMMYFUNCTION("IFERROR(INDEX(FILTER('RE Portfolio'!B$2:B2000,'RE Portfolio'!D$2:D2000=""BUY""), INT((ROW()-2)/amortYears)+1), )
"),"")</f>
        <v/>
      </c>
      <c r="C918" s="15" t="str">
        <f>IFERROR(__xludf.DUMMYFUNCTION("IFERROR(INDEX(FILTER('RE Portfolio'!G$2:G2000,'RE Portfolio'!D$2:D2000=""BUY""), INT((ROW()-2)/amortYears)+1), )
"),"")</f>
        <v/>
      </c>
      <c r="D918" s="15">
        <f>MOD(ROW()-2, amortYears)+1</f>
        <v>5</v>
      </c>
      <c r="E918" s="15" t="str">
        <f t="shared" si="1"/>
        <v/>
      </c>
      <c r="F918" s="16">
        <f t="shared" si="2"/>
        <v>0</v>
      </c>
      <c r="G918" s="16">
        <f>IF(D918&lt;=mortTerm, -PMT(mortRate/12, mortTerm*12, C918)*12, 0)
</f>
        <v>0</v>
      </c>
      <c r="H918" s="16">
        <f>IF(D918&lt;=mortTerm, G918 - I918, 0)
</f>
        <v>0</v>
      </c>
      <c r="I918" s="16">
        <f>IF(D918&lt;=mortTerm, F918 - J918, 0)
</f>
        <v>0</v>
      </c>
      <c r="J918" s="16">
        <f>IF(D918&lt;=mortTerm,
   F918*(1+mortRate/12)^12 - (-PMT(mortRate/12, mortTerm*12, C918))*(((1+mortRate/12)^12 - 1)/(mortRate/12)),
   0
)
</f>
        <v>0</v>
      </c>
      <c r="K918" s="13" t="str">
        <f>IFERROR(__xludf.DUMMYFUNCTION("IF(A918="""","""",
   IF(F918&gt;0,
      INDEX(FILTER('RE Portfolio'!L$2:L2000,'RE Portfolio'!D$2:D2000=""BUY""), INT((ROW()-2)/amortYears)+1) - G918,
      INDEX(FILTER('RE Portfolio'!L$2:L2000,'RE Portfolio'!D$2:D2000=""BUY""), INT((ROW()-2)/amortYears)+1"&amp;")
   )
)
"),"")</f>
        <v/>
      </c>
      <c r="L918" s="15" t="str">
        <f>IFERROR(__xludf.DUMMYFUNCTION("IF(A918="""","""",
  INDEX(FILTER('RE Portfolio'!C$2:C2000,'RE Portfolio'!D$2:D2000=""BUY""), INT((ROW()-2)/amortYears)+1)
  * (1 + VALUE(Assumptions!$B$11))^(D918-1)
)
"),"")</f>
        <v/>
      </c>
    </row>
    <row r="919">
      <c r="A919" s="15" t="str">
        <f>IFERROR(__xludf.DUMMYFUNCTION("IFERROR(INDEX(FILTER('RE Portfolio'!A$2:A2000,'RE Portfolio'!D$2:D2000=""BUY""), INT((ROW()-2)/amortYears)+1), )
"),"")</f>
        <v/>
      </c>
      <c r="B919" s="15" t="str">
        <f>IFERROR(__xludf.DUMMYFUNCTION("IFERROR(INDEX(FILTER('RE Portfolio'!B$2:B2000,'RE Portfolio'!D$2:D2000=""BUY""), INT((ROW()-2)/amortYears)+1), )
"),"")</f>
        <v/>
      </c>
      <c r="C919" s="15" t="str">
        <f>IFERROR(__xludf.DUMMYFUNCTION("IFERROR(INDEX(FILTER('RE Portfolio'!G$2:G2000,'RE Portfolio'!D$2:D2000=""BUY""), INT((ROW()-2)/amortYears)+1), )
"),"")</f>
        <v/>
      </c>
      <c r="D919" s="15">
        <f>MOD(ROW()-2, amortYears)+1</f>
        <v>6</v>
      </c>
      <c r="E919" s="15" t="str">
        <f t="shared" si="1"/>
        <v/>
      </c>
      <c r="F919" s="16">
        <f t="shared" si="2"/>
        <v>0</v>
      </c>
      <c r="G919" s="16">
        <f>IF(D919&lt;=mortTerm, -PMT(mortRate/12, mortTerm*12, C919)*12, 0)
</f>
        <v>0</v>
      </c>
      <c r="H919" s="16">
        <f>IF(D919&lt;=mortTerm, G919 - I919, 0)
</f>
        <v>0</v>
      </c>
      <c r="I919" s="16">
        <f>IF(D919&lt;=mortTerm, F919 - J919, 0)
</f>
        <v>0</v>
      </c>
      <c r="J919" s="16">
        <f>IF(D919&lt;=mortTerm,
   F919*(1+mortRate/12)^12 - (-PMT(mortRate/12, mortTerm*12, C919))*(((1+mortRate/12)^12 - 1)/(mortRate/12)),
   0
)
</f>
        <v>0</v>
      </c>
      <c r="K919" s="13" t="str">
        <f>IFERROR(__xludf.DUMMYFUNCTION("IF(A919="""","""",
   IF(F919&gt;0,
      INDEX(FILTER('RE Portfolio'!L$2:L2000,'RE Portfolio'!D$2:D2000=""BUY""), INT((ROW()-2)/amortYears)+1) - G919,
      INDEX(FILTER('RE Portfolio'!L$2:L2000,'RE Portfolio'!D$2:D2000=""BUY""), INT((ROW()-2)/amortYears)+1"&amp;")
   )
)
"),"")</f>
        <v/>
      </c>
      <c r="L919" s="15" t="str">
        <f>IFERROR(__xludf.DUMMYFUNCTION("IF(A919="""","""",
  INDEX(FILTER('RE Portfolio'!C$2:C2000,'RE Portfolio'!D$2:D2000=""BUY""), INT((ROW()-2)/amortYears)+1)
  * (1 + VALUE(Assumptions!$B$11))^(D919-1)
)
"),"")</f>
        <v/>
      </c>
    </row>
    <row r="920">
      <c r="A920" s="15" t="str">
        <f>IFERROR(__xludf.DUMMYFUNCTION("IFERROR(INDEX(FILTER('RE Portfolio'!A$2:A2000,'RE Portfolio'!D$2:D2000=""BUY""), INT((ROW()-2)/amortYears)+1), )
"),"")</f>
        <v/>
      </c>
      <c r="B920" s="15" t="str">
        <f>IFERROR(__xludf.DUMMYFUNCTION("IFERROR(INDEX(FILTER('RE Portfolio'!B$2:B2000,'RE Portfolio'!D$2:D2000=""BUY""), INT((ROW()-2)/amortYears)+1), )
"),"")</f>
        <v/>
      </c>
      <c r="C920" s="15" t="str">
        <f>IFERROR(__xludf.DUMMYFUNCTION("IFERROR(INDEX(FILTER('RE Portfolio'!G$2:G2000,'RE Portfolio'!D$2:D2000=""BUY""), INT((ROW()-2)/amortYears)+1), )
"),"")</f>
        <v/>
      </c>
      <c r="D920" s="15">
        <f>MOD(ROW()-2, amortYears)+1</f>
        <v>7</v>
      </c>
      <c r="E920" s="15" t="str">
        <f t="shared" si="1"/>
        <v/>
      </c>
      <c r="F920" s="16">
        <f t="shared" si="2"/>
        <v>0</v>
      </c>
      <c r="G920" s="16">
        <f>IF(D920&lt;=mortTerm, -PMT(mortRate/12, mortTerm*12, C920)*12, 0)
</f>
        <v>0</v>
      </c>
      <c r="H920" s="16">
        <f>IF(D920&lt;=mortTerm, G920 - I920, 0)
</f>
        <v>0</v>
      </c>
      <c r="I920" s="16">
        <f>IF(D920&lt;=mortTerm, F920 - J920, 0)
</f>
        <v>0</v>
      </c>
      <c r="J920" s="16">
        <f>IF(D920&lt;=mortTerm,
   F920*(1+mortRate/12)^12 - (-PMT(mortRate/12, mortTerm*12, C920))*(((1+mortRate/12)^12 - 1)/(mortRate/12)),
   0
)
</f>
        <v>0</v>
      </c>
      <c r="K920" s="13" t="str">
        <f>IFERROR(__xludf.DUMMYFUNCTION("IF(A920="""","""",
   IF(F920&gt;0,
      INDEX(FILTER('RE Portfolio'!L$2:L2000,'RE Portfolio'!D$2:D2000=""BUY""), INT((ROW()-2)/amortYears)+1) - G920,
      INDEX(FILTER('RE Portfolio'!L$2:L2000,'RE Portfolio'!D$2:D2000=""BUY""), INT((ROW()-2)/amortYears)+1"&amp;")
   )
)
"),"")</f>
        <v/>
      </c>
      <c r="L920" s="15" t="str">
        <f>IFERROR(__xludf.DUMMYFUNCTION("IF(A920="""","""",
  INDEX(FILTER('RE Portfolio'!C$2:C2000,'RE Portfolio'!D$2:D2000=""BUY""), INT((ROW()-2)/amortYears)+1)
  * (1 + VALUE(Assumptions!$B$11))^(D920-1)
)
"),"")</f>
        <v/>
      </c>
    </row>
    <row r="921">
      <c r="A921" s="15" t="str">
        <f>IFERROR(__xludf.DUMMYFUNCTION("IFERROR(INDEX(FILTER('RE Portfolio'!A$2:A2000,'RE Portfolio'!D$2:D2000=""BUY""), INT((ROW()-2)/amortYears)+1), )
"),"")</f>
        <v/>
      </c>
      <c r="B921" s="15" t="str">
        <f>IFERROR(__xludf.DUMMYFUNCTION("IFERROR(INDEX(FILTER('RE Portfolio'!B$2:B2000,'RE Portfolio'!D$2:D2000=""BUY""), INT((ROW()-2)/amortYears)+1), )
"),"")</f>
        <v/>
      </c>
      <c r="C921" s="15" t="str">
        <f>IFERROR(__xludf.DUMMYFUNCTION("IFERROR(INDEX(FILTER('RE Portfolio'!G$2:G2000,'RE Portfolio'!D$2:D2000=""BUY""), INT((ROW()-2)/amortYears)+1), )
"),"")</f>
        <v/>
      </c>
      <c r="D921" s="15">
        <f>MOD(ROW()-2, amortYears)+1</f>
        <v>8</v>
      </c>
      <c r="E921" s="15" t="str">
        <f t="shared" si="1"/>
        <v/>
      </c>
      <c r="F921" s="16">
        <f t="shared" si="2"/>
        <v>0</v>
      </c>
      <c r="G921" s="16">
        <f>IF(D921&lt;=mortTerm, -PMT(mortRate/12, mortTerm*12, C921)*12, 0)
</f>
        <v>0</v>
      </c>
      <c r="H921" s="16">
        <f>IF(D921&lt;=mortTerm, G921 - I921, 0)
</f>
        <v>0</v>
      </c>
      <c r="I921" s="16">
        <f>IF(D921&lt;=mortTerm, F921 - J921, 0)
</f>
        <v>0</v>
      </c>
      <c r="J921" s="16">
        <f>IF(D921&lt;=mortTerm,
   F921*(1+mortRate/12)^12 - (-PMT(mortRate/12, mortTerm*12, C921))*(((1+mortRate/12)^12 - 1)/(mortRate/12)),
   0
)
</f>
        <v>0</v>
      </c>
      <c r="K921" s="13" t="str">
        <f>IFERROR(__xludf.DUMMYFUNCTION("IF(A921="""","""",
   IF(F921&gt;0,
      INDEX(FILTER('RE Portfolio'!L$2:L2000,'RE Portfolio'!D$2:D2000=""BUY""), INT((ROW()-2)/amortYears)+1) - G921,
      INDEX(FILTER('RE Portfolio'!L$2:L2000,'RE Portfolio'!D$2:D2000=""BUY""), INT((ROW()-2)/amortYears)+1"&amp;")
   )
)
"),"")</f>
        <v/>
      </c>
      <c r="L921" s="15" t="str">
        <f>IFERROR(__xludf.DUMMYFUNCTION("IF(A921="""","""",
  INDEX(FILTER('RE Portfolio'!C$2:C2000,'RE Portfolio'!D$2:D2000=""BUY""), INT((ROW()-2)/amortYears)+1)
  * (1 + VALUE(Assumptions!$B$11))^(D921-1)
)
"),"")</f>
        <v/>
      </c>
    </row>
    <row r="922">
      <c r="A922" s="15" t="str">
        <f>IFERROR(__xludf.DUMMYFUNCTION("IFERROR(INDEX(FILTER('RE Portfolio'!A$2:A2000,'RE Portfolio'!D$2:D2000=""BUY""), INT((ROW()-2)/amortYears)+1), )
"),"")</f>
        <v/>
      </c>
      <c r="B922" s="15" t="str">
        <f>IFERROR(__xludf.DUMMYFUNCTION("IFERROR(INDEX(FILTER('RE Portfolio'!B$2:B2000,'RE Portfolio'!D$2:D2000=""BUY""), INT((ROW()-2)/amortYears)+1), )
"),"")</f>
        <v/>
      </c>
      <c r="C922" s="15" t="str">
        <f>IFERROR(__xludf.DUMMYFUNCTION("IFERROR(INDEX(FILTER('RE Portfolio'!G$2:G2000,'RE Portfolio'!D$2:D2000=""BUY""), INT((ROW()-2)/amortYears)+1), )
"),"")</f>
        <v/>
      </c>
      <c r="D922" s="15">
        <f>MOD(ROW()-2, amortYears)+1</f>
        <v>9</v>
      </c>
      <c r="E922" s="15" t="str">
        <f t="shared" si="1"/>
        <v/>
      </c>
      <c r="F922" s="16">
        <f t="shared" si="2"/>
        <v>0</v>
      </c>
      <c r="G922" s="16">
        <f>IF(D922&lt;=mortTerm, -PMT(mortRate/12, mortTerm*12, C922)*12, 0)
</f>
        <v>0</v>
      </c>
      <c r="H922" s="16">
        <f>IF(D922&lt;=mortTerm, G922 - I922, 0)
</f>
        <v>0</v>
      </c>
      <c r="I922" s="16">
        <f>IF(D922&lt;=mortTerm, F922 - J922, 0)
</f>
        <v>0</v>
      </c>
      <c r="J922" s="16">
        <f>IF(D922&lt;=mortTerm,
   F922*(1+mortRate/12)^12 - (-PMT(mortRate/12, mortTerm*12, C922))*(((1+mortRate/12)^12 - 1)/(mortRate/12)),
   0
)
</f>
        <v>0</v>
      </c>
      <c r="K922" s="13" t="str">
        <f>IFERROR(__xludf.DUMMYFUNCTION("IF(A922="""","""",
   IF(F922&gt;0,
      INDEX(FILTER('RE Portfolio'!L$2:L2000,'RE Portfolio'!D$2:D2000=""BUY""), INT((ROW()-2)/amortYears)+1) - G922,
      INDEX(FILTER('RE Portfolio'!L$2:L2000,'RE Portfolio'!D$2:D2000=""BUY""), INT((ROW()-2)/amortYears)+1"&amp;")
   )
)
"),"")</f>
        <v/>
      </c>
      <c r="L922" s="15" t="str">
        <f>IFERROR(__xludf.DUMMYFUNCTION("IF(A922="""","""",
  INDEX(FILTER('RE Portfolio'!C$2:C2000,'RE Portfolio'!D$2:D2000=""BUY""), INT((ROW()-2)/amortYears)+1)
  * (1 + VALUE(Assumptions!$B$11))^(D922-1)
)
"),"")</f>
        <v/>
      </c>
    </row>
    <row r="923">
      <c r="A923" s="15" t="str">
        <f>IFERROR(__xludf.DUMMYFUNCTION("IFERROR(INDEX(FILTER('RE Portfolio'!A$2:A2000,'RE Portfolio'!D$2:D2000=""BUY""), INT((ROW()-2)/amortYears)+1), )
"),"")</f>
        <v/>
      </c>
      <c r="B923" s="15" t="str">
        <f>IFERROR(__xludf.DUMMYFUNCTION("IFERROR(INDEX(FILTER('RE Portfolio'!B$2:B2000,'RE Portfolio'!D$2:D2000=""BUY""), INT((ROW()-2)/amortYears)+1), )
"),"")</f>
        <v/>
      </c>
      <c r="C923" s="15" t="str">
        <f>IFERROR(__xludf.DUMMYFUNCTION("IFERROR(INDEX(FILTER('RE Portfolio'!G$2:G2000,'RE Portfolio'!D$2:D2000=""BUY""), INT((ROW()-2)/amortYears)+1), )
"),"")</f>
        <v/>
      </c>
      <c r="D923" s="15">
        <f>MOD(ROW()-2, amortYears)+1</f>
        <v>10</v>
      </c>
      <c r="E923" s="15" t="str">
        <f t="shared" si="1"/>
        <v/>
      </c>
      <c r="F923" s="16">
        <f t="shared" si="2"/>
        <v>0</v>
      </c>
      <c r="G923" s="16">
        <f>IF(D923&lt;=mortTerm, -PMT(mortRate/12, mortTerm*12, C923)*12, 0)
</f>
        <v>0</v>
      </c>
      <c r="H923" s="16">
        <f>IF(D923&lt;=mortTerm, G923 - I923, 0)
</f>
        <v>0</v>
      </c>
      <c r="I923" s="16">
        <f>IF(D923&lt;=mortTerm, F923 - J923, 0)
</f>
        <v>0</v>
      </c>
      <c r="J923" s="16">
        <f>IF(D923&lt;=mortTerm,
   F923*(1+mortRate/12)^12 - (-PMT(mortRate/12, mortTerm*12, C923))*(((1+mortRate/12)^12 - 1)/(mortRate/12)),
   0
)
</f>
        <v>0</v>
      </c>
      <c r="K923" s="13" t="str">
        <f>IFERROR(__xludf.DUMMYFUNCTION("IF(A923="""","""",
   IF(F923&gt;0,
      INDEX(FILTER('RE Portfolio'!L$2:L2000,'RE Portfolio'!D$2:D2000=""BUY""), INT((ROW()-2)/amortYears)+1) - G923,
      INDEX(FILTER('RE Portfolio'!L$2:L2000,'RE Portfolio'!D$2:D2000=""BUY""), INT((ROW()-2)/amortYears)+1"&amp;")
   )
)
"),"")</f>
        <v/>
      </c>
      <c r="L923" s="15" t="str">
        <f>IFERROR(__xludf.DUMMYFUNCTION("IF(A923="""","""",
  INDEX(FILTER('RE Portfolio'!C$2:C2000,'RE Portfolio'!D$2:D2000=""BUY""), INT((ROW()-2)/amortYears)+1)
  * (1 + VALUE(Assumptions!$B$11))^(D923-1)
)
"),"")</f>
        <v/>
      </c>
    </row>
    <row r="924">
      <c r="A924" s="15" t="str">
        <f>IFERROR(__xludf.DUMMYFUNCTION("IFERROR(INDEX(FILTER('RE Portfolio'!A$2:A2000,'RE Portfolio'!D$2:D2000=""BUY""), INT((ROW()-2)/amortYears)+1), )
"),"")</f>
        <v/>
      </c>
      <c r="B924" s="15" t="str">
        <f>IFERROR(__xludf.DUMMYFUNCTION("IFERROR(INDEX(FILTER('RE Portfolio'!B$2:B2000,'RE Portfolio'!D$2:D2000=""BUY""), INT((ROW()-2)/amortYears)+1), )
"),"")</f>
        <v/>
      </c>
      <c r="C924" s="15" t="str">
        <f>IFERROR(__xludf.DUMMYFUNCTION("IFERROR(INDEX(FILTER('RE Portfolio'!G$2:G2000,'RE Portfolio'!D$2:D2000=""BUY""), INT((ROW()-2)/amortYears)+1), )
"),"")</f>
        <v/>
      </c>
      <c r="D924" s="15">
        <f>MOD(ROW()-2, amortYears)+1</f>
        <v>11</v>
      </c>
      <c r="E924" s="15" t="str">
        <f t="shared" si="1"/>
        <v/>
      </c>
      <c r="F924" s="16">
        <f t="shared" si="2"/>
        <v>0</v>
      </c>
      <c r="G924" s="16">
        <f>IF(D924&lt;=mortTerm, -PMT(mortRate/12, mortTerm*12, C924)*12, 0)
</f>
        <v>0</v>
      </c>
      <c r="H924" s="16">
        <f>IF(D924&lt;=mortTerm, G924 - I924, 0)
</f>
        <v>0</v>
      </c>
      <c r="I924" s="16">
        <f>IF(D924&lt;=mortTerm, F924 - J924, 0)
</f>
        <v>0</v>
      </c>
      <c r="J924" s="16">
        <f>IF(D924&lt;=mortTerm,
   F924*(1+mortRate/12)^12 - (-PMT(mortRate/12, mortTerm*12, C924))*(((1+mortRate/12)^12 - 1)/(mortRate/12)),
   0
)
</f>
        <v>0</v>
      </c>
      <c r="K924" s="13" t="str">
        <f>IFERROR(__xludf.DUMMYFUNCTION("IF(A924="""","""",
   IF(F924&gt;0,
      INDEX(FILTER('RE Portfolio'!L$2:L2000,'RE Portfolio'!D$2:D2000=""BUY""), INT((ROW()-2)/amortYears)+1) - G924,
      INDEX(FILTER('RE Portfolio'!L$2:L2000,'RE Portfolio'!D$2:D2000=""BUY""), INT((ROW()-2)/amortYears)+1"&amp;")
   )
)
"),"")</f>
        <v/>
      </c>
      <c r="L924" s="15" t="str">
        <f>IFERROR(__xludf.DUMMYFUNCTION("IF(A924="""","""",
  INDEX(FILTER('RE Portfolio'!C$2:C2000,'RE Portfolio'!D$2:D2000=""BUY""), INT((ROW()-2)/amortYears)+1)
  * (1 + VALUE(Assumptions!$B$11))^(D924-1)
)
"),"")</f>
        <v/>
      </c>
    </row>
    <row r="925">
      <c r="A925" s="15" t="str">
        <f>IFERROR(__xludf.DUMMYFUNCTION("IFERROR(INDEX(FILTER('RE Portfolio'!A$2:A2000,'RE Portfolio'!D$2:D2000=""BUY""), INT((ROW()-2)/amortYears)+1), )
"),"")</f>
        <v/>
      </c>
      <c r="B925" s="15" t="str">
        <f>IFERROR(__xludf.DUMMYFUNCTION("IFERROR(INDEX(FILTER('RE Portfolio'!B$2:B2000,'RE Portfolio'!D$2:D2000=""BUY""), INT((ROW()-2)/amortYears)+1), )
"),"")</f>
        <v/>
      </c>
      <c r="C925" s="15" t="str">
        <f>IFERROR(__xludf.DUMMYFUNCTION("IFERROR(INDEX(FILTER('RE Portfolio'!G$2:G2000,'RE Portfolio'!D$2:D2000=""BUY""), INT((ROW()-2)/amortYears)+1), )
"),"")</f>
        <v/>
      </c>
      <c r="D925" s="15">
        <f>MOD(ROW()-2, amortYears)+1</f>
        <v>12</v>
      </c>
      <c r="E925" s="15" t="str">
        <f t="shared" si="1"/>
        <v/>
      </c>
      <c r="F925" s="16">
        <f t="shared" si="2"/>
        <v>0</v>
      </c>
      <c r="G925" s="16">
        <f>IF(D925&lt;=mortTerm, -PMT(mortRate/12, mortTerm*12, C925)*12, 0)
</f>
        <v>0</v>
      </c>
      <c r="H925" s="16">
        <f>IF(D925&lt;=mortTerm, G925 - I925, 0)
</f>
        <v>0</v>
      </c>
      <c r="I925" s="16">
        <f>IF(D925&lt;=mortTerm, F925 - J925, 0)
</f>
        <v>0</v>
      </c>
      <c r="J925" s="16">
        <f>IF(D925&lt;=mortTerm,
   F925*(1+mortRate/12)^12 - (-PMT(mortRate/12, mortTerm*12, C925))*(((1+mortRate/12)^12 - 1)/(mortRate/12)),
   0
)
</f>
        <v>0</v>
      </c>
      <c r="K925" s="13" t="str">
        <f>IFERROR(__xludf.DUMMYFUNCTION("IF(A925="""","""",
   IF(F925&gt;0,
      INDEX(FILTER('RE Portfolio'!L$2:L2000,'RE Portfolio'!D$2:D2000=""BUY""), INT((ROW()-2)/amortYears)+1) - G925,
      INDEX(FILTER('RE Portfolio'!L$2:L2000,'RE Portfolio'!D$2:D2000=""BUY""), INT((ROW()-2)/amortYears)+1"&amp;")
   )
)
"),"")</f>
        <v/>
      </c>
      <c r="L925" s="15" t="str">
        <f>IFERROR(__xludf.DUMMYFUNCTION("IF(A925="""","""",
  INDEX(FILTER('RE Portfolio'!C$2:C2000,'RE Portfolio'!D$2:D2000=""BUY""), INT((ROW()-2)/amortYears)+1)
  * (1 + VALUE(Assumptions!$B$11))^(D925-1)
)
"),"")</f>
        <v/>
      </c>
    </row>
    <row r="926">
      <c r="A926" s="15" t="str">
        <f>IFERROR(__xludf.DUMMYFUNCTION("IFERROR(INDEX(FILTER('RE Portfolio'!A$2:A2000,'RE Portfolio'!D$2:D2000=""BUY""), INT((ROW()-2)/amortYears)+1), )
"),"")</f>
        <v/>
      </c>
      <c r="B926" s="15" t="str">
        <f>IFERROR(__xludf.DUMMYFUNCTION("IFERROR(INDEX(FILTER('RE Portfolio'!B$2:B2000,'RE Portfolio'!D$2:D2000=""BUY""), INT((ROW()-2)/amortYears)+1), )
"),"")</f>
        <v/>
      </c>
      <c r="C926" s="15" t="str">
        <f>IFERROR(__xludf.DUMMYFUNCTION("IFERROR(INDEX(FILTER('RE Portfolio'!G$2:G2000,'RE Portfolio'!D$2:D2000=""BUY""), INT((ROW()-2)/amortYears)+1), )
"),"")</f>
        <v/>
      </c>
      <c r="D926" s="15">
        <f>MOD(ROW()-2, amortYears)+1</f>
        <v>13</v>
      </c>
      <c r="E926" s="15" t="str">
        <f t="shared" si="1"/>
        <v/>
      </c>
      <c r="F926" s="16">
        <f t="shared" si="2"/>
        <v>0</v>
      </c>
      <c r="G926" s="16">
        <f>IF(D926&lt;=mortTerm, -PMT(mortRate/12, mortTerm*12, C926)*12, 0)
</f>
        <v>0</v>
      </c>
      <c r="H926" s="16">
        <f>IF(D926&lt;=mortTerm, G926 - I926, 0)
</f>
        <v>0</v>
      </c>
      <c r="I926" s="16">
        <f>IF(D926&lt;=mortTerm, F926 - J926, 0)
</f>
        <v>0</v>
      </c>
      <c r="J926" s="16">
        <f>IF(D926&lt;=mortTerm,
   F926*(1+mortRate/12)^12 - (-PMT(mortRate/12, mortTerm*12, C926))*(((1+mortRate/12)^12 - 1)/(mortRate/12)),
   0
)
</f>
        <v>0</v>
      </c>
      <c r="K926" s="13" t="str">
        <f>IFERROR(__xludf.DUMMYFUNCTION("IF(A926="""","""",
   IF(F926&gt;0,
      INDEX(FILTER('RE Portfolio'!L$2:L2000,'RE Portfolio'!D$2:D2000=""BUY""), INT((ROW()-2)/amortYears)+1) - G926,
      INDEX(FILTER('RE Portfolio'!L$2:L2000,'RE Portfolio'!D$2:D2000=""BUY""), INT((ROW()-2)/amortYears)+1"&amp;")
   )
)
"),"")</f>
        <v/>
      </c>
      <c r="L926" s="15" t="str">
        <f>IFERROR(__xludf.DUMMYFUNCTION("IF(A926="""","""",
  INDEX(FILTER('RE Portfolio'!C$2:C2000,'RE Portfolio'!D$2:D2000=""BUY""), INT((ROW()-2)/amortYears)+1)
  * (1 + VALUE(Assumptions!$B$11))^(D926-1)
)
"),"")</f>
        <v/>
      </c>
    </row>
    <row r="927">
      <c r="A927" s="15" t="str">
        <f>IFERROR(__xludf.DUMMYFUNCTION("IFERROR(INDEX(FILTER('RE Portfolio'!A$2:A2000,'RE Portfolio'!D$2:D2000=""BUY""), INT((ROW()-2)/amortYears)+1), )
"),"")</f>
        <v/>
      </c>
      <c r="B927" s="15" t="str">
        <f>IFERROR(__xludf.DUMMYFUNCTION("IFERROR(INDEX(FILTER('RE Portfolio'!B$2:B2000,'RE Portfolio'!D$2:D2000=""BUY""), INT((ROW()-2)/amortYears)+1), )
"),"")</f>
        <v/>
      </c>
      <c r="C927" s="15" t="str">
        <f>IFERROR(__xludf.DUMMYFUNCTION("IFERROR(INDEX(FILTER('RE Portfolio'!G$2:G2000,'RE Portfolio'!D$2:D2000=""BUY""), INT((ROW()-2)/amortYears)+1), )
"),"")</f>
        <v/>
      </c>
      <c r="D927" s="15">
        <f>MOD(ROW()-2, amortYears)+1</f>
        <v>14</v>
      </c>
      <c r="E927" s="15" t="str">
        <f t="shared" si="1"/>
        <v/>
      </c>
      <c r="F927" s="16">
        <f t="shared" si="2"/>
        <v>0</v>
      </c>
      <c r="G927" s="16">
        <f>IF(D927&lt;=mortTerm, -PMT(mortRate/12, mortTerm*12, C927)*12, 0)
</f>
        <v>0</v>
      </c>
      <c r="H927" s="16">
        <f>IF(D927&lt;=mortTerm, G927 - I927, 0)
</f>
        <v>0</v>
      </c>
      <c r="I927" s="16">
        <f>IF(D927&lt;=mortTerm, F927 - J927, 0)
</f>
        <v>0</v>
      </c>
      <c r="J927" s="16">
        <f>IF(D927&lt;=mortTerm,
   F927*(1+mortRate/12)^12 - (-PMT(mortRate/12, mortTerm*12, C927))*(((1+mortRate/12)^12 - 1)/(mortRate/12)),
   0
)
</f>
        <v>0</v>
      </c>
      <c r="K927" s="13" t="str">
        <f>IFERROR(__xludf.DUMMYFUNCTION("IF(A927="""","""",
   IF(F927&gt;0,
      INDEX(FILTER('RE Portfolio'!L$2:L2000,'RE Portfolio'!D$2:D2000=""BUY""), INT((ROW()-2)/amortYears)+1) - G927,
      INDEX(FILTER('RE Portfolio'!L$2:L2000,'RE Portfolio'!D$2:D2000=""BUY""), INT((ROW()-2)/amortYears)+1"&amp;")
   )
)
"),"")</f>
        <v/>
      </c>
      <c r="L927" s="15" t="str">
        <f>IFERROR(__xludf.DUMMYFUNCTION("IF(A927="""","""",
  INDEX(FILTER('RE Portfolio'!C$2:C2000,'RE Portfolio'!D$2:D2000=""BUY""), INT((ROW()-2)/amortYears)+1)
  * (1 + VALUE(Assumptions!$B$11))^(D927-1)
)
"),"")</f>
        <v/>
      </c>
    </row>
    <row r="928">
      <c r="A928" s="15" t="str">
        <f>IFERROR(__xludf.DUMMYFUNCTION("IFERROR(INDEX(FILTER('RE Portfolio'!A$2:A2000,'RE Portfolio'!D$2:D2000=""BUY""), INT((ROW()-2)/amortYears)+1), )
"),"")</f>
        <v/>
      </c>
      <c r="B928" s="15" t="str">
        <f>IFERROR(__xludf.DUMMYFUNCTION("IFERROR(INDEX(FILTER('RE Portfolio'!B$2:B2000,'RE Portfolio'!D$2:D2000=""BUY""), INT((ROW()-2)/amortYears)+1), )
"),"")</f>
        <v/>
      </c>
      <c r="C928" s="15" t="str">
        <f>IFERROR(__xludf.DUMMYFUNCTION("IFERROR(INDEX(FILTER('RE Portfolio'!G$2:G2000,'RE Portfolio'!D$2:D2000=""BUY""), INT((ROW()-2)/amortYears)+1), )
"),"")</f>
        <v/>
      </c>
      <c r="D928" s="15">
        <f>MOD(ROW()-2, amortYears)+1</f>
        <v>15</v>
      </c>
      <c r="E928" s="15" t="str">
        <f t="shared" si="1"/>
        <v/>
      </c>
      <c r="F928" s="16">
        <f t="shared" si="2"/>
        <v>0</v>
      </c>
      <c r="G928" s="16">
        <f>IF(D928&lt;=mortTerm, -PMT(mortRate/12, mortTerm*12, C928)*12, 0)
</f>
        <v>0</v>
      </c>
      <c r="H928" s="16">
        <f>IF(D928&lt;=mortTerm, G928 - I928, 0)
</f>
        <v>0</v>
      </c>
      <c r="I928" s="16">
        <f>IF(D928&lt;=mortTerm, F928 - J928, 0)
</f>
        <v>0</v>
      </c>
      <c r="J928" s="16">
        <f>IF(D928&lt;=mortTerm,
   F928*(1+mortRate/12)^12 - (-PMT(mortRate/12, mortTerm*12, C928))*(((1+mortRate/12)^12 - 1)/(mortRate/12)),
   0
)
</f>
        <v>0</v>
      </c>
      <c r="K928" s="13" t="str">
        <f>IFERROR(__xludf.DUMMYFUNCTION("IF(A928="""","""",
   IF(F928&gt;0,
      INDEX(FILTER('RE Portfolio'!L$2:L2000,'RE Portfolio'!D$2:D2000=""BUY""), INT((ROW()-2)/amortYears)+1) - G928,
      INDEX(FILTER('RE Portfolio'!L$2:L2000,'RE Portfolio'!D$2:D2000=""BUY""), INT((ROW()-2)/amortYears)+1"&amp;")
   )
)
"),"")</f>
        <v/>
      </c>
      <c r="L928" s="15" t="str">
        <f>IFERROR(__xludf.DUMMYFUNCTION("IF(A928="""","""",
  INDEX(FILTER('RE Portfolio'!C$2:C2000,'RE Portfolio'!D$2:D2000=""BUY""), INT((ROW()-2)/amortYears)+1)
  * (1 + VALUE(Assumptions!$B$11))^(D928-1)
)
"),"")</f>
        <v/>
      </c>
    </row>
    <row r="929">
      <c r="A929" s="15" t="str">
        <f>IFERROR(__xludf.DUMMYFUNCTION("IFERROR(INDEX(FILTER('RE Portfolio'!A$2:A2000,'RE Portfolio'!D$2:D2000=""BUY""), INT((ROW()-2)/amortYears)+1), )
"),"")</f>
        <v/>
      </c>
      <c r="B929" s="15" t="str">
        <f>IFERROR(__xludf.DUMMYFUNCTION("IFERROR(INDEX(FILTER('RE Portfolio'!B$2:B2000,'RE Portfolio'!D$2:D2000=""BUY""), INT((ROW()-2)/amortYears)+1), )
"),"")</f>
        <v/>
      </c>
      <c r="C929" s="15" t="str">
        <f>IFERROR(__xludf.DUMMYFUNCTION("IFERROR(INDEX(FILTER('RE Portfolio'!G$2:G2000,'RE Portfolio'!D$2:D2000=""BUY""), INT((ROW()-2)/amortYears)+1), )
"),"")</f>
        <v/>
      </c>
      <c r="D929" s="15">
        <f>MOD(ROW()-2, amortYears)+1</f>
        <v>16</v>
      </c>
      <c r="E929" s="15" t="str">
        <f t="shared" si="1"/>
        <v/>
      </c>
      <c r="F929" s="16">
        <f t="shared" si="2"/>
        <v>0</v>
      </c>
      <c r="G929" s="16">
        <f>IF(D929&lt;=mortTerm, -PMT(mortRate/12, mortTerm*12, C929)*12, 0)
</f>
        <v>0</v>
      </c>
      <c r="H929" s="16">
        <f>IF(D929&lt;=mortTerm, G929 - I929, 0)
</f>
        <v>0</v>
      </c>
      <c r="I929" s="16">
        <f>IF(D929&lt;=mortTerm, F929 - J929, 0)
</f>
        <v>0</v>
      </c>
      <c r="J929" s="16">
        <f>IF(D929&lt;=mortTerm,
   F929*(1+mortRate/12)^12 - (-PMT(mortRate/12, mortTerm*12, C929))*(((1+mortRate/12)^12 - 1)/(mortRate/12)),
   0
)
</f>
        <v>0</v>
      </c>
      <c r="K929" s="13" t="str">
        <f>IFERROR(__xludf.DUMMYFUNCTION("IF(A929="""","""",
   IF(F929&gt;0,
      INDEX(FILTER('RE Portfolio'!L$2:L2000,'RE Portfolio'!D$2:D2000=""BUY""), INT((ROW()-2)/amortYears)+1) - G929,
      INDEX(FILTER('RE Portfolio'!L$2:L2000,'RE Portfolio'!D$2:D2000=""BUY""), INT((ROW()-2)/amortYears)+1"&amp;")
   )
)
"),"")</f>
        <v/>
      </c>
      <c r="L929" s="15" t="str">
        <f>IFERROR(__xludf.DUMMYFUNCTION("IF(A929="""","""",
  INDEX(FILTER('RE Portfolio'!C$2:C2000,'RE Portfolio'!D$2:D2000=""BUY""), INT((ROW()-2)/amortYears)+1)
  * (1 + VALUE(Assumptions!$B$11))^(D929-1)
)
"),"")</f>
        <v/>
      </c>
    </row>
    <row r="930">
      <c r="A930" s="15" t="str">
        <f>IFERROR(__xludf.DUMMYFUNCTION("IFERROR(INDEX(FILTER('RE Portfolio'!A$2:A2000,'RE Portfolio'!D$2:D2000=""BUY""), INT((ROW()-2)/amortYears)+1), )
"),"")</f>
        <v/>
      </c>
      <c r="B930" s="15" t="str">
        <f>IFERROR(__xludf.DUMMYFUNCTION("IFERROR(INDEX(FILTER('RE Portfolio'!B$2:B2000,'RE Portfolio'!D$2:D2000=""BUY""), INT((ROW()-2)/amortYears)+1), )
"),"")</f>
        <v/>
      </c>
      <c r="C930" s="15" t="str">
        <f>IFERROR(__xludf.DUMMYFUNCTION("IFERROR(INDEX(FILTER('RE Portfolio'!G$2:G2000,'RE Portfolio'!D$2:D2000=""BUY""), INT((ROW()-2)/amortYears)+1), )
"),"")</f>
        <v/>
      </c>
      <c r="D930" s="15">
        <f>MOD(ROW()-2, amortYears)+1</f>
        <v>17</v>
      </c>
      <c r="E930" s="15" t="str">
        <f t="shared" si="1"/>
        <v/>
      </c>
      <c r="F930" s="16">
        <f t="shared" si="2"/>
        <v>0</v>
      </c>
      <c r="G930" s="16">
        <f>IF(D930&lt;=mortTerm, -PMT(mortRate/12, mortTerm*12, C930)*12, 0)
</f>
        <v>0</v>
      </c>
      <c r="H930" s="16">
        <f>IF(D930&lt;=mortTerm, G930 - I930, 0)
</f>
        <v>0</v>
      </c>
      <c r="I930" s="16">
        <f>IF(D930&lt;=mortTerm, F930 - J930, 0)
</f>
        <v>0</v>
      </c>
      <c r="J930" s="16">
        <f>IF(D930&lt;=mortTerm,
   F930*(1+mortRate/12)^12 - (-PMT(mortRate/12, mortTerm*12, C930))*(((1+mortRate/12)^12 - 1)/(mortRate/12)),
   0
)
</f>
        <v>0</v>
      </c>
      <c r="K930" s="13" t="str">
        <f>IFERROR(__xludf.DUMMYFUNCTION("IF(A930="""","""",
   IF(F930&gt;0,
      INDEX(FILTER('RE Portfolio'!L$2:L2000,'RE Portfolio'!D$2:D2000=""BUY""), INT((ROW()-2)/amortYears)+1) - G930,
      INDEX(FILTER('RE Portfolio'!L$2:L2000,'RE Portfolio'!D$2:D2000=""BUY""), INT((ROW()-2)/amortYears)+1"&amp;")
   )
)
"),"")</f>
        <v/>
      </c>
      <c r="L930" s="15" t="str">
        <f>IFERROR(__xludf.DUMMYFUNCTION("IF(A930="""","""",
  INDEX(FILTER('RE Portfolio'!C$2:C2000,'RE Portfolio'!D$2:D2000=""BUY""), INT((ROW()-2)/amortYears)+1)
  * (1 + VALUE(Assumptions!$B$11))^(D930-1)
)
"),"")</f>
        <v/>
      </c>
    </row>
    <row r="931">
      <c r="A931" s="15" t="str">
        <f>IFERROR(__xludf.DUMMYFUNCTION("IFERROR(INDEX(FILTER('RE Portfolio'!A$2:A2000,'RE Portfolio'!D$2:D2000=""BUY""), INT((ROW()-2)/amortYears)+1), )
"),"")</f>
        <v/>
      </c>
      <c r="B931" s="15" t="str">
        <f>IFERROR(__xludf.DUMMYFUNCTION("IFERROR(INDEX(FILTER('RE Portfolio'!B$2:B2000,'RE Portfolio'!D$2:D2000=""BUY""), INT((ROW()-2)/amortYears)+1), )
"),"")</f>
        <v/>
      </c>
      <c r="C931" s="15" t="str">
        <f>IFERROR(__xludf.DUMMYFUNCTION("IFERROR(INDEX(FILTER('RE Portfolio'!G$2:G2000,'RE Portfolio'!D$2:D2000=""BUY""), INT((ROW()-2)/amortYears)+1), )
"),"")</f>
        <v/>
      </c>
      <c r="D931" s="15">
        <f>MOD(ROW()-2, amortYears)+1</f>
        <v>18</v>
      </c>
      <c r="E931" s="15" t="str">
        <f t="shared" si="1"/>
        <v/>
      </c>
      <c r="F931" s="16">
        <f t="shared" si="2"/>
        <v>0</v>
      </c>
      <c r="G931" s="16">
        <f>IF(D931&lt;=mortTerm, -PMT(mortRate/12, mortTerm*12, C931)*12, 0)
</f>
        <v>0</v>
      </c>
      <c r="H931" s="16">
        <f>IF(D931&lt;=mortTerm, G931 - I931, 0)
</f>
        <v>0</v>
      </c>
      <c r="I931" s="16">
        <f>IF(D931&lt;=mortTerm, F931 - J931, 0)
</f>
        <v>0</v>
      </c>
      <c r="J931" s="16">
        <f>IF(D931&lt;=mortTerm,
   F931*(1+mortRate/12)^12 - (-PMT(mortRate/12, mortTerm*12, C931))*(((1+mortRate/12)^12 - 1)/(mortRate/12)),
   0
)
</f>
        <v>0</v>
      </c>
      <c r="K931" s="13" t="str">
        <f>IFERROR(__xludf.DUMMYFUNCTION("IF(A931="""","""",
   IF(F931&gt;0,
      INDEX(FILTER('RE Portfolio'!L$2:L2000,'RE Portfolio'!D$2:D2000=""BUY""), INT((ROW()-2)/amortYears)+1) - G931,
      INDEX(FILTER('RE Portfolio'!L$2:L2000,'RE Portfolio'!D$2:D2000=""BUY""), INT((ROW()-2)/amortYears)+1"&amp;")
   )
)
"),"")</f>
        <v/>
      </c>
      <c r="L931" s="15" t="str">
        <f>IFERROR(__xludf.DUMMYFUNCTION("IF(A931="""","""",
  INDEX(FILTER('RE Portfolio'!C$2:C2000,'RE Portfolio'!D$2:D2000=""BUY""), INT((ROW()-2)/amortYears)+1)
  * (1 + VALUE(Assumptions!$B$11))^(D931-1)
)
"),"")</f>
        <v/>
      </c>
    </row>
    <row r="932">
      <c r="A932" s="15" t="str">
        <f>IFERROR(__xludf.DUMMYFUNCTION("IFERROR(INDEX(FILTER('RE Portfolio'!A$2:A2000,'RE Portfolio'!D$2:D2000=""BUY""), INT((ROW()-2)/amortYears)+1), )
"),"")</f>
        <v/>
      </c>
      <c r="B932" s="15" t="str">
        <f>IFERROR(__xludf.DUMMYFUNCTION("IFERROR(INDEX(FILTER('RE Portfolio'!B$2:B2000,'RE Portfolio'!D$2:D2000=""BUY""), INT((ROW()-2)/amortYears)+1), )
"),"")</f>
        <v/>
      </c>
      <c r="C932" s="15" t="str">
        <f>IFERROR(__xludf.DUMMYFUNCTION("IFERROR(INDEX(FILTER('RE Portfolio'!G$2:G2000,'RE Portfolio'!D$2:D2000=""BUY""), INT((ROW()-2)/amortYears)+1), )
"),"")</f>
        <v/>
      </c>
      <c r="D932" s="15">
        <f>MOD(ROW()-2, amortYears)+1</f>
        <v>19</v>
      </c>
      <c r="E932" s="15" t="str">
        <f t="shared" si="1"/>
        <v/>
      </c>
      <c r="F932" s="16">
        <f t="shared" si="2"/>
        <v>0</v>
      </c>
      <c r="G932" s="16">
        <f>IF(D932&lt;=mortTerm, -PMT(mortRate/12, mortTerm*12, C932)*12, 0)
</f>
        <v>0</v>
      </c>
      <c r="H932" s="16">
        <f>IF(D932&lt;=mortTerm, G932 - I932, 0)
</f>
        <v>0</v>
      </c>
      <c r="I932" s="16">
        <f>IF(D932&lt;=mortTerm, F932 - J932, 0)
</f>
        <v>0</v>
      </c>
      <c r="J932" s="16">
        <f>IF(D932&lt;=mortTerm,
   F932*(1+mortRate/12)^12 - (-PMT(mortRate/12, mortTerm*12, C932))*(((1+mortRate/12)^12 - 1)/(mortRate/12)),
   0
)
</f>
        <v>0</v>
      </c>
      <c r="K932" s="13" t="str">
        <f>IFERROR(__xludf.DUMMYFUNCTION("IF(A932="""","""",
   IF(F932&gt;0,
      INDEX(FILTER('RE Portfolio'!L$2:L2000,'RE Portfolio'!D$2:D2000=""BUY""), INT((ROW()-2)/amortYears)+1) - G932,
      INDEX(FILTER('RE Portfolio'!L$2:L2000,'RE Portfolio'!D$2:D2000=""BUY""), INT((ROW()-2)/amortYears)+1"&amp;")
   )
)
"),"")</f>
        <v/>
      </c>
      <c r="L932" s="15" t="str">
        <f>IFERROR(__xludf.DUMMYFUNCTION("IF(A932="""","""",
  INDEX(FILTER('RE Portfolio'!C$2:C2000,'RE Portfolio'!D$2:D2000=""BUY""), INT((ROW()-2)/amortYears)+1)
  * (1 + VALUE(Assumptions!$B$11))^(D932-1)
)
"),"")</f>
        <v/>
      </c>
    </row>
    <row r="933">
      <c r="A933" s="15" t="str">
        <f>IFERROR(__xludf.DUMMYFUNCTION("IFERROR(INDEX(FILTER('RE Portfolio'!A$2:A2000,'RE Portfolio'!D$2:D2000=""BUY""), INT((ROW()-2)/amortYears)+1), )
"),"")</f>
        <v/>
      </c>
      <c r="B933" s="15" t="str">
        <f>IFERROR(__xludf.DUMMYFUNCTION("IFERROR(INDEX(FILTER('RE Portfolio'!B$2:B2000,'RE Portfolio'!D$2:D2000=""BUY""), INT((ROW()-2)/amortYears)+1), )
"),"")</f>
        <v/>
      </c>
      <c r="C933" s="15" t="str">
        <f>IFERROR(__xludf.DUMMYFUNCTION("IFERROR(INDEX(FILTER('RE Portfolio'!G$2:G2000,'RE Portfolio'!D$2:D2000=""BUY""), INT((ROW()-2)/amortYears)+1), )
"),"")</f>
        <v/>
      </c>
      <c r="D933" s="15">
        <f>MOD(ROW()-2, amortYears)+1</f>
        <v>20</v>
      </c>
      <c r="E933" s="15" t="str">
        <f t="shared" si="1"/>
        <v/>
      </c>
      <c r="F933" s="16">
        <f t="shared" si="2"/>
        <v>0</v>
      </c>
      <c r="G933" s="16">
        <f>IF(D933&lt;=mortTerm, -PMT(mortRate/12, mortTerm*12, C933)*12, 0)
</f>
        <v>0</v>
      </c>
      <c r="H933" s="16">
        <f>IF(D933&lt;=mortTerm, G933 - I933, 0)
</f>
        <v>0</v>
      </c>
      <c r="I933" s="16">
        <f>IF(D933&lt;=mortTerm, F933 - J933, 0)
</f>
        <v>0</v>
      </c>
      <c r="J933" s="16">
        <f>IF(D933&lt;=mortTerm,
   F933*(1+mortRate/12)^12 - (-PMT(mortRate/12, mortTerm*12, C933))*(((1+mortRate/12)^12 - 1)/(mortRate/12)),
   0
)
</f>
        <v>0</v>
      </c>
      <c r="K933" s="13" t="str">
        <f>IFERROR(__xludf.DUMMYFUNCTION("IF(A933="""","""",
   IF(F933&gt;0,
      INDEX(FILTER('RE Portfolio'!L$2:L2000,'RE Portfolio'!D$2:D2000=""BUY""), INT((ROW()-2)/amortYears)+1) - G933,
      INDEX(FILTER('RE Portfolio'!L$2:L2000,'RE Portfolio'!D$2:D2000=""BUY""), INT((ROW()-2)/amortYears)+1"&amp;")
   )
)
"),"")</f>
        <v/>
      </c>
      <c r="L933" s="15" t="str">
        <f>IFERROR(__xludf.DUMMYFUNCTION("IF(A933="""","""",
  INDEX(FILTER('RE Portfolio'!C$2:C2000,'RE Portfolio'!D$2:D2000=""BUY""), INT((ROW()-2)/amortYears)+1)
  * (1 + VALUE(Assumptions!$B$11))^(D933-1)
)
"),"")</f>
        <v/>
      </c>
    </row>
    <row r="934">
      <c r="A934" s="15" t="str">
        <f>IFERROR(__xludf.DUMMYFUNCTION("IFERROR(INDEX(FILTER('RE Portfolio'!A$2:A2000,'RE Portfolio'!D$2:D2000=""BUY""), INT((ROW()-2)/amortYears)+1), )
"),"")</f>
        <v/>
      </c>
      <c r="B934" s="15" t="str">
        <f>IFERROR(__xludf.DUMMYFUNCTION("IFERROR(INDEX(FILTER('RE Portfolio'!B$2:B2000,'RE Portfolio'!D$2:D2000=""BUY""), INT((ROW()-2)/amortYears)+1), )
"),"")</f>
        <v/>
      </c>
      <c r="C934" s="15" t="str">
        <f>IFERROR(__xludf.DUMMYFUNCTION("IFERROR(INDEX(FILTER('RE Portfolio'!G$2:G2000,'RE Portfolio'!D$2:D2000=""BUY""), INT((ROW()-2)/amortYears)+1), )
"),"")</f>
        <v/>
      </c>
      <c r="D934" s="15">
        <f>MOD(ROW()-2, amortYears)+1</f>
        <v>21</v>
      </c>
      <c r="E934" s="15" t="str">
        <f t="shared" si="1"/>
        <v/>
      </c>
      <c r="F934" s="16">
        <f t="shared" si="2"/>
        <v>0</v>
      </c>
      <c r="G934" s="16">
        <f>IF(D934&lt;=mortTerm, -PMT(mortRate/12, mortTerm*12, C934)*12, 0)
</f>
        <v>0</v>
      </c>
      <c r="H934" s="16">
        <f>IF(D934&lt;=mortTerm, G934 - I934, 0)
</f>
        <v>0</v>
      </c>
      <c r="I934" s="16">
        <f>IF(D934&lt;=mortTerm, F934 - J934, 0)
</f>
        <v>0</v>
      </c>
      <c r="J934" s="16">
        <f>IF(D934&lt;=mortTerm,
   F934*(1+mortRate/12)^12 - (-PMT(mortRate/12, mortTerm*12, C934))*(((1+mortRate/12)^12 - 1)/(mortRate/12)),
   0
)
</f>
        <v>0</v>
      </c>
      <c r="K934" s="13" t="str">
        <f>IFERROR(__xludf.DUMMYFUNCTION("IF(A934="""","""",
   IF(F934&gt;0,
      INDEX(FILTER('RE Portfolio'!L$2:L2000,'RE Portfolio'!D$2:D2000=""BUY""), INT((ROW()-2)/amortYears)+1) - G934,
      INDEX(FILTER('RE Portfolio'!L$2:L2000,'RE Portfolio'!D$2:D2000=""BUY""), INT((ROW()-2)/amortYears)+1"&amp;")
   )
)
"),"")</f>
        <v/>
      </c>
      <c r="L934" s="15" t="str">
        <f>IFERROR(__xludf.DUMMYFUNCTION("IF(A934="""","""",
  INDEX(FILTER('RE Portfolio'!C$2:C2000,'RE Portfolio'!D$2:D2000=""BUY""), INT((ROW()-2)/amortYears)+1)
  * (1 + VALUE(Assumptions!$B$11))^(D934-1)
)
"),"")</f>
        <v/>
      </c>
    </row>
    <row r="935">
      <c r="A935" s="15" t="str">
        <f>IFERROR(__xludf.DUMMYFUNCTION("IFERROR(INDEX(FILTER('RE Portfolio'!A$2:A2000,'RE Portfolio'!D$2:D2000=""BUY""), INT((ROW()-2)/amortYears)+1), )
"),"")</f>
        <v/>
      </c>
      <c r="B935" s="15" t="str">
        <f>IFERROR(__xludf.DUMMYFUNCTION("IFERROR(INDEX(FILTER('RE Portfolio'!B$2:B2000,'RE Portfolio'!D$2:D2000=""BUY""), INT((ROW()-2)/amortYears)+1), )
"),"")</f>
        <v/>
      </c>
      <c r="C935" s="15" t="str">
        <f>IFERROR(__xludf.DUMMYFUNCTION("IFERROR(INDEX(FILTER('RE Portfolio'!G$2:G2000,'RE Portfolio'!D$2:D2000=""BUY""), INT((ROW()-2)/amortYears)+1), )
"),"")</f>
        <v/>
      </c>
      <c r="D935" s="15">
        <f>MOD(ROW()-2, amortYears)+1</f>
        <v>22</v>
      </c>
      <c r="E935" s="15" t="str">
        <f t="shared" si="1"/>
        <v/>
      </c>
      <c r="F935" s="16">
        <f t="shared" si="2"/>
        <v>0</v>
      </c>
      <c r="G935" s="16">
        <f>IF(D935&lt;=mortTerm, -PMT(mortRate/12, mortTerm*12, C935)*12, 0)
</f>
        <v>0</v>
      </c>
      <c r="H935" s="16">
        <f>IF(D935&lt;=mortTerm, G935 - I935, 0)
</f>
        <v>0</v>
      </c>
      <c r="I935" s="16">
        <f>IF(D935&lt;=mortTerm, F935 - J935, 0)
</f>
        <v>0</v>
      </c>
      <c r="J935" s="16">
        <f>IF(D935&lt;=mortTerm,
   F935*(1+mortRate/12)^12 - (-PMT(mortRate/12, mortTerm*12, C935))*(((1+mortRate/12)^12 - 1)/(mortRate/12)),
   0
)
</f>
        <v>0</v>
      </c>
      <c r="K935" s="13" t="str">
        <f>IFERROR(__xludf.DUMMYFUNCTION("IF(A935="""","""",
   IF(F935&gt;0,
      INDEX(FILTER('RE Portfolio'!L$2:L2000,'RE Portfolio'!D$2:D2000=""BUY""), INT((ROW()-2)/amortYears)+1) - G935,
      INDEX(FILTER('RE Portfolio'!L$2:L2000,'RE Portfolio'!D$2:D2000=""BUY""), INT((ROW()-2)/amortYears)+1"&amp;")
   )
)
"),"")</f>
        <v/>
      </c>
      <c r="L935" s="15" t="str">
        <f>IFERROR(__xludf.DUMMYFUNCTION("IF(A935="""","""",
  INDEX(FILTER('RE Portfolio'!C$2:C2000,'RE Portfolio'!D$2:D2000=""BUY""), INT((ROW()-2)/amortYears)+1)
  * (1 + VALUE(Assumptions!$B$11))^(D935-1)
)
"),"")</f>
        <v/>
      </c>
    </row>
    <row r="936">
      <c r="A936" s="15" t="str">
        <f>IFERROR(__xludf.DUMMYFUNCTION("IFERROR(INDEX(FILTER('RE Portfolio'!A$2:A2000,'RE Portfolio'!D$2:D2000=""BUY""), INT((ROW()-2)/amortYears)+1), )
"),"")</f>
        <v/>
      </c>
      <c r="B936" s="15" t="str">
        <f>IFERROR(__xludf.DUMMYFUNCTION("IFERROR(INDEX(FILTER('RE Portfolio'!B$2:B2000,'RE Portfolio'!D$2:D2000=""BUY""), INT((ROW()-2)/amortYears)+1), )
"),"")</f>
        <v/>
      </c>
      <c r="C936" s="15" t="str">
        <f>IFERROR(__xludf.DUMMYFUNCTION("IFERROR(INDEX(FILTER('RE Portfolio'!G$2:G2000,'RE Portfolio'!D$2:D2000=""BUY""), INT((ROW()-2)/amortYears)+1), )
"),"")</f>
        <v/>
      </c>
      <c r="D936" s="15">
        <f>MOD(ROW()-2, amortYears)+1</f>
        <v>23</v>
      </c>
      <c r="E936" s="15" t="str">
        <f t="shared" si="1"/>
        <v/>
      </c>
      <c r="F936" s="16">
        <f t="shared" si="2"/>
        <v>0</v>
      </c>
      <c r="G936" s="16">
        <f>IF(D936&lt;=mortTerm, -PMT(mortRate/12, mortTerm*12, C936)*12, 0)
</f>
        <v>0</v>
      </c>
      <c r="H936" s="16">
        <f>IF(D936&lt;=mortTerm, G936 - I936, 0)
</f>
        <v>0</v>
      </c>
      <c r="I936" s="16">
        <f>IF(D936&lt;=mortTerm, F936 - J936, 0)
</f>
        <v>0</v>
      </c>
      <c r="J936" s="16">
        <f>IF(D936&lt;=mortTerm,
   F936*(1+mortRate/12)^12 - (-PMT(mortRate/12, mortTerm*12, C936))*(((1+mortRate/12)^12 - 1)/(mortRate/12)),
   0
)
</f>
        <v>0</v>
      </c>
      <c r="K936" s="13" t="str">
        <f>IFERROR(__xludf.DUMMYFUNCTION("IF(A936="""","""",
   IF(F936&gt;0,
      INDEX(FILTER('RE Portfolio'!L$2:L2000,'RE Portfolio'!D$2:D2000=""BUY""), INT((ROW()-2)/amortYears)+1) - G936,
      INDEX(FILTER('RE Portfolio'!L$2:L2000,'RE Portfolio'!D$2:D2000=""BUY""), INT((ROW()-2)/amortYears)+1"&amp;")
   )
)
"),"")</f>
        <v/>
      </c>
      <c r="L936" s="15" t="str">
        <f>IFERROR(__xludf.DUMMYFUNCTION("IF(A936="""","""",
  INDEX(FILTER('RE Portfolio'!C$2:C2000,'RE Portfolio'!D$2:D2000=""BUY""), INT((ROW()-2)/amortYears)+1)
  * (1 + VALUE(Assumptions!$B$11))^(D936-1)
)
"),"")</f>
        <v/>
      </c>
    </row>
    <row r="937">
      <c r="A937" s="15" t="str">
        <f>IFERROR(__xludf.DUMMYFUNCTION("IFERROR(INDEX(FILTER('RE Portfolio'!A$2:A2000,'RE Portfolio'!D$2:D2000=""BUY""), INT((ROW()-2)/amortYears)+1), )
"),"")</f>
        <v/>
      </c>
      <c r="B937" s="15" t="str">
        <f>IFERROR(__xludf.DUMMYFUNCTION("IFERROR(INDEX(FILTER('RE Portfolio'!B$2:B2000,'RE Portfolio'!D$2:D2000=""BUY""), INT((ROW()-2)/amortYears)+1), )
"),"")</f>
        <v/>
      </c>
      <c r="C937" s="15" t="str">
        <f>IFERROR(__xludf.DUMMYFUNCTION("IFERROR(INDEX(FILTER('RE Portfolio'!G$2:G2000,'RE Portfolio'!D$2:D2000=""BUY""), INT((ROW()-2)/amortYears)+1), )
"),"")</f>
        <v/>
      </c>
      <c r="D937" s="15">
        <f>MOD(ROW()-2, amortYears)+1</f>
        <v>24</v>
      </c>
      <c r="E937" s="15" t="str">
        <f t="shared" si="1"/>
        <v/>
      </c>
      <c r="F937" s="16">
        <f t="shared" si="2"/>
        <v>0</v>
      </c>
      <c r="G937" s="16">
        <f>IF(D937&lt;=mortTerm, -PMT(mortRate/12, mortTerm*12, C937)*12, 0)
</f>
        <v>0</v>
      </c>
      <c r="H937" s="16">
        <f>IF(D937&lt;=mortTerm, G937 - I937, 0)
</f>
        <v>0</v>
      </c>
      <c r="I937" s="16">
        <f>IF(D937&lt;=mortTerm, F937 - J937, 0)
</f>
        <v>0</v>
      </c>
      <c r="J937" s="16">
        <f>IF(D937&lt;=mortTerm,
   F937*(1+mortRate/12)^12 - (-PMT(mortRate/12, mortTerm*12, C937))*(((1+mortRate/12)^12 - 1)/(mortRate/12)),
   0
)
</f>
        <v>0</v>
      </c>
      <c r="K937" s="13" t="str">
        <f>IFERROR(__xludf.DUMMYFUNCTION("IF(A937="""","""",
   IF(F937&gt;0,
      INDEX(FILTER('RE Portfolio'!L$2:L2000,'RE Portfolio'!D$2:D2000=""BUY""), INT((ROW()-2)/amortYears)+1) - G937,
      INDEX(FILTER('RE Portfolio'!L$2:L2000,'RE Portfolio'!D$2:D2000=""BUY""), INT((ROW()-2)/amortYears)+1"&amp;")
   )
)
"),"")</f>
        <v/>
      </c>
      <c r="L937" s="15" t="str">
        <f>IFERROR(__xludf.DUMMYFUNCTION("IF(A937="""","""",
  INDEX(FILTER('RE Portfolio'!C$2:C2000,'RE Portfolio'!D$2:D2000=""BUY""), INT((ROW()-2)/amortYears)+1)
  * (1 + VALUE(Assumptions!$B$11))^(D937-1)
)
"),"")</f>
        <v/>
      </c>
    </row>
    <row r="938">
      <c r="A938" s="15" t="str">
        <f>IFERROR(__xludf.DUMMYFUNCTION("IFERROR(INDEX(FILTER('RE Portfolio'!A$2:A2000,'RE Portfolio'!D$2:D2000=""BUY""), INT((ROW()-2)/amortYears)+1), )
"),"")</f>
        <v/>
      </c>
      <c r="B938" s="15" t="str">
        <f>IFERROR(__xludf.DUMMYFUNCTION("IFERROR(INDEX(FILTER('RE Portfolio'!B$2:B2000,'RE Portfolio'!D$2:D2000=""BUY""), INT((ROW()-2)/amortYears)+1), )
"),"")</f>
        <v/>
      </c>
      <c r="C938" s="15" t="str">
        <f>IFERROR(__xludf.DUMMYFUNCTION("IFERROR(INDEX(FILTER('RE Portfolio'!G$2:G2000,'RE Portfolio'!D$2:D2000=""BUY""), INT((ROW()-2)/amortYears)+1), )
"),"")</f>
        <v/>
      </c>
      <c r="D938" s="15">
        <f>MOD(ROW()-2, amortYears)+1</f>
        <v>25</v>
      </c>
      <c r="E938" s="15" t="str">
        <f t="shared" si="1"/>
        <v/>
      </c>
      <c r="F938" s="16">
        <f t="shared" si="2"/>
        <v>0</v>
      </c>
      <c r="G938" s="16">
        <f>IF(D938&lt;=mortTerm, -PMT(mortRate/12, mortTerm*12, C938)*12, 0)
</f>
        <v>0</v>
      </c>
      <c r="H938" s="16">
        <f>IF(D938&lt;=mortTerm, G938 - I938, 0)
</f>
        <v>0</v>
      </c>
      <c r="I938" s="16">
        <f>IF(D938&lt;=mortTerm, F938 - J938, 0)
</f>
        <v>0</v>
      </c>
      <c r="J938" s="16">
        <f>IF(D938&lt;=mortTerm,
   F938*(1+mortRate/12)^12 - (-PMT(mortRate/12, mortTerm*12, C938))*(((1+mortRate/12)^12 - 1)/(mortRate/12)),
   0
)
</f>
        <v>0</v>
      </c>
      <c r="K938" s="13" t="str">
        <f>IFERROR(__xludf.DUMMYFUNCTION("IF(A938="""","""",
   IF(F938&gt;0,
      INDEX(FILTER('RE Portfolio'!L$2:L2000,'RE Portfolio'!D$2:D2000=""BUY""), INT((ROW()-2)/amortYears)+1) - G938,
      INDEX(FILTER('RE Portfolio'!L$2:L2000,'RE Portfolio'!D$2:D2000=""BUY""), INT((ROW()-2)/amortYears)+1"&amp;")
   )
)
"),"")</f>
        <v/>
      </c>
      <c r="L938" s="15" t="str">
        <f>IFERROR(__xludf.DUMMYFUNCTION("IF(A938="""","""",
  INDEX(FILTER('RE Portfolio'!C$2:C2000,'RE Portfolio'!D$2:D2000=""BUY""), INT((ROW()-2)/amortYears)+1)
  * (1 + VALUE(Assumptions!$B$11))^(D938-1)
)
"),"")</f>
        <v/>
      </c>
    </row>
    <row r="939">
      <c r="A939" s="15" t="str">
        <f>IFERROR(__xludf.DUMMYFUNCTION("IFERROR(INDEX(FILTER('RE Portfolio'!A$2:A2000,'RE Portfolio'!D$2:D2000=""BUY""), INT((ROW()-2)/amortYears)+1), )
"),"")</f>
        <v/>
      </c>
      <c r="B939" s="15" t="str">
        <f>IFERROR(__xludf.DUMMYFUNCTION("IFERROR(INDEX(FILTER('RE Portfolio'!B$2:B2000,'RE Portfolio'!D$2:D2000=""BUY""), INT((ROW()-2)/amortYears)+1), )
"),"")</f>
        <v/>
      </c>
      <c r="C939" s="15" t="str">
        <f>IFERROR(__xludf.DUMMYFUNCTION("IFERROR(INDEX(FILTER('RE Portfolio'!G$2:G2000,'RE Portfolio'!D$2:D2000=""BUY""), INT((ROW()-2)/amortYears)+1), )
"),"")</f>
        <v/>
      </c>
      <c r="D939" s="15">
        <f>MOD(ROW()-2, amortYears)+1</f>
        <v>26</v>
      </c>
      <c r="E939" s="15" t="str">
        <f t="shared" si="1"/>
        <v/>
      </c>
      <c r="F939" s="16">
        <f t="shared" si="2"/>
        <v>0</v>
      </c>
      <c r="G939" s="16">
        <f>IF(D939&lt;=mortTerm, -PMT(mortRate/12, mortTerm*12, C939)*12, 0)
</f>
        <v>0</v>
      </c>
      <c r="H939" s="16">
        <f>IF(D939&lt;=mortTerm, G939 - I939, 0)
</f>
        <v>0</v>
      </c>
      <c r="I939" s="16">
        <f>IF(D939&lt;=mortTerm, F939 - J939, 0)
</f>
        <v>0</v>
      </c>
      <c r="J939" s="16">
        <f>IF(D939&lt;=mortTerm,
   F939*(1+mortRate/12)^12 - (-PMT(mortRate/12, mortTerm*12, C939))*(((1+mortRate/12)^12 - 1)/(mortRate/12)),
   0
)
</f>
        <v>0</v>
      </c>
      <c r="K939" s="13" t="str">
        <f>IFERROR(__xludf.DUMMYFUNCTION("IF(A939="""","""",
   IF(F939&gt;0,
      INDEX(FILTER('RE Portfolio'!L$2:L2000,'RE Portfolio'!D$2:D2000=""BUY""), INT((ROW()-2)/amortYears)+1) - G939,
      INDEX(FILTER('RE Portfolio'!L$2:L2000,'RE Portfolio'!D$2:D2000=""BUY""), INT((ROW()-2)/amortYears)+1"&amp;")
   )
)
"),"")</f>
        <v/>
      </c>
      <c r="L939" s="15" t="str">
        <f>IFERROR(__xludf.DUMMYFUNCTION("IF(A939="""","""",
  INDEX(FILTER('RE Portfolio'!C$2:C2000,'RE Portfolio'!D$2:D2000=""BUY""), INT((ROW()-2)/amortYears)+1)
  * (1 + VALUE(Assumptions!$B$11))^(D939-1)
)
"),"")</f>
        <v/>
      </c>
    </row>
    <row r="940">
      <c r="A940" s="15" t="str">
        <f>IFERROR(__xludf.DUMMYFUNCTION("IFERROR(INDEX(FILTER('RE Portfolio'!A$2:A2000,'RE Portfolio'!D$2:D2000=""BUY""), INT((ROW()-2)/amortYears)+1), )
"),"")</f>
        <v/>
      </c>
      <c r="B940" s="15" t="str">
        <f>IFERROR(__xludf.DUMMYFUNCTION("IFERROR(INDEX(FILTER('RE Portfolio'!B$2:B2000,'RE Portfolio'!D$2:D2000=""BUY""), INT((ROW()-2)/amortYears)+1), )
"),"")</f>
        <v/>
      </c>
      <c r="C940" s="15" t="str">
        <f>IFERROR(__xludf.DUMMYFUNCTION("IFERROR(INDEX(FILTER('RE Portfolio'!G$2:G2000,'RE Portfolio'!D$2:D2000=""BUY""), INT((ROW()-2)/amortYears)+1), )
"),"")</f>
        <v/>
      </c>
      <c r="D940" s="15">
        <f>MOD(ROW()-2, amortYears)+1</f>
        <v>27</v>
      </c>
      <c r="E940" s="15" t="str">
        <f t="shared" si="1"/>
        <v/>
      </c>
      <c r="F940" s="16">
        <f t="shared" si="2"/>
        <v>0</v>
      </c>
      <c r="G940" s="16">
        <f>IF(D940&lt;=mortTerm, -PMT(mortRate/12, mortTerm*12, C940)*12, 0)
</f>
        <v>0</v>
      </c>
      <c r="H940" s="16">
        <f>IF(D940&lt;=mortTerm, G940 - I940, 0)
</f>
        <v>0</v>
      </c>
      <c r="I940" s="16">
        <f>IF(D940&lt;=mortTerm, F940 - J940, 0)
</f>
        <v>0</v>
      </c>
      <c r="J940" s="16">
        <f>IF(D940&lt;=mortTerm,
   F940*(1+mortRate/12)^12 - (-PMT(mortRate/12, mortTerm*12, C940))*(((1+mortRate/12)^12 - 1)/(mortRate/12)),
   0
)
</f>
        <v>0</v>
      </c>
      <c r="K940" s="13" t="str">
        <f>IFERROR(__xludf.DUMMYFUNCTION("IF(A940="""","""",
   IF(F940&gt;0,
      INDEX(FILTER('RE Portfolio'!L$2:L2000,'RE Portfolio'!D$2:D2000=""BUY""), INT((ROW()-2)/amortYears)+1) - G940,
      INDEX(FILTER('RE Portfolio'!L$2:L2000,'RE Portfolio'!D$2:D2000=""BUY""), INT((ROW()-2)/amortYears)+1"&amp;")
   )
)
"),"")</f>
        <v/>
      </c>
      <c r="L940" s="15" t="str">
        <f>IFERROR(__xludf.DUMMYFUNCTION("IF(A940="""","""",
  INDEX(FILTER('RE Portfolio'!C$2:C2000,'RE Portfolio'!D$2:D2000=""BUY""), INT((ROW()-2)/amortYears)+1)
  * (1 + VALUE(Assumptions!$B$11))^(D940-1)
)
"),"")</f>
        <v/>
      </c>
    </row>
    <row r="941">
      <c r="A941" s="15" t="str">
        <f>IFERROR(__xludf.DUMMYFUNCTION("IFERROR(INDEX(FILTER('RE Portfolio'!A$2:A2000,'RE Portfolio'!D$2:D2000=""BUY""), INT((ROW()-2)/amortYears)+1), )
"),"")</f>
        <v/>
      </c>
      <c r="B941" s="15" t="str">
        <f>IFERROR(__xludf.DUMMYFUNCTION("IFERROR(INDEX(FILTER('RE Portfolio'!B$2:B2000,'RE Portfolio'!D$2:D2000=""BUY""), INT((ROW()-2)/amortYears)+1), )
"),"")</f>
        <v/>
      </c>
      <c r="C941" s="15" t="str">
        <f>IFERROR(__xludf.DUMMYFUNCTION("IFERROR(INDEX(FILTER('RE Portfolio'!G$2:G2000,'RE Portfolio'!D$2:D2000=""BUY""), INT((ROW()-2)/amortYears)+1), )
"),"")</f>
        <v/>
      </c>
      <c r="D941" s="15">
        <f>MOD(ROW()-2, amortYears)+1</f>
        <v>28</v>
      </c>
      <c r="E941" s="15" t="str">
        <f t="shared" si="1"/>
        <v/>
      </c>
      <c r="F941" s="16">
        <f t="shared" si="2"/>
        <v>0</v>
      </c>
      <c r="G941" s="16">
        <f>IF(D941&lt;=mortTerm, -PMT(mortRate/12, mortTerm*12, C941)*12, 0)
</f>
        <v>0</v>
      </c>
      <c r="H941" s="16">
        <f>IF(D941&lt;=mortTerm, G941 - I941, 0)
</f>
        <v>0</v>
      </c>
      <c r="I941" s="16">
        <f>IF(D941&lt;=mortTerm, F941 - J941, 0)
</f>
        <v>0</v>
      </c>
      <c r="J941" s="16">
        <f>IF(D941&lt;=mortTerm,
   F941*(1+mortRate/12)^12 - (-PMT(mortRate/12, mortTerm*12, C941))*(((1+mortRate/12)^12 - 1)/(mortRate/12)),
   0
)
</f>
        <v>0</v>
      </c>
      <c r="K941" s="13" t="str">
        <f>IFERROR(__xludf.DUMMYFUNCTION("IF(A941="""","""",
   IF(F941&gt;0,
      INDEX(FILTER('RE Portfolio'!L$2:L2000,'RE Portfolio'!D$2:D2000=""BUY""), INT((ROW()-2)/amortYears)+1) - G941,
      INDEX(FILTER('RE Portfolio'!L$2:L2000,'RE Portfolio'!D$2:D2000=""BUY""), INT((ROW()-2)/amortYears)+1"&amp;")
   )
)
"),"")</f>
        <v/>
      </c>
      <c r="L941" s="15" t="str">
        <f>IFERROR(__xludf.DUMMYFUNCTION("IF(A941="""","""",
  INDEX(FILTER('RE Portfolio'!C$2:C2000,'RE Portfolio'!D$2:D2000=""BUY""), INT((ROW()-2)/amortYears)+1)
  * (1 + VALUE(Assumptions!$B$11))^(D941-1)
)
"),"")</f>
        <v/>
      </c>
    </row>
    <row r="942">
      <c r="A942" s="15" t="str">
        <f>IFERROR(__xludf.DUMMYFUNCTION("IFERROR(INDEX(FILTER('RE Portfolio'!A$2:A2000,'RE Portfolio'!D$2:D2000=""BUY""), INT((ROW()-2)/amortYears)+1), )
"),"")</f>
        <v/>
      </c>
      <c r="B942" s="15" t="str">
        <f>IFERROR(__xludf.DUMMYFUNCTION("IFERROR(INDEX(FILTER('RE Portfolio'!B$2:B2000,'RE Portfolio'!D$2:D2000=""BUY""), INT((ROW()-2)/amortYears)+1), )
"),"")</f>
        <v/>
      </c>
      <c r="C942" s="15" t="str">
        <f>IFERROR(__xludf.DUMMYFUNCTION("IFERROR(INDEX(FILTER('RE Portfolio'!G$2:G2000,'RE Portfolio'!D$2:D2000=""BUY""), INT((ROW()-2)/amortYears)+1), )
"),"")</f>
        <v/>
      </c>
      <c r="D942" s="15">
        <f>MOD(ROW()-2, amortYears)+1</f>
        <v>29</v>
      </c>
      <c r="E942" s="15" t="str">
        <f t="shared" si="1"/>
        <v/>
      </c>
      <c r="F942" s="16">
        <f t="shared" si="2"/>
        <v>0</v>
      </c>
      <c r="G942" s="16">
        <f>IF(D942&lt;=mortTerm, -PMT(mortRate/12, mortTerm*12, C942)*12, 0)
</f>
        <v>0</v>
      </c>
      <c r="H942" s="16">
        <f>IF(D942&lt;=mortTerm, G942 - I942, 0)
</f>
        <v>0</v>
      </c>
      <c r="I942" s="16">
        <f>IF(D942&lt;=mortTerm, F942 - J942, 0)
</f>
        <v>0</v>
      </c>
      <c r="J942" s="16">
        <f>IF(D942&lt;=mortTerm,
   F942*(1+mortRate/12)^12 - (-PMT(mortRate/12, mortTerm*12, C942))*(((1+mortRate/12)^12 - 1)/(mortRate/12)),
   0
)
</f>
        <v>0</v>
      </c>
      <c r="K942" s="13" t="str">
        <f>IFERROR(__xludf.DUMMYFUNCTION("IF(A942="""","""",
   IF(F942&gt;0,
      INDEX(FILTER('RE Portfolio'!L$2:L2000,'RE Portfolio'!D$2:D2000=""BUY""), INT((ROW()-2)/amortYears)+1) - G942,
      INDEX(FILTER('RE Portfolio'!L$2:L2000,'RE Portfolio'!D$2:D2000=""BUY""), INT((ROW()-2)/amortYears)+1"&amp;")
   )
)
"),"")</f>
        <v/>
      </c>
      <c r="L942" s="15" t="str">
        <f>IFERROR(__xludf.DUMMYFUNCTION("IF(A942="""","""",
  INDEX(FILTER('RE Portfolio'!C$2:C2000,'RE Portfolio'!D$2:D2000=""BUY""), INT((ROW()-2)/amortYears)+1)
  * (1 + VALUE(Assumptions!$B$11))^(D942-1)
)
"),"")</f>
        <v/>
      </c>
    </row>
    <row r="943">
      <c r="A943" s="15" t="str">
        <f>IFERROR(__xludf.DUMMYFUNCTION("IFERROR(INDEX(FILTER('RE Portfolio'!A$2:A2000,'RE Portfolio'!D$2:D2000=""BUY""), INT((ROW()-2)/amortYears)+1), )
"),"")</f>
        <v/>
      </c>
      <c r="B943" s="15" t="str">
        <f>IFERROR(__xludf.DUMMYFUNCTION("IFERROR(INDEX(FILTER('RE Portfolio'!B$2:B2000,'RE Portfolio'!D$2:D2000=""BUY""), INT((ROW()-2)/amortYears)+1), )
"),"")</f>
        <v/>
      </c>
      <c r="C943" s="15" t="str">
        <f>IFERROR(__xludf.DUMMYFUNCTION("IFERROR(INDEX(FILTER('RE Portfolio'!G$2:G2000,'RE Portfolio'!D$2:D2000=""BUY""), INT((ROW()-2)/amortYears)+1), )
"),"")</f>
        <v/>
      </c>
      <c r="D943" s="15">
        <f>MOD(ROW()-2, amortYears)+1</f>
        <v>30</v>
      </c>
      <c r="E943" s="15" t="str">
        <f t="shared" si="1"/>
        <v/>
      </c>
      <c r="F943" s="16">
        <f t="shared" si="2"/>
        <v>0</v>
      </c>
      <c r="G943" s="16">
        <f>IF(D943&lt;=mortTerm, -PMT(mortRate/12, mortTerm*12, C943)*12, 0)
</f>
        <v>0</v>
      </c>
      <c r="H943" s="16">
        <f>IF(D943&lt;=mortTerm, G943 - I943, 0)
</f>
        <v>0</v>
      </c>
      <c r="I943" s="16">
        <f>IF(D943&lt;=mortTerm, F943 - J943, 0)
</f>
        <v>0</v>
      </c>
      <c r="J943" s="16">
        <f>IF(D943&lt;=mortTerm,
   F943*(1+mortRate/12)^12 - (-PMT(mortRate/12, mortTerm*12, C943))*(((1+mortRate/12)^12 - 1)/(mortRate/12)),
   0
)
</f>
        <v>0</v>
      </c>
      <c r="K943" s="13" t="str">
        <f>IFERROR(__xludf.DUMMYFUNCTION("IF(A943="""","""",
   IF(F943&gt;0,
      INDEX(FILTER('RE Portfolio'!L$2:L2000,'RE Portfolio'!D$2:D2000=""BUY""), INT((ROW()-2)/amortYears)+1) - G943,
      INDEX(FILTER('RE Portfolio'!L$2:L2000,'RE Portfolio'!D$2:D2000=""BUY""), INT((ROW()-2)/amortYears)+1"&amp;")
   )
)
"),"")</f>
        <v/>
      </c>
      <c r="L943" s="15" t="str">
        <f>IFERROR(__xludf.DUMMYFUNCTION("IF(A943="""","""",
  INDEX(FILTER('RE Portfolio'!C$2:C2000,'RE Portfolio'!D$2:D2000=""BUY""), INT((ROW()-2)/amortYears)+1)
  * (1 + VALUE(Assumptions!$B$11))^(D943-1)
)
"),"")</f>
        <v/>
      </c>
    </row>
    <row r="944">
      <c r="A944" s="15" t="str">
        <f>IFERROR(__xludf.DUMMYFUNCTION("IFERROR(INDEX(FILTER('RE Portfolio'!A$2:A2000,'RE Portfolio'!D$2:D2000=""BUY""), INT((ROW()-2)/amortYears)+1), )
"),"")</f>
        <v/>
      </c>
      <c r="B944" s="15" t="str">
        <f>IFERROR(__xludf.DUMMYFUNCTION("IFERROR(INDEX(FILTER('RE Portfolio'!B$2:B2000,'RE Portfolio'!D$2:D2000=""BUY""), INT((ROW()-2)/amortYears)+1), )
"),"")</f>
        <v/>
      </c>
      <c r="C944" s="15" t="str">
        <f>IFERROR(__xludf.DUMMYFUNCTION("IFERROR(INDEX(FILTER('RE Portfolio'!G$2:G2000,'RE Portfolio'!D$2:D2000=""BUY""), INT((ROW()-2)/amortYears)+1), )
"),"")</f>
        <v/>
      </c>
      <c r="D944" s="15">
        <f>MOD(ROW()-2, amortYears)+1</f>
        <v>31</v>
      </c>
      <c r="E944" s="15" t="str">
        <f t="shared" si="1"/>
        <v/>
      </c>
      <c r="F944" s="16">
        <f t="shared" si="2"/>
        <v>0</v>
      </c>
      <c r="G944" s="15">
        <f>IF(D944&lt;=mortTerm, -PMT(mortRate/12, mortTerm*12, C944)*12, 0)
</f>
        <v>0</v>
      </c>
      <c r="H944" s="15">
        <f>IF(D944&lt;=mortTerm, G944 - I944, 0)
</f>
        <v>0</v>
      </c>
      <c r="I944" s="15">
        <f>IF(D944&lt;=mortTerm, F944 - J944, 0)
</f>
        <v>0</v>
      </c>
      <c r="J944" s="15">
        <f>IF(D944&lt;=mortTerm,
   F944*(1+mortRate/12)^12 - (-PMT(mortRate/12, mortTerm*12, C944))*(((1+mortRate/12)^12 - 1)/(mortRate/12)),
   0
)
</f>
        <v>0</v>
      </c>
      <c r="K944" s="13" t="str">
        <f>IFERROR(__xludf.DUMMYFUNCTION("IF(A944="""","""",
   IF(F944&gt;0,
      INDEX(FILTER('RE Portfolio'!L$2:L2000,'RE Portfolio'!D$2:D2000=""BUY""), INT((ROW()-2)/amortYears)+1) - G944,
      INDEX(FILTER('RE Portfolio'!L$2:L2000,'RE Portfolio'!D$2:D2000=""BUY""), INT((ROW()-2)/amortYears)+1"&amp;")
   )
)
"),"")</f>
        <v/>
      </c>
      <c r="L944" s="15" t="str">
        <f>IFERROR(__xludf.DUMMYFUNCTION("IF(A944="""","""",
  INDEX(FILTER('RE Portfolio'!C$2:C2000,'RE Portfolio'!D$2:D2000=""BUY""), INT((ROW()-2)/amortYears)+1)
  * (1 + VALUE(Assumptions!$B$11))^(D944-1)
)
"),"")</f>
        <v/>
      </c>
    </row>
    <row r="945">
      <c r="A945" s="15" t="str">
        <f>IFERROR(__xludf.DUMMYFUNCTION("IFERROR(INDEX(FILTER('RE Portfolio'!A$2:A2000,'RE Portfolio'!D$2:D2000=""BUY""), INT((ROW()-2)/amortYears)+1), )
"),"")</f>
        <v/>
      </c>
      <c r="B945" s="15" t="str">
        <f>IFERROR(__xludf.DUMMYFUNCTION("IFERROR(INDEX(FILTER('RE Portfolio'!B$2:B2000,'RE Portfolio'!D$2:D2000=""BUY""), INT((ROW()-2)/amortYears)+1), )
"),"")</f>
        <v/>
      </c>
      <c r="C945" s="15" t="str">
        <f>IFERROR(__xludf.DUMMYFUNCTION("IFERROR(INDEX(FILTER('RE Portfolio'!G$2:G2000,'RE Portfolio'!D$2:D2000=""BUY""), INT((ROW()-2)/amortYears)+1), )
"),"")</f>
        <v/>
      </c>
      <c r="D945" s="15">
        <f>MOD(ROW()-2, amortYears)+1</f>
        <v>32</v>
      </c>
      <c r="E945" s="15" t="str">
        <f t="shared" si="1"/>
        <v/>
      </c>
      <c r="F945" s="15">
        <f t="shared" si="2"/>
        <v>0</v>
      </c>
      <c r="G945" s="15">
        <f>IF(D945&lt;=mortTerm, -PMT(mortRate/12, mortTerm*12, C945)*12, 0)
</f>
        <v>0</v>
      </c>
      <c r="H945" s="15">
        <f>IF(D945&lt;=mortTerm, G945 - I945, 0)
</f>
        <v>0</v>
      </c>
      <c r="I945" s="15">
        <f>IF(D945&lt;=mortTerm, F945 - J945, 0)
</f>
        <v>0</v>
      </c>
      <c r="J945" s="15">
        <f>IF(D945&lt;=mortTerm,
   F945*(1+mortRate/12)^12 - (-PMT(mortRate/12, mortTerm*12, C945))*(((1+mortRate/12)^12 - 1)/(mortRate/12)),
   0
)
</f>
        <v>0</v>
      </c>
      <c r="K945" s="13" t="str">
        <f>IFERROR(__xludf.DUMMYFUNCTION("IF(A945="""","""",
   IF(F945&gt;0,
      INDEX(FILTER('RE Portfolio'!L$2:L2000,'RE Portfolio'!D$2:D2000=""BUY""), INT((ROW()-2)/amortYears)+1) - G945,
      INDEX(FILTER('RE Portfolio'!L$2:L2000,'RE Portfolio'!D$2:D2000=""BUY""), INT((ROW()-2)/amortYears)+1"&amp;")
   )
)
"),"")</f>
        <v/>
      </c>
      <c r="L945" s="15" t="str">
        <f>IFERROR(__xludf.DUMMYFUNCTION("IF(A945="""","""",
  INDEX(FILTER('RE Portfolio'!C$2:C2000,'RE Portfolio'!D$2:D2000=""BUY""), INT((ROW()-2)/amortYears)+1)
  * (1 + VALUE(Assumptions!$B$11))^(D945-1)
)
"),"")</f>
        <v/>
      </c>
    </row>
    <row r="946">
      <c r="A946" s="15" t="str">
        <f>IFERROR(__xludf.DUMMYFUNCTION("IFERROR(INDEX(FILTER('RE Portfolio'!A$2:A2000,'RE Portfolio'!D$2:D2000=""BUY""), INT((ROW()-2)/amortYears)+1), )
"),"")</f>
        <v/>
      </c>
      <c r="B946" s="15" t="str">
        <f>IFERROR(__xludf.DUMMYFUNCTION("IFERROR(INDEX(FILTER('RE Portfolio'!B$2:B2000,'RE Portfolio'!D$2:D2000=""BUY""), INT((ROW()-2)/amortYears)+1), )
"),"")</f>
        <v/>
      </c>
      <c r="C946" s="15" t="str">
        <f>IFERROR(__xludf.DUMMYFUNCTION("IFERROR(INDEX(FILTER('RE Portfolio'!G$2:G2000,'RE Portfolio'!D$2:D2000=""BUY""), INT((ROW()-2)/amortYears)+1), )
"),"")</f>
        <v/>
      </c>
      <c r="D946" s="15">
        <f>MOD(ROW()-2, amortYears)+1</f>
        <v>33</v>
      </c>
      <c r="E946" s="15" t="str">
        <f t="shared" si="1"/>
        <v/>
      </c>
      <c r="F946" s="15">
        <f t="shared" si="2"/>
        <v>0</v>
      </c>
      <c r="G946" s="15">
        <f>IF(D946&lt;=mortTerm, -PMT(mortRate/12, mortTerm*12, C946)*12, 0)
</f>
        <v>0</v>
      </c>
      <c r="H946" s="15">
        <f>IF(D946&lt;=mortTerm, G946 - I946, 0)
</f>
        <v>0</v>
      </c>
      <c r="I946" s="15">
        <f>IF(D946&lt;=mortTerm, F946 - J946, 0)
</f>
        <v>0</v>
      </c>
      <c r="J946" s="15">
        <f>IF(D946&lt;=mortTerm,
   F946*(1+mortRate/12)^12 - (-PMT(mortRate/12, mortTerm*12, C946))*(((1+mortRate/12)^12 - 1)/(mortRate/12)),
   0
)
</f>
        <v>0</v>
      </c>
      <c r="K946" s="13" t="str">
        <f>IFERROR(__xludf.DUMMYFUNCTION("IF(A946="""","""",
   IF(F946&gt;0,
      INDEX(FILTER('RE Portfolio'!L$2:L2000,'RE Portfolio'!D$2:D2000=""BUY""), INT((ROW()-2)/amortYears)+1) - G946,
      INDEX(FILTER('RE Portfolio'!L$2:L2000,'RE Portfolio'!D$2:D2000=""BUY""), INT((ROW()-2)/amortYears)+1"&amp;")
   )
)
"),"")</f>
        <v/>
      </c>
      <c r="L946" s="15" t="str">
        <f>IFERROR(__xludf.DUMMYFUNCTION("IF(A946="""","""",
  INDEX(FILTER('RE Portfolio'!C$2:C2000,'RE Portfolio'!D$2:D2000=""BUY""), INT((ROW()-2)/amortYears)+1)
  * (1 + VALUE(Assumptions!$B$11))^(D946-1)
)
"),"")</f>
        <v/>
      </c>
    </row>
    <row r="947">
      <c r="A947" s="15" t="str">
        <f>IFERROR(__xludf.DUMMYFUNCTION("IFERROR(INDEX(FILTER('RE Portfolio'!A$2:A2000,'RE Portfolio'!D$2:D2000=""BUY""), INT((ROW()-2)/amortYears)+1), )
"),"")</f>
        <v/>
      </c>
      <c r="B947" s="15" t="str">
        <f>IFERROR(__xludf.DUMMYFUNCTION("IFERROR(INDEX(FILTER('RE Portfolio'!B$2:B2000,'RE Portfolio'!D$2:D2000=""BUY""), INT((ROW()-2)/amortYears)+1), )
"),"")</f>
        <v/>
      </c>
      <c r="C947" s="15" t="str">
        <f>IFERROR(__xludf.DUMMYFUNCTION("IFERROR(INDEX(FILTER('RE Portfolio'!G$2:G2000,'RE Portfolio'!D$2:D2000=""BUY""), INT((ROW()-2)/amortYears)+1), )
"),"")</f>
        <v/>
      </c>
      <c r="D947" s="15">
        <f>MOD(ROW()-2, amortYears)+1</f>
        <v>34</v>
      </c>
      <c r="E947" s="15" t="str">
        <f t="shared" si="1"/>
        <v/>
      </c>
      <c r="F947" s="15">
        <f t="shared" si="2"/>
        <v>0</v>
      </c>
      <c r="G947" s="15">
        <f>IF(D947&lt;=mortTerm, -PMT(mortRate/12, mortTerm*12, C947)*12, 0)
</f>
        <v>0</v>
      </c>
      <c r="H947" s="15">
        <f>IF(D947&lt;=mortTerm, G947 - I947, 0)
</f>
        <v>0</v>
      </c>
      <c r="I947" s="15">
        <f>IF(D947&lt;=mortTerm, F947 - J947, 0)
</f>
        <v>0</v>
      </c>
      <c r="J947" s="15">
        <f>IF(D947&lt;=mortTerm,
   F947*(1+mortRate/12)^12 - (-PMT(mortRate/12, mortTerm*12, C947))*(((1+mortRate/12)^12 - 1)/(mortRate/12)),
   0
)
</f>
        <v>0</v>
      </c>
      <c r="K947" s="13" t="str">
        <f>IFERROR(__xludf.DUMMYFUNCTION("IF(A947="""","""",
   IF(F947&gt;0,
      INDEX(FILTER('RE Portfolio'!L$2:L2000,'RE Portfolio'!D$2:D2000=""BUY""), INT((ROW()-2)/amortYears)+1) - G947,
      INDEX(FILTER('RE Portfolio'!L$2:L2000,'RE Portfolio'!D$2:D2000=""BUY""), INT((ROW()-2)/amortYears)+1"&amp;")
   )
)
"),"")</f>
        <v/>
      </c>
      <c r="L947" s="15" t="str">
        <f>IFERROR(__xludf.DUMMYFUNCTION("IF(A947="""","""",
  INDEX(FILTER('RE Portfolio'!C$2:C2000,'RE Portfolio'!D$2:D2000=""BUY""), INT((ROW()-2)/amortYears)+1)
  * (1 + VALUE(Assumptions!$B$11))^(D947-1)
)
"),"")</f>
        <v/>
      </c>
    </row>
    <row r="948">
      <c r="A948" s="15" t="str">
        <f>IFERROR(__xludf.DUMMYFUNCTION("IFERROR(INDEX(FILTER('RE Portfolio'!A$2:A2000,'RE Portfolio'!D$2:D2000=""BUY""), INT((ROW()-2)/amortYears)+1), )
"),"")</f>
        <v/>
      </c>
      <c r="B948" s="15" t="str">
        <f>IFERROR(__xludf.DUMMYFUNCTION("IFERROR(INDEX(FILTER('RE Portfolio'!B$2:B2000,'RE Portfolio'!D$2:D2000=""BUY""), INT((ROW()-2)/amortYears)+1), )
"),"")</f>
        <v/>
      </c>
      <c r="C948" s="15" t="str">
        <f>IFERROR(__xludf.DUMMYFUNCTION("IFERROR(INDEX(FILTER('RE Portfolio'!G$2:G2000,'RE Portfolio'!D$2:D2000=""BUY""), INT((ROW()-2)/amortYears)+1), )
"),"")</f>
        <v/>
      </c>
      <c r="D948" s="15">
        <f>MOD(ROW()-2, amortYears)+1</f>
        <v>35</v>
      </c>
      <c r="E948" s="15" t="str">
        <f t="shared" si="1"/>
        <v/>
      </c>
      <c r="F948" s="15">
        <f t="shared" si="2"/>
        <v>0</v>
      </c>
      <c r="G948" s="15">
        <f>IF(D948&lt;=mortTerm, -PMT(mortRate/12, mortTerm*12, C948)*12, 0)
</f>
        <v>0</v>
      </c>
      <c r="H948" s="15">
        <f>IF(D948&lt;=mortTerm, G948 - I948, 0)
</f>
        <v>0</v>
      </c>
      <c r="I948" s="15">
        <f>IF(D948&lt;=mortTerm, F948 - J948, 0)
</f>
        <v>0</v>
      </c>
      <c r="J948" s="15">
        <f>IF(D948&lt;=mortTerm,
   F948*(1+mortRate/12)^12 - (-PMT(mortRate/12, mortTerm*12, C948))*(((1+mortRate/12)^12 - 1)/(mortRate/12)),
   0
)
</f>
        <v>0</v>
      </c>
      <c r="K948" s="13" t="str">
        <f>IFERROR(__xludf.DUMMYFUNCTION("IF(A948="""","""",
   IF(F948&gt;0,
      INDEX(FILTER('RE Portfolio'!L$2:L2000,'RE Portfolio'!D$2:D2000=""BUY""), INT((ROW()-2)/amortYears)+1) - G948,
      INDEX(FILTER('RE Portfolio'!L$2:L2000,'RE Portfolio'!D$2:D2000=""BUY""), INT((ROW()-2)/amortYears)+1"&amp;")
   )
)
"),"")</f>
        <v/>
      </c>
      <c r="L948" s="15" t="str">
        <f>IFERROR(__xludf.DUMMYFUNCTION("IF(A948="""","""",
  INDEX(FILTER('RE Portfolio'!C$2:C2000,'RE Portfolio'!D$2:D2000=""BUY""), INT((ROW()-2)/amortYears)+1)
  * (1 + VALUE(Assumptions!$B$11))^(D948-1)
)
"),"")</f>
        <v/>
      </c>
    </row>
    <row r="949">
      <c r="A949" s="15" t="str">
        <f>IFERROR(__xludf.DUMMYFUNCTION("IFERROR(INDEX(FILTER('RE Portfolio'!A$2:A2000,'RE Portfolio'!D$2:D2000=""BUY""), INT((ROW()-2)/amortYears)+1), )
"),"")</f>
        <v/>
      </c>
      <c r="B949" s="15" t="str">
        <f>IFERROR(__xludf.DUMMYFUNCTION("IFERROR(INDEX(FILTER('RE Portfolio'!B$2:B2000,'RE Portfolio'!D$2:D2000=""BUY""), INT((ROW()-2)/amortYears)+1), )
"),"")</f>
        <v/>
      </c>
      <c r="C949" s="15" t="str">
        <f>IFERROR(__xludf.DUMMYFUNCTION("IFERROR(INDEX(FILTER('RE Portfolio'!G$2:G2000,'RE Portfolio'!D$2:D2000=""BUY""), INT((ROW()-2)/amortYears)+1), )
"),"")</f>
        <v/>
      </c>
      <c r="D949" s="15">
        <f>MOD(ROW()-2, amortYears)+1</f>
        <v>36</v>
      </c>
      <c r="E949" s="15" t="str">
        <f t="shared" si="1"/>
        <v/>
      </c>
      <c r="F949" s="15">
        <f t="shared" si="2"/>
        <v>0</v>
      </c>
      <c r="G949" s="15">
        <f>IF(D949&lt;=mortTerm, -PMT(mortRate/12, mortTerm*12, C949)*12, 0)
</f>
        <v>0</v>
      </c>
      <c r="H949" s="15">
        <f>IF(D949&lt;=mortTerm, G949 - I949, 0)
</f>
        <v>0</v>
      </c>
      <c r="I949" s="15">
        <f>IF(D949&lt;=mortTerm, F949 - J949, 0)
</f>
        <v>0</v>
      </c>
      <c r="J949" s="15">
        <f>IF(D949&lt;=mortTerm,
   F949*(1+mortRate/12)^12 - (-PMT(mortRate/12, mortTerm*12, C949))*(((1+mortRate/12)^12 - 1)/(mortRate/12)),
   0
)
</f>
        <v>0</v>
      </c>
      <c r="K949" s="13" t="str">
        <f>IFERROR(__xludf.DUMMYFUNCTION("IF(A949="""","""",
   IF(F949&gt;0,
      INDEX(FILTER('RE Portfolio'!L$2:L2000,'RE Portfolio'!D$2:D2000=""BUY""), INT((ROW()-2)/amortYears)+1) - G949,
      INDEX(FILTER('RE Portfolio'!L$2:L2000,'RE Portfolio'!D$2:D2000=""BUY""), INT((ROW()-2)/amortYears)+1"&amp;")
   )
)
"),"")</f>
        <v/>
      </c>
      <c r="L949" s="15" t="str">
        <f>IFERROR(__xludf.DUMMYFUNCTION("IF(A949="""","""",
  INDEX(FILTER('RE Portfolio'!C$2:C2000,'RE Portfolio'!D$2:D2000=""BUY""), INT((ROW()-2)/amortYears)+1)
  * (1 + VALUE(Assumptions!$B$11))^(D949-1)
)
"),"")</f>
        <v/>
      </c>
    </row>
    <row r="950">
      <c r="A950" s="15" t="str">
        <f>IFERROR(__xludf.DUMMYFUNCTION("IFERROR(INDEX(FILTER('RE Portfolio'!A$2:A2000,'RE Portfolio'!D$2:D2000=""BUY""), INT((ROW()-2)/amortYears)+1), )
"),"")</f>
        <v/>
      </c>
      <c r="B950" s="15" t="str">
        <f>IFERROR(__xludf.DUMMYFUNCTION("IFERROR(INDEX(FILTER('RE Portfolio'!B$2:B2000,'RE Portfolio'!D$2:D2000=""BUY""), INT((ROW()-2)/amortYears)+1), )
"),"")</f>
        <v/>
      </c>
      <c r="C950" s="15" t="str">
        <f>IFERROR(__xludf.DUMMYFUNCTION("IFERROR(INDEX(FILTER('RE Portfolio'!G$2:G2000,'RE Portfolio'!D$2:D2000=""BUY""), INT((ROW()-2)/amortYears)+1), )
"),"")</f>
        <v/>
      </c>
      <c r="D950" s="15">
        <f>MOD(ROW()-2, amortYears)+1</f>
        <v>37</v>
      </c>
      <c r="E950" s="15" t="str">
        <f t="shared" si="1"/>
        <v/>
      </c>
      <c r="F950" s="15">
        <f t="shared" si="2"/>
        <v>0</v>
      </c>
      <c r="G950" s="15">
        <f>IF(D950&lt;=mortTerm, -PMT(mortRate/12, mortTerm*12, C950)*12, 0)
</f>
        <v>0</v>
      </c>
      <c r="H950" s="15">
        <f>IF(D950&lt;=mortTerm, G950 - I950, 0)
</f>
        <v>0</v>
      </c>
      <c r="I950" s="15">
        <f>IF(D950&lt;=mortTerm, F950 - J950, 0)
</f>
        <v>0</v>
      </c>
      <c r="J950" s="15">
        <f>IF(D950&lt;=mortTerm,
   F950*(1+mortRate/12)^12 - (-PMT(mortRate/12, mortTerm*12, C950))*(((1+mortRate/12)^12 - 1)/(mortRate/12)),
   0
)
</f>
        <v>0</v>
      </c>
      <c r="K950" s="13" t="str">
        <f>IFERROR(__xludf.DUMMYFUNCTION("IF(A950="""","""",
   IF(F950&gt;0,
      INDEX(FILTER('RE Portfolio'!L$2:L2000,'RE Portfolio'!D$2:D2000=""BUY""), INT((ROW()-2)/amortYears)+1) - G950,
      INDEX(FILTER('RE Portfolio'!L$2:L2000,'RE Portfolio'!D$2:D2000=""BUY""), INT((ROW()-2)/amortYears)+1"&amp;")
   )
)
"),"")</f>
        <v/>
      </c>
      <c r="L950" s="15" t="str">
        <f>IFERROR(__xludf.DUMMYFUNCTION("IF(A950="""","""",
  INDEX(FILTER('RE Portfolio'!C$2:C2000,'RE Portfolio'!D$2:D2000=""BUY""), INT((ROW()-2)/amortYears)+1)
  * (1 + VALUE(Assumptions!$B$11))^(D950-1)
)
"),"")</f>
        <v/>
      </c>
    </row>
    <row r="951">
      <c r="A951" s="15" t="str">
        <f>IFERROR(__xludf.DUMMYFUNCTION("IFERROR(INDEX(FILTER('RE Portfolio'!A$2:A2000,'RE Portfolio'!D$2:D2000=""BUY""), INT((ROW()-2)/amortYears)+1), )
"),"")</f>
        <v/>
      </c>
      <c r="B951" s="15" t="str">
        <f>IFERROR(__xludf.DUMMYFUNCTION("IFERROR(INDEX(FILTER('RE Portfolio'!B$2:B2000,'RE Portfolio'!D$2:D2000=""BUY""), INT((ROW()-2)/amortYears)+1), )
"),"")</f>
        <v/>
      </c>
      <c r="C951" s="15" t="str">
        <f>IFERROR(__xludf.DUMMYFUNCTION("IFERROR(INDEX(FILTER('RE Portfolio'!G$2:G2000,'RE Portfolio'!D$2:D2000=""BUY""), INT((ROW()-2)/amortYears)+1), )
"),"")</f>
        <v/>
      </c>
      <c r="D951" s="15">
        <f>MOD(ROW()-2, amortYears)+1</f>
        <v>38</v>
      </c>
      <c r="E951" s="15" t="str">
        <f t="shared" si="1"/>
        <v/>
      </c>
      <c r="F951" s="15">
        <f t="shared" si="2"/>
        <v>0</v>
      </c>
      <c r="G951" s="15">
        <f>IF(D951&lt;=mortTerm, -PMT(mortRate/12, mortTerm*12, C951)*12, 0)
</f>
        <v>0</v>
      </c>
      <c r="H951" s="15">
        <f>IF(D951&lt;=mortTerm, G951 - I951, 0)
</f>
        <v>0</v>
      </c>
      <c r="I951" s="15">
        <f>IF(D951&lt;=mortTerm, F951 - J951, 0)
</f>
        <v>0</v>
      </c>
      <c r="J951" s="15">
        <f>IF(D951&lt;=mortTerm,
   F951*(1+mortRate/12)^12 - (-PMT(mortRate/12, mortTerm*12, C951))*(((1+mortRate/12)^12 - 1)/(mortRate/12)),
   0
)
</f>
        <v>0</v>
      </c>
      <c r="K951" s="13" t="str">
        <f>IFERROR(__xludf.DUMMYFUNCTION("IF(A951="""","""",
   IF(F951&gt;0,
      INDEX(FILTER('RE Portfolio'!L$2:L2000,'RE Portfolio'!D$2:D2000=""BUY""), INT((ROW()-2)/amortYears)+1) - G951,
      INDEX(FILTER('RE Portfolio'!L$2:L2000,'RE Portfolio'!D$2:D2000=""BUY""), INT((ROW()-2)/amortYears)+1"&amp;")
   )
)
"),"")</f>
        <v/>
      </c>
      <c r="L951" s="15" t="str">
        <f>IFERROR(__xludf.DUMMYFUNCTION("IF(A951="""","""",
  INDEX(FILTER('RE Portfolio'!C$2:C2000,'RE Portfolio'!D$2:D2000=""BUY""), INT((ROW()-2)/amortYears)+1)
  * (1 + VALUE(Assumptions!$B$11))^(D951-1)
)
"),"")</f>
        <v/>
      </c>
    </row>
    <row r="952">
      <c r="A952" s="15" t="str">
        <f>IFERROR(__xludf.DUMMYFUNCTION("IFERROR(INDEX(FILTER('RE Portfolio'!A$2:A2000,'RE Portfolio'!D$2:D2000=""BUY""), INT((ROW()-2)/amortYears)+1), )
"),"")</f>
        <v/>
      </c>
      <c r="B952" s="15" t="str">
        <f>IFERROR(__xludf.DUMMYFUNCTION("IFERROR(INDEX(FILTER('RE Portfolio'!B$2:B2000,'RE Portfolio'!D$2:D2000=""BUY""), INT((ROW()-2)/amortYears)+1), )
"),"")</f>
        <v/>
      </c>
      <c r="C952" s="15" t="str">
        <f>IFERROR(__xludf.DUMMYFUNCTION("IFERROR(INDEX(FILTER('RE Portfolio'!G$2:G2000,'RE Portfolio'!D$2:D2000=""BUY""), INT((ROW()-2)/amortYears)+1), )
"),"")</f>
        <v/>
      </c>
      <c r="D952" s="15">
        <f>MOD(ROW()-2, amortYears)+1</f>
        <v>1</v>
      </c>
      <c r="E952" s="15" t="str">
        <f t="shared" si="1"/>
        <v/>
      </c>
      <c r="F952" s="15" t="str">
        <f t="shared" si="2"/>
        <v/>
      </c>
      <c r="G952" s="16">
        <f>IF(D952&lt;=mortTerm, -PMT(mortRate/12, mortTerm*12, C952)*12, 0)
</f>
        <v>0</v>
      </c>
      <c r="H952" s="16">
        <f>IF(D952&lt;=mortTerm, G952 - I952, 0)
</f>
        <v>0</v>
      </c>
      <c r="I952" s="16">
        <f>IF(D952&lt;=mortTerm, F952 - J952, 0)
</f>
        <v>0</v>
      </c>
      <c r="J952" s="16">
        <f>IF(D952&lt;=mortTerm,
   F952*(1+mortRate/12)^12 - (-PMT(mortRate/12, mortTerm*12, C952))*(((1+mortRate/12)^12 - 1)/(mortRate/12)),
   0
)
</f>
        <v>0</v>
      </c>
      <c r="K952" s="13" t="str">
        <f>IFERROR(__xludf.DUMMYFUNCTION("IF(A952="""","""",
   IF(F952&gt;0,
      INDEX(FILTER('RE Portfolio'!L$2:L2000,'RE Portfolio'!D$2:D2000=""BUY""), INT((ROW()-2)/amortYears)+1) - G952,
      INDEX(FILTER('RE Portfolio'!L$2:L2000,'RE Portfolio'!D$2:D2000=""BUY""), INT((ROW()-2)/amortYears)+1"&amp;")
   )
)
"),"")</f>
        <v/>
      </c>
      <c r="L952" s="15" t="str">
        <f>IFERROR(__xludf.DUMMYFUNCTION("IF(A952="""","""",
  INDEX(FILTER('RE Portfolio'!C$2:C2000,'RE Portfolio'!D$2:D2000=""BUY""), INT((ROW()-2)/amortYears)+1)
  * (1 + VALUE(Assumptions!$B$11))^(D952-1)
)
"),"")</f>
        <v/>
      </c>
    </row>
    <row r="953">
      <c r="A953" s="15" t="str">
        <f>IFERROR(__xludf.DUMMYFUNCTION("IFERROR(INDEX(FILTER('RE Portfolio'!A$2:A2000,'RE Portfolio'!D$2:D2000=""BUY""), INT((ROW()-2)/amortYears)+1), )
"),"")</f>
        <v/>
      </c>
      <c r="B953" s="15" t="str">
        <f>IFERROR(__xludf.DUMMYFUNCTION("IFERROR(INDEX(FILTER('RE Portfolio'!B$2:B2000,'RE Portfolio'!D$2:D2000=""BUY""), INT((ROW()-2)/amortYears)+1), )
"),"")</f>
        <v/>
      </c>
      <c r="C953" s="15" t="str">
        <f>IFERROR(__xludf.DUMMYFUNCTION("IFERROR(INDEX(FILTER('RE Portfolio'!G$2:G2000,'RE Portfolio'!D$2:D2000=""BUY""), INT((ROW()-2)/amortYears)+1), )
"),"")</f>
        <v/>
      </c>
      <c r="D953" s="15">
        <f>MOD(ROW()-2, amortYears)+1</f>
        <v>2</v>
      </c>
      <c r="E953" s="15" t="str">
        <f t="shared" si="1"/>
        <v/>
      </c>
      <c r="F953" s="16">
        <f t="shared" si="2"/>
        <v>0</v>
      </c>
      <c r="G953" s="16">
        <f>IF(D953&lt;=mortTerm, -PMT(mortRate/12, mortTerm*12, C953)*12, 0)
</f>
        <v>0</v>
      </c>
      <c r="H953" s="16">
        <f>IF(D953&lt;=mortTerm, G953 - I953, 0)
</f>
        <v>0</v>
      </c>
      <c r="I953" s="16">
        <f>IF(D953&lt;=mortTerm, F953 - J953, 0)
</f>
        <v>0</v>
      </c>
      <c r="J953" s="16">
        <f>IF(D953&lt;=mortTerm,
   F953*(1+mortRate/12)^12 - (-PMT(mortRate/12, mortTerm*12, C953))*(((1+mortRate/12)^12 - 1)/(mortRate/12)),
   0
)
</f>
        <v>0</v>
      </c>
      <c r="K953" s="13" t="str">
        <f>IFERROR(__xludf.DUMMYFUNCTION("IF(A953="""","""",
   IF(F953&gt;0,
      INDEX(FILTER('RE Portfolio'!L$2:L2000,'RE Portfolio'!D$2:D2000=""BUY""), INT((ROW()-2)/amortYears)+1) - G953,
      INDEX(FILTER('RE Portfolio'!L$2:L2000,'RE Portfolio'!D$2:D2000=""BUY""), INT((ROW()-2)/amortYears)+1"&amp;")
   )
)
"),"")</f>
        <v/>
      </c>
      <c r="L953" s="15" t="str">
        <f>IFERROR(__xludf.DUMMYFUNCTION("IF(A953="""","""",
  INDEX(FILTER('RE Portfolio'!C$2:C2000,'RE Portfolio'!D$2:D2000=""BUY""), INT((ROW()-2)/amortYears)+1)
  * (1 + VALUE(Assumptions!$B$11))^(D953-1)
)
"),"")</f>
        <v/>
      </c>
    </row>
    <row r="954">
      <c r="A954" s="15" t="str">
        <f>IFERROR(__xludf.DUMMYFUNCTION("IFERROR(INDEX(FILTER('RE Portfolio'!A$2:A2000,'RE Portfolio'!D$2:D2000=""BUY""), INT((ROW()-2)/amortYears)+1), )
"),"")</f>
        <v/>
      </c>
      <c r="B954" s="15" t="str">
        <f>IFERROR(__xludf.DUMMYFUNCTION("IFERROR(INDEX(FILTER('RE Portfolio'!B$2:B2000,'RE Portfolio'!D$2:D2000=""BUY""), INT((ROW()-2)/amortYears)+1), )
"),"")</f>
        <v/>
      </c>
      <c r="C954" s="15" t="str">
        <f>IFERROR(__xludf.DUMMYFUNCTION("IFERROR(INDEX(FILTER('RE Portfolio'!G$2:G2000,'RE Portfolio'!D$2:D2000=""BUY""), INT((ROW()-2)/amortYears)+1), )
"),"")</f>
        <v/>
      </c>
      <c r="D954" s="15">
        <f>MOD(ROW()-2, amortYears)+1</f>
        <v>3</v>
      </c>
      <c r="E954" s="15" t="str">
        <f t="shared" si="1"/>
        <v/>
      </c>
      <c r="F954" s="16">
        <f t="shared" si="2"/>
        <v>0</v>
      </c>
      <c r="G954" s="16">
        <f>IF(D954&lt;=mortTerm, -PMT(mortRate/12, mortTerm*12, C954)*12, 0)
</f>
        <v>0</v>
      </c>
      <c r="H954" s="16">
        <f>IF(D954&lt;=mortTerm, G954 - I954, 0)
</f>
        <v>0</v>
      </c>
      <c r="I954" s="16">
        <f>IF(D954&lt;=mortTerm, F954 - J954, 0)
</f>
        <v>0</v>
      </c>
      <c r="J954" s="16">
        <f>IF(D954&lt;=mortTerm,
   F954*(1+mortRate/12)^12 - (-PMT(mortRate/12, mortTerm*12, C954))*(((1+mortRate/12)^12 - 1)/(mortRate/12)),
   0
)
</f>
        <v>0</v>
      </c>
      <c r="K954" s="13" t="str">
        <f>IFERROR(__xludf.DUMMYFUNCTION("IF(A954="""","""",
   IF(F954&gt;0,
      INDEX(FILTER('RE Portfolio'!L$2:L2000,'RE Portfolio'!D$2:D2000=""BUY""), INT((ROW()-2)/amortYears)+1) - G954,
      INDEX(FILTER('RE Portfolio'!L$2:L2000,'RE Portfolio'!D$2:D2000=""BUY""), INT((ROW()-2)/amortYears)+1"&amp;")
   )
)
"),"")</f>
        <v/>
      </c>
      <c r="L954" s="15" t="str">
        <f>IFERROR(__xludf.DUMMYFUNCTION("IF(A954="""","""",
  INDEX(FILTER('RE Portfolio'!C$2:C2000,'RE Portfolio'!D$2:D2000=""BUY""), INT((ROW()-2)/amortYears)+1)
  * (1 + VALUE(Assumptions!$B$11))^(D954-1)
)
"),"")</f>
        <v/>
      </c>
    </row>
    <row r="955">
      <c r="A955" s="15" t="str">
        <f>IFERROR(__xludf.DUMMYFUNCTION("IFERROR(INDEX(FILTER('RE Portfolio'!A$2:A2000,'RE Portfolio'!D$2:D2000=""BUY""), INT((ROW()-2)/amortYears)+1), )
"),"")</f>
        <v/>
      </c>
      <c r="B955" s="15" t="str">
        <f>IFERROR(__xludf.DUMMYFUNCTION("IFERROR(INDEX(FILTER('RE Portfolio'!B$2:B2000,'RE Portfolio'!D$2:D2000=""BUY""), INT((ROW()-2)/amortYears)+1), )
"),"")</f>
        <v/>
      </c>
      <c r="C955" s="15" t="str">
        <f>IFERROR(__xludf.DUMMYFUNCTION("IFERROR(INDEX(FILTER('RE Portfolio'!G$2:G2000,'RE Portfolio'!D$2:D2000=""BUY""), INT((ROW()-2)/amortYears)+1), )
"),"")</f>
        <v/>
      </c>
      <c r="D955" s="15">
        <f>MOD(ROW()-2, amortYears)+1</f>
        <v>4</v>
      </c>
      <c r="E955" s="15" t="str">
        <f t="shared" si="1"/>
        <v/>
      </c>
      <c r="F955" s="16">
        <f t="shared" si="2"/>
        <v>0</v>
      </c>
      <c r="G955" s="16">
        <f>IF(D955&lt;=mortTerm, -PMT(mortRate/12, mortTerm*12, C955)*12, 0)
</f>
        <v>0</v>
      </c>
      <c r="H955" s="16">
        <f>IF(D955&lt;=mortTerm, G955 - I955, 0)
</f>
        <v>0</v>
      </c>
      <c r="I955" s="16">
        <f>IF(D955&lt;=mortTerm, F955 - J955, 0)
</f>
        <v>0</v>
      </c>
      <c r="J955" s="16">
        <f>IF(D955&lt;=mortTerm,
   F955*(1+mortRate/12)^12 - (-PMT(mortRate/12, mortTerm*12, C955))*(((1+mortRate/12)^12 - 1)/(mortRate/12)),
   0
)
</f>
        <v>0</v>
      </c>
      <c r="K955" s="13" t="str">
        <f>IFERROR(__xludf.DUMMYFUNCTION("IF(A955="""","""",
   IF(F955&gt;0,
      INDEX(FILTER('RE Portfolio'!L$2:L2000,'RE Portfolio'!D$2:D2000=""BUY""), INT((ROW()-2)/amortYears)+1) - G955,
      INDEX(FILTER('RE Portfolio'!L$2:L2000,'RE Portfolio'!D$2:D2000=""BUY""), INT((ROW()-2)/amortYears)+1"&amp;")
   )
)
"),"")</f>
        <v/>
      </c>
      <c r="L955" s="15" t="str">
        <f>IFERROR(__xludf.DUMMYFUNCTION("IF(A955="""","""",
  INDEX(FILTER('RE Portfolio'!C$2:C2000,'RE Portfolio'!D$2:D2000=""BUY""), INT((ROW()-2)/amortYears)+1)
  * (1 + VALUE(Assumptions!$B$11))^(D955-1)
)
"),"")</f>
        <v/>
      </c>
    </row>
    <row r="956">
      <c r="A956" s="15" t="str">
        <f>IFERROR(__xludf.DUMMYFUNCTION("IFERROR(INDEX(FILTER('RE Portfolio'!A$2:A2000,'RE Portfolio'!D$2:D2000=""BUY""), INT((ROW()-2)/amortYears)+1), )
"),"")</f>
        <v/>
      </c>
      <c r="B956" s="15" t="str">
        <f>IFERROR(__xludf.DUMMYFUNCTION("IFERROR(INDEX(FILTER('RE Portfolio'!B$2:B2000,'RE Portfolio'!D$2:D2000=""BUY""), INT((ROW()-2)/amortYears)+1), )
"),"")</f>
        <v/>
      </c>
      <c r="C956" s="15" t="str">
        <f>IFERROR(__xludf.DUMMYFUNCTION("IFERROR(INDEX(FILTER('RE Portfolio'!G$2:G2000,'RE Portfolio'!D$2:D2000=""BUY""), INT((ROW()-2)/amortYears)+1), )
"),"")</f>
        <v/>
      </c>
      <c r="D956" s="15">
        <f>MOD(ROW()-2, amortYears)+1</f>
        <v>5</v>
      </c>
      <c r="E956" s="15" t="str">
        <f t="shared" si="1"/>
        <v/>
      </c>
      <c r="F956" s="16">
        <f t="shared" si="2"/>
        <v>0</v>
      </c>
      <c r="G956" s="16">
        <f>IF(D956&lt;=mortTerm, -PMT(mortRate/12, mortTerm*12, C956)*12, 0)
</f>
        <v>0</v>
      </c>
      <c r="H956" s="16">
        <f>IF(D956&lt;=mortTerm, G956 - I956, 0)
</f>
        <v>0</v>
      </c>
      <c r="I956" s="16">
        <f>IF(D956&lt;=mortTerm, F956 - J956, 0)
</f>
        <v>0</v>
      </c>
      <c r="J956" s="16">
        <f>IF(D956&lt;=mortTerm,
   F956*(1+mortRate/12)^12 - (-PMT(mortRate/12, mortTerm*12, C956))*(((1+mortRate/12)^12 - 1)/(mortRate/12)),
   0
)
</f>
        <v>0</v>
      </c>
      <c r="K956" s="13" t="str">
        <f>IFERROR(__xludf.DUMMYFUNCTION("IF(A956="""","""",
   IF(F956&gt;0,
      INDEX(FILTER('RE Portfolio'!L$2:L2000,'RE Portfolio'!D$2:D2000=""BUY""), INT((ROW()-2)/amortYears)+1) - G956,
      INDEX(FILTER('RE Portfolio'!L$2:L2000,'RE Portfolio'!D$2:D2000=""BUY""), INT((ROW()-2)/amortYears)+1"&amp;")
   )
)
"),"")</f>
        <v/>
      </c>
      <c r="L956" s="15" t="str">
        <f>IFERROR(__xludf.DUMMYFUNCTION("IF(A956="""","""",
  INDEX(FILTER('RE Portfolio'!C$2:C2000,'RE Portfolio'!D$2:D2000=""BUY""), INT((ROW()-2)/amortYears)+1)
  * (1 + VALUE(Assumptions!$B$11))^(D956-1)
)
"),"")</f>
        <v/>
      </c>
    </row>
    <row r="957">
      <c r="A957" s="15" t="str">
        <f>IFERROR(__xludf.DUMMYFUNCTION("IFERROR(INDEX(FILTER('RE Portfolio'!A$2:A2000,'RE Portfolio'!D$2:D2000=""BUY""), INT((ROW()-2)/amortYears)+1), )
"),"")</f>
        <v/>
      </c>
      <c r="B957" s="15" t="str">
        <f>IFERROR(__xludf.DUMMYFUNCTION("IFERROR(INDEX(FILTER('RE Portfolio'!B$2:B2000,'RE Portfolio'!D$2:D2000=""BUY""), INT((ROW()-2)/amortYears)+1), )
"),"")</f>
        <v/>
      </c>
      <c r="C957" s="15" t="str">
        <f>IFERROR(__xludf.DUMMYFUNCTION("IFERROR(INDEX(FILTER('RE Portfolio'!G$2:G2000,'RE Portfolio'!D$2:D2000=""BUY""), INT((ROW()-2)/amortYears)+1), )
"),"")</f>
        <v/>
      </c>
      <c r="D957" s="15">
        <f>MOD(ROW()-2, amortYears)+1</f>
        <v>6</v>
      </c>
      <c r="E957" s="15" t="str">
        <f t="shared" si="1"/>
        <v/>
      </c>
      <c r="F957" s="16">
        <f t="shared" si="2"/>
        <v>0</v>
      </c>
      <c r="G957" s="16">
        <f>IF(D957&lt;=mortTerm, -PMT(mortRate/12, mortTerm*12, C957)*12, 0)
</f>
        <v>0</v>
      </c>
      <c r="H957" s="16">
        <f>IF(D957&lt;=mortTerm, G957 - I957, 0)
</f>
        <v>0</v>
      </c>
      <c r="I957" s="16">
        <f>IF(D957&lt;=mortTerm, F957 - J957, 0)
</f>
        <v>0</v>
      </c>
      <c r="J957" s="16">
        <f>IF(D957&lt;=mortTerm,
   F957*(1+mortRate/12)^12 - (-PMT(mortRate/12, mortTerm*12, C957))*(((1+mortRate/12)^12 - 1)/(mortRate/12)),
   0
)
</f>
        <v>0</v>
      </c>
      <c r="K957" s="13" t="str">
        <f>IFERROR(__xludf.DUMMYFUNCTION("IF(A957="""","""",
   IF(F957&gt;0,
      INDEX(FILTER('RE Portfolio'!L$2:L2000,'RE Portfolio'!D$2:D2000=""BUY""), INT((ROW()-2)/amortYears)+1) - G957,
      INDEX(FILTER('RE Portfolio'!L$2:L2000,'RE Portfolio'!D$2:D2000=""BUY""), INT((ROW()-2)/amortYears)+1"&amp;")
   )
)
"),"")</f>
        <v/>
      </c>
      <c r="L957" s="15" t="str">
        <f>IFERROR(__xludf.DUMMYFUNCTION("IF(A957="""","""",
  INDEX(FILTER('RE Portfolio'!C$2:C2000,'RE Portfolio'!D$2:D2000=""BUY""), INT((ROW()-2)/amortYears)+1)
  * (1 + VALUE(Assumptions!$B$11))^(D957-1)
)
"),"")</f>
        <v/>
      </c>
    </row>
    <row r="958">
      <c r="A958" s="15" t="str">
        <f>IFERROR(__xludf.DUMMYFUNCTION("IFERROR(INDEX(FILTER('RE Portfolio'!A$2:A2000,'RE Portfolio'!D$2:D2000=""BUY""), INT((ROW()-2)/amortYears)+1), )
"),"")</f>
        <v/>
      </c>
      <c r="B958" s="15" t="str">
        <f>IFERROR(__xludf.DUMMYFUNCTION("IFERROR(INDEX(FILTER('RE Portfolio'!B$2:B2000,'RE Portfolio'!D$2:D2000=""BUY""), INT((ROW()-2)/amortYears)+1), )
"),"")</f>
        <v/>
      </c>
      <c r="C958" s="15" t="str">
        <f>IFERROR(__xludf.DUMMYFUNCTION("IFERROR(INDEX(FILTER('RE Portfolio'!G$2:G2000,'RE Portfolio'!D$2:D2000=""BUY""), INT((ROW()-2)/amortYears)+1), )
"),"")</f>
        <v/>
      </c>
      <c r="D958" s="15">
        <f>MOD(ROW()-2, amortYears)+1</f>
        <v>7</v>
      </c>
      <c r="E958" s="15" t="str">
        <f t="shared" si="1"/>
        <v/>
      </c>
      <c r="F958" s="16">
        <f t="shared" si="2"/>
        <v>0</v>
      </c>
      <c r="G958" s="16">
        <f>IF(D958&lt;=mortTerm, -PMT(mortRate/12, mortTerm*12, C958)*12, 0)
</f>
        <v>0</v>
      </c>
      <c r="H958" s="16">
        <f>IF(D958&lt;=mortTerm, G958 - I958, 0)
</f>
        <v>0</v>
      </c>
      <c r="I958" s="16">
        <f>IF(D958&lt;=mortTerm, F958 - J958, 0)
</f>
        <v>0</v>
      </c>
      <c r="J958" s="16">
        <f>IF(D958&lt;=mortTerm,
   F958*(1+mortRate/12)^12 - (-PMT(mortRate/12, mortTerm*12, C958))*(((1+mortRate/12)^12 - 1)/(mortRate/12)),
   0
)
</f>
        <v>0</v>
      </c>
      <c r="K958" s="13" t="str">
        <f>IFERROR(__xludf.DUMMYFUNCTION("IF(A958="""","""",
   IF(F958&gt;0,
      INDEX(FILTER('RE Portfolio'!L$2:L2000,'RE Portfolio'!D$2:D2000=""BUY""), INT((ROW()-2)/amortYears)+1) - G958,
      INDEX(FILTER('RE Portfolio'!L$2:L2000,'RE Portfolio'!D$2:D2000=""BUY""), INT((ROW()-2)/amortYears)+1"&amp;")
   )
)
"),"")</f>
        <v/>
      </c>
      <c r="L958" s="15" t="str">
        <f>IFERROR(__xludf.DUMMYFUNCTION("IF(A958="""","""",
  INDEX(FILTER('RE Portfolio'!C$2:C2000,'RE Portfolio'!D$2:D2000=""BUY""), INT((ROW()-2)/amortYears)+1)
  * (1 + VALUE(Assumptions!$B$11))^(D958-1)
)
"),"")</f>
        <v/>
      </c>
    </row>
    <row r="959">
      <c r="A959" s="15" t="str">
        <f>IFERROR(__xludf.DUMMYFUNCTION("IFERROR(INDEX(FILTER('RE Portfolio'!A$2:A2000,'RE Portfolio'!D$2:D2000=""BUY""), INT((ROW()-2)/amortYears)+1), )
"),"")</f>
        <v/>
      </c>
      <c r="B959" s="15" t="str">
        <f>IFERROR(__xludf.DUMMYFUNCTION("IFERROR(INDEX(FILTER('RE Portfolio'!B$2:B2000,'RE Portfolio'!D$2:D2000=""BUY""), INT((ROW()-2)/amortYears)+1), )
"),"")</f>
        <v/>
      </c>
      <c r="C959" s="15" t="str">
        <f>IFERROR(__xludf.DUMMYFUNCTION("IFERROR(INDEX(FILTER('RE Portfolio'!G$2:G2000,'RE Portfolio'!D$2:D2000=""BUY""), INT((ROW()-2)/amortYears)+1), )
"),"")</f>
        <v/>
      </c>
      <c r="D959" s="15">
        <f>MOD(ROW()-2, amortYears)+1</f>
        <v>8</v>
      </c>
      <c r="E959" s="15" t="str">
        <f t="shared" si="1"/>
        <v/>
      </c>
      <c r="F959" s="16">
        <f t="shared" si="2"/>
        <v>0</v>
      </c>
      <c r="G959" s="16">
        <f>IF(D959&lt;=mortTerm, -PMT(mortRate/12, mortTerm*12, C959)*12, 0)
</f>
        <v>0</v>
      </c>
      <c r="H959" s="16">
        <f>IF(D959&lt;=mortTerm, G959 - I959, 0)
</f>
        <v>0</v>
      </c>
      <c r="I959" s="16">
        <f>IF(D959&lt;=mortTerm, F959 - J959, 0)
</f>
        <v>0</v>
      </c>
      <c r="J959" s="16">
        <f>IF(D959&lt;=mortTerm,
   F959*(1+mortRate/12)^12 - (-PMT(mortRate/12, mortTerm*12, C959))*(((1+mortRate/12)^12 - 1)/(mortRate/12)),
   0
)
</f>
        <v>0</v>
      </c>
      <c r="K959" s="13" t="str">
        <f>IFERROR(__xludf.DUMMYFUNCTION("IF(A959="""","""",
   IF(F959&gt;0,
      INDEX(FILTER('RE Portfolio'!L$2:L2000,'RE Portfolio'!D$2:D2000=""BUY""), INT((ROW()-2)/amortYears)+1) - G959,
      INDEX(FILTER('RE Portfolio'!L$2:L2000,'RE Portfolio'!D$2:D2000=""BUY""), INT((ROW()-2)/amortYears)+1"&amp;")
   )
)
"),"")</f>
        <v/>
      </c>
      <c r="L959" s="15" t="str">
        <f>IFERROR(__xludf.DUMMYFUNCTION("IF(A959="""","""",
  INDEX(FILTER('RE Portfolio'!C$2:C2000,'RE Portfolio'!D$2:D2000=""BUY""), INT((ROW()-2)/amortYears)+1)
  * (1 + VALUE(Assumptions!$B$11))^(D959-1)
)
"),"")</f>
        <v/>
      </c>
    </row>
    <row r="960">
      <c r="A960" s="15" t="str">
        <f>IFERROR(__xludf.DUMMYFUNCTION("IFERROR(INDEX(FILTER('RE Portfolio'!A$2:A2000,'RE Portfolio'!D$2:D2000=""BUY""), INT((ROW()-2)/amortYears)+1), )
"),"")</f>
        <v/>
      </c>
      <c r="B960" s="15" t="str">
        <f>IFERROR(__xludf.DUMMYFUNCTION("IFERROR(INDEX(FILTER('RE Portfolio'!B$2:B2000,'RE Portfolio'!D$2:D2000=""BUY""), INT((ROW()-2)/amortYears)+1), )
"),"")</f>
        <v/>
      </c>
      <c r="C960" s="15" t="str">
        <f>IFERROR(__xludf.DUMMYFUNCTION("IFERROR(INDEX(FILTER('RE Portfolio'!G$2:G2000,'RE Portfolio'!D$2:D2000=""BUY""), INT((ROW()-2)/amortYears)+1), )
"),"")</f>
        <v/>
      </c>
      <c r="D960" s="15">
        <f>MOD(ROW()-2, amortYears)+1</f>
        <v>9</v>
      </c>
      <c r="E960" s="15" t="str">
        <f t="shared" si="1"/>
        <v/>
      </c>
      <c r="F960" s="16">
        <f t="shared" si="2"/>
        <v>0</v>
      </c>
      <c r="G960" s="16">
        <f>IF(D960&lt;=mortTerm, -PMT(mortRate/12, mortTerm*12, C960)*12, 0)
</f>
        <v>0</v>
      </c>
      <c r="H960" s="16">
        <f>IF(D960&lt;=mortTerm, G960 - I960, 0)
</f>
        <v>0</v>
      </c>
      <c r="I960" s="16">
        <f>IF(D960&lt;=mortTerm, F960 - J960, 0)
</f>
        <v>0</v>
      </c>
      <c r="J960" s="16">
        <f>IF(D960&lt;=mortTerm,
   F960*(1+mortRate/12)^12 - (-PMT(mortRate/12, mortTerm*12, C960))*(((1+mortRate/12)^12 - 1)/(mortRate/12)),
   0
)
</f>
        <v>0</v>
      </c>
      <c r="K960" s="13" t="str">
        <f>IFERROR(__xludf.DUMMYFUNCTION("IF(A960="""","""",
   IF(F960&gt;0,
      INDEX(FILTER('RE Portfolio'!L$2:L2000,'RE Portfolio'!D$2:D2000=""BUY""), INT((ROW()-2)/amortYears)+1) - G960,
      INDEX(FILTER('RE Portfolio'!L$2:L2000,'RE Portfolio'!D$2:D2000=""BUY""), INT((ROW()-2)/amortYears)+1"&amp;")
   )
)
"),"")</f>
        <v/>
      </c>
      <c r="L960" s="15" t="str">
        <f>IFERROR(__xludf.DUMMYFUNCTION("IF(A960="""","""",
  INDEX(FILTER('RE Portfolio'!C$2:C2000,'RE Portfolio'!D$2:D2000=""BUY""), INT((ROW()-2)/amortYears)+1)
  * (1 + VALUE(Assumptions!$B$11))^(D960-1)
)
"),"")</f>
        <v/>
      </c>
    </row>
    <row r="961">
      <c r="A961" s="15" t="str">
        <f>IFERROR(__xludf.DUMMYFUNCTION("IFERROR(INDEX(FILTER('RE Portfolio'!A$2:A2000,'RE Portfolio'!D$2:D2000=""BUY""), INT((ROW()-2)/amortYears)+1), )
"),"")</f>
        <v/>
      </c>
      <c r="B961" s="15" t="str">
        <f>IFERROR(__xludf.DUMMYFUNCTION("IFERROR(INDEX(FILTER('RE Portfolio'!B$2:B2000,'RE Portfolio'!D$2:D2000=""BUY""), INT((ROW()-2)/amortYears)+1), )
"),"")</f>
        <v/>
      </c>
      <c r="C961" s="15" t="str">
        <f>IFERROR(__xludf.DUMMYFUNCTION("IFERROR(INDEX(FILTER('RE Portfolio'!G$2:G2000,'RE Portfolio'!D$2:D2000=""BUY""), INT((ROW()-2)/amortYears)+1), )
"),"")</f>
        <v/>
      </c>
      <c r="D961" s="15">
        <f>MOD(ROW()-2, amortYears)+1</f>
        <v>10</v>
      </c>
      <c r="E961" s="15" t="str">
        <f t="shared" si="1"/>
        <v/>
      </c>
      <c r="F961" s="16">
        <f t="shared" si="2"/>
        <v>0</v>
      </c>
      <c r="G961" s="16">
        <f>IF(D961&lt;=mortTerm, -PMT(mortRate/12, mortTerm*12, C961)*12, 0)
</f>
        <v>0</v>
      </c>
      <c r="H961" s="16">
        <f>IF(D961&lt;=mortTerm, G961 - I961, 0)
</f>
        <v>0</v>
      </c>
      <c r="I961" s="16">
        <f>IF(D961&lt;=mortTerm, F961 - J961, 0)
</f>
        <v>0</v>
      </c>
      <c r="J961" s="16">
        <f>IF(D961&lt;=mortTerm,
   F961*(1+mortRate/12)^12 - (-PMT(mortRate/12, mortTerm*12, C961))*(((1+mortRate/12)^12 - 1)/(mortRate/12)),
   0
)
</f>
        <v>0</v>
      </c>
      <c r="K961" s="13" t="str">
        <f>IFERROR(__xludf.DUMMYFUNCTION("IF(A961="""","""",
   IF(F961&gt;0,
      INDEX(FILTER('RE Portfolio'!L$2:L2000,'RE Portfolio'!D$2:D2000=""BUY""), INT((ROW()-2)/amortYears)+1) - G961,
      INDEX(FILTER('RE Portfolio'!L$2:L2000,'RE Portfolio'!D$2:D2000=""BUY""), INT((ROW()-2)/amortYears)+1"&amp;")
   )
)
"),"")</f>
        <v/>
      </c>
      <c r="L961" s="15" t="str">
        <f>IFERROR(__xludf.DUMMYFUNCTION("IF(A961="""","""",
  INDEX(FILTER('RE Portfolio'!C$2:C2000,'RE Portfolio'!D$2:D2000=""BUY""), INT((ROW()-2)/amortYears)+1)
  * (1 + VALUE(Assumptions!$B$11))^(D961-1)
)
"),"")</f>
        <v/>
      </c>
    </row>
    <row r="962">
      <c r="A962" s="15" t="str">
        <f>IFERROR(__xludf.DUMMYFUNCTION("IFERROR(INDEX(FILTER('RE Portfolio'!A$2:A2000,'RE Portfolio'!D$2:D2000=""BUY""), INT((ROW()-2)/amortYears)+1), )
"),"")</f>
        <v/>
      </c>
      <c r="B962" s="15" t="str">
        <f>IFERROR(__xludf.DUMMYFUNCTION("IFERROR(INDEX(FILTER('RE Portfolio'!B$2:B2000,'RE Portfolio'!D$2:D2000=""BUY""), INT((ROW()-2)/amortYears)+1), )
"),"")</f>
        <v/>
      </c>
      <c r="C962" s="15" t="str">
        <f>IFERROR(__xludf.DUMMYFUNCTION("IFERROR(INDEX(FILTER('RE Portfolio'!G$2:G2000,'RE Portfolio'!D$2:D2000=""BUY""), INT((ROW()-2)/amortYears)+1), )
"),"")</f>
        <v/>
      </c>
      <c r="D962" s="15">
        <f>MOD(ROW()-2, amortYears)+1</f>
        <v>11</v>
      </c>
      <c r="E962" s="15" t="str">
        <f t="shared" si="1"/>
        <v/>
      </c>
      <c r="F962" s="16">
        <f t="shared" si="2"/>
        <v>0</v>
      </c>
      <c r="G962" s="16">
        <f>IF(D962&lt;=mortTerm, -PMT(mortRate/12, mortTerm*12, C962)*12, 0)
</f>
        <v>0</v>
      </c>
      <c r="H962" s="16">
        <f>IF(D962&lt;=mortTerm, G962 - I962, 0)
</f>
        <v>0</v>
      </c>
      <c r="I962" s="16">
        <f>IF(D962&lt;=mortTerm, F962 - J962, 0)
</f>
        <v>0</v>
      </c>
      <c r="J962" s="16">
        <f>IF(D962&lt;=mortTerm,
   F962*(1+mortRate/12)^12 - (-PMT(mortRate/12, mortTerm*12, C962))*(((1+mortRate/12)^12 - 1)/(mortRate/12)),
   0
)
</f>
        <v>0</v>
      </c>
      <c r="K962" s="13" t="str">
        <f>IFERROR(__xludf.DUMMYFUNCTION("IF(A962="""","""",
   IF(F962&gt;0,
      INDEX(FILTER('RE Portfolio'!L$2:L2000,'RE Portfolio'!D$2:D2000=""BUY""), INT((ROW()-2)/amortYears)+1) - G962,
      INDEX(FILTER('RE Portfolio'!L$2:L2000,'RE Portfolio'!D$2:D2000=""BUY""), INT((ROW()-2)/amortYears)+1"&amp;")
   )
)
"),"")</f>
        <v/>
      </c>
      <c r="L962" s="15" t="str">
        <f>IFERROR(__xludf.DUMMYFUNCTION("IF(A962="""","""",
  INDEX(FILTER('RE Portfolio'!C$2:C2000,'RE Portfolio'!D$2:D2000=""BUY""), INT((ROW()-2)/amortYears)+1)
  * (1 + VALUE(Assumptions!$B$11))^(D962-1)
)
"),"")</f>
        <v/>
      </c>
    </row>
    <row r="963">
      <c r="A963" s="15" t="str">
        <f>IFERROR(__xludf.DUMMYFUNCTION("IFERROR(INDEX(FILTER('RE Portfolio'!A$2:A2000,'RE Portfolio'!D$2:D2000=""BUY""), INT((ROW()-2)/amortYears)+1), )
"),"")</f>
        <v/>
      </c>
      <c r="B963" s="15" t="str">
        <f>IFERROR(__xludf.DUMMYFUNCTION("IFERROR(INDEX(FILTER('RE Portfolio'!B$2:B2000,'RE Portfolio'!D$2:D2000=""BUY""), INT((ROW()-2)/amortYears)+1), )
"),"")</f>
        <v/>
      </c>
      <c r="C963" s="15" t="str">
        <f>IFERROR(__xludf.DUMMYFUNCTION("IFERROR(INDEX(FILTER('RE Portfolio'!G$2:G2000,'RE Portfolio'!D$2:D2000=""BUY""), INT((ROW()-2)/amortYears)+1), )
"),"")</f>
        <v/>
      </c>
      <c r="D963" s="15">
        <f>MOD(ROW()-2, amortYears)+1</f>
        <v>12</v>
      </c>
      <c r="E963" s="15" t="str">
        <f t="shared" si="1"/>
        <v/>
      </c>
      <c r="F963" s="16">
        <f t="shared" si="2"/>
        <v>0</v>
      </c>
      <c r="G963" s="16">
        <f>IF(D963&lt;=mortTerm, -PMT(mortRate/12, mortTerm*12, C963)*12, 0)
</f>
        <v>0</v>
      </c>
      <c r="H963" s="16">
        <f>IF(D963&lt;=mortTerm, G963 - I963, 0)
</f>
        <v>0</v>
      </c>
      <c r="I963" s="16">
        <f>IF(D963&lt;=mortTerm, F963 - J963, 0)
</f>
        <v>0</v>
      </c>
      <c r="J963" s="16">
        <f>IF(D963&lt;=mortTerm,
   F963*(1+mortRate/12)^12 - (-PMT(mortRate/12, mortTerm*12, C963))*(((1+mortRate/12)^12 - 1)/(mortRate/12)),
   0
)
</f>
        <v>0</v>
      </c>
      <c r="K963" s="13" t="str">
        <f>IFERROR(__xludf.DUMMYFUNCTION("IF(A963="""","""",
   IF(F963&gt;0,
      INDEX(FILTER('RE Portfolio'!L$2:L2000,'RE Portfolio'!D$2:D2000=""BUY""), INT((ROW()-2)/amortYears)+1) - G963,
      INDEX(FILTER('RE Portfolio'!L$2:L2000,'RE Portfolio'!D$2:D2000=""BUY""), INT((ROW()-2)/amortYears)+1"&amp;")
   )
)
"),"")</f>
        <v/>
      </c>
      <c r="L963" s="15" t="str">
        <f>IFERROR(__xludf.DUMMYFUNCTION("IF(A963="""","""",
  INDEX(FILTER('RE Portfolio'!C$2:C2000,'RE Portfolio'!D$2:D2000=""BUY""), INT((ROW()-2)/amortYears)+1)
  * (1 + VALUE(Assumptions!$B$11))^(D963-1)
)
"),"")</f>
        <v/>
      </c>
    </row>
    <row r="964">
      <c r="A964" s="15" t="str">
        <f>IFERROR(__xludf.DUMMYFUNCTION("IFERROR(INDEX(FILTER('RE Portfolio'!A$2:A2000,'RE Portfolio'!D$2:D2000=""BUY""), INT((ROW()-2)/amortYears)+1), )
"),"")</f>
        <v/>
      </c>
      <c r="B964" s="15" t="str">
        <f>IFERROR(__xludf.DUMMYFUNCTION("IFERROR(INDEX(FILTER('RE Portfolio'!B$2:B2000,'RE Portfolio'!D$2:D2000=""BUY""), INT((ROW()-2)/amortYears)+1), )
"),"")</f>
        <v/>
      </c>
      <c r="C964" s="15" t="str">
        <f>IFERROR(__xludf.DUMMYFUNCTION("IFERROR(INDEX(FILTER('RE Portfolio'!G$2:G2000,'RE Portfolio'!D$2:D2000=""BUY""), INT((ROW()-2)/amortYears)+1), )
"),"")</f>
        <v/>
      </c>
      <c r="D964" s="15">
        <f>MOD(ROW()-2, amortYears)+1</f>
        <v>13</v>
      </c>
      <c r="E964" s="15" t="str">
        <f t="shared" si="1"/>
        <v/>
      </c>
      <c r="F964" s="16">
        <f t="shared" si="2"/>
        <v>0</v>
      </c>
      <c r="G964" s="16">
        <f>IF(D964&lt;=mortTerm, -PMT(mortRate/12, mortTerm*12, C964)*12, 0)
</f>
        <v>0</v>
      </c>
      <c r="H964" s="16">
        <f>IF(D964&lt;=mortTerm, G964 - I964, 0)
</f>
        <v>0</v>
      </c>
      <c r="I964" s="16">
        <f>IF(D964&lt;=mortTerm, F964 - J964, 0)
</f>
        <v>0</v>
      </c>
      <c r="J964" s="16">
        <f>IF(D964&lt;=mortTerm,
   F964*(1+mortRate/12)^12 - (-PMT(mortRate/12, mortTerm*12, C964))*(((1+mortRate/12)^12 - 1)/(mortRate/12)),
   0
)
</f>
        <v>0</v>
      </c>
      <c r="K964" s="13" t="str">
        <f>IFERROR(__xludf.DUMMYFUNCTION("IF(A964="""","""",
   IF(F964&gt;0,
      INDEX(FILTER('RE Portfolio'!L$2:L2000,'RE Portfolio'!D$2:D2000=""BUY""), INT((ROW()-2)/amortYears)+1) - G964,
      INDEX(FILTER('RE Portfolio'!L$2:L2000,'RE Portfolio'!D$2:D2000=""BUY""), INT((ROW()-2)/amortYears)+1"&amp;")
   )
)
"),"")</f>
        <v/>
      </c>
      <c r="L964" s="15" t="str">
        <f>IFERROR(__xludf.DUMMYFUNCTION("IF(A964="""","""",
  INDEX(FILTER('RE Portfolio'!C$2:C2000,'RE Portfolio'!D$2:D2000=""BUY""), INT((ROW()-2)/amortYears)+1)
  * (1 + VALUE(Assumptions!$B$11))^(D964-1)
)
"),"")</f>
        <v/>
      </c>
    </row>
    <row r="965">
      <c r="A965" s="15" t="str">
        <f>IFERROR(__xludf.DUMMYFUNCTION("IFERROR(INDEX(FILTER('RE Portfolio'!A$2:A2000,'RE Portfolio'!D$2:D2000=""BUY""), INT((ROW()-2)/amortYears)+1), )
"),"")</f>
        <v/>
      </c>
      <c r="B965" s="15" t="str">
        <f>IFERROR(__xludf.DUMMYFUNCTION("IFERROR(INDEX(FILTER('RE Portfolio'!B$2:B2000,'RE Portfolio'!D$2:D2000=""BUY""), INT((ROW()-2)/amortYears)+1), )
"),"")</f>
        <v/>
      </c>
      <c r="C965" s="15" t="str">
        <f>IFERROR(__xludf.DUMMYFUNCTION("IFERROR(INDEX(FILTER('RE Portfolio'!G$2:G2000,'RE Portfolio'!D$2:D2000=""BUY""), INT((ROW()-2)/amortYears)+1), )
"),"")</f>
        <v/>
      </c>
      <c r="D965" s="15">
        <f>MOD(ROW()-2, amortYears)+1</f>
        <v>14</v>
      </c>
      <c r="E965" s="15" t="str">
        <f t="shared" si="1"/>
        <v/>
      </c>
      <c r="F965" s="16">
        <f t="shared" si="2"/>
        <v>0</v>
      </c>
      <c r="G965" s="16">
        <f>IF(D965&lt;=mortTerm, -PMT(mortRate/12, mortTerm*12, C965)*12, 0)
</f>
        <v>0</v>
      </c>
      <c r="H965" s="16">
        <f>IF(D965&lt;=mortTerm, G965 - I965, 0)
</f>
        <v>0</v>
      </c>
      <c r="I965" s="16">
        <f>IF(D965&lt;=mortTerm, F965 - J965, 0)
</f>
        <v>0</v>
      </c>
      <c r="J965" s="16">
        <f>IF(D965&lt;=mortTerm,
   F965*(1+mortRate/12)^12 - (-PMT(mortRate/12, mortTerm*12, C965))*(((1+mortRate/12)^12 - 1)/(mortRate/12)),
   0
)
</f>
        <v>0</v>
      </c>
      <c r="K965" s="13" t="str">
        <f>IFERROR(__xludf.DUMMYFUNCTION("IF(A965="""","""",
   IF(F965&gt;0,
      INDEX(FILTER('RE Portfolio'!L$2:L2000,'RE Portfolio'!D$2:D2000=""BUY""), INT((ROW()-2)/amortYears)+1) - G965,
      INDEX(FILTER('RE Portfolio'!L$2:L2000,'RE Portfolio'!D$2:D2000=""BUY""), INT((ROW()-2)/amortYears)+1"&amp;")
   )
)
"),"")</f>
        <v/>
      </c>
      <c r="L965" s="15" t="str">
        <f>IFERROR(__xludf.DUMMYFUNCTION("IF(A965="""","""",
  INDEX(FILTER('RE Portfolio'!C$2:C2000,'RE Portfolio'!D$2:D2000=""BUY""), INT((ROW()-2)/amortYears)+1)
  * (1 + VALUE(Assumptions!$B$11))^(D965-1)
)
"),"")</f>
        <v/>
      </c>
    </row>
    <row r="966">
      <c r="A966" s="15" t="str">
        <f>IFERROR(__xludf.DUMMYFUNCTION("IFERROR(INDEX(FILTER('RE Portfolio'!A$2:A2000,'RE Portfolio'!D$2:D2000=""BUY""), INT((ROW()-2)/amortYears)+1), )
"),"")</f>
        <v/>
      </c>
      <c r="B966" s="15" t="str">
        <f>IFERROR(__xludf.DUMMYFUNCTION("IFERROR(INDEX(FILTER('RE Portfolio'!B$2:B2000,'RE Portfolio'!D$2:D2000=""BUY""), INT((ROW()-2)/amortYears)+1), )
"),"")</f>
        <v/>
      </c>
      <c r="C966" s="15" t="str">
        <f>IFERROR(__xludf.DUMMYFUNCTION("IFERROR(INDEX(FILTER('RE Portfolio'!G$2:G2000,'RE Portfolio'!D$2:D2000=""BUY""), INT((ROW()-2)/amortYears)+1), )
"),"")</f>
        <v/>
      </c>
      <c r="D966" s="15">
        <f>MOD(ROW()-2, amortYears)+1</f>
        <v>15</v>
      </c>
      <c r="E966" s="15" t="str">
        <f t="shared" si="1"/>
        <v/>
      </c>
      <c r="F966" s="16">
        <f t="shared" si="2"/>
        <v>0</v>
      </c>
      <c r="G966" s="16">
        <f>IF(D966&lt;=mortTerm, -PMT(mortRate/12, mortTerm*12, C966)*12, 0)
</f>
        <v>0</v>
      </c>
      <c r="H966" s="16">
        <f>IF(D966&lt;=mortTerm, G966 - I966, 0)
</f>
        <v>0</v>
      </c>
      <c r="I966" s="16">
        <f>IF(D966&lt;=mortTerm, F966 - J966, 0)
</f>
        <v>0</v>
      </c>
      <c r="J966" s="16">
        <f>IF(D966&lt;=mortTerm,
   F966*(1+mortRate/12)^12 - (-PMT(mortRate/12, mortTerm*12, C966))*(((1+mortRate/12)^12 - 1)/(mortRate/12)),
   0
)
</f>
        <v>0</v>
      </c>
      <c r="K966" s="13" t="str">
        <f>IFERROR(__xludf.DUMMYFUNCTION("IF(A966="""","""",
   IF(F966&gt;0,
      INDEX(FILTER('RE Portfolio'!L$2:L2000,'RE Portfolio'!D$2:D2000=""BUY""), INT((ROW()-2)/amortYears)+1) - G966,
      INDEX(FILTER('RE Portfolio'!L$2:L2000,'RE Portfolio'!D$2:D2000=""BUY""), INT((ROW()-2)/amortYears)+1"&amp;")
   )
)
"),"")</f>
        <v/>
      </c>
      <c r="L966" s="15" t="str">
        <f>IFERROR(__xludf.DUMMYFUNCTION("IF(A966="""","""",
  INDEX(FILTER('RE Portfolio'!C$2:C2000,'RE Portfolio'!D$2:D2000=""BUY""), INT((ROW()-2)/amortYears)+1)
  * (1 + VALUE(Assumptions!$B$11))^(D966-1)
)
"),"")</f>
        <v/>
      </c>
    </row>
    <row r="967">
      <c r="A967" s="15" t="str">
        <f>IFERROR(__xludf.DUMMYFUNCTION("IFERROR(INDEX(FILTER('RE Portfolio'!A$2:A2000,'RE Portfolio'!D$2:D2000=""BUY""), INT((ROW()-2)/amortYears)+1), )
"),"")</f>
        <v/>
      </c>
      <c r="B967" s="15" t="str">
        <f>IFERROR(__xludf.DUMMYFUNCTION("IFERROR(INDEX(FILTER('RE Portfolio'!B$2:B2000,'RE Portfolio'!D$2:D2000=""BUY""), INT((ROW()-2)/amortYears)+1), )
"),"")</f>
        <v/>
      </c>
      <c r="C967" s="15" t="str">
        <f>IFERROR(__xludf.DUMMYFUNCTION("IFERROR(INDEX(FILTER('RE Portfolio'!G$2:G2000,'RE Portfolio'!D$2:D2000=""BUY""), INT((ROW()-2)/amortYears)+1), )
"),"")</f>
        <v/>
      </c>
      <c r="D967" s="15">
        <f>MOD(ROW()-2, amortYears)+1</f>
        <v>16</v>
      </c>
      <c r="E967" s="15" t="str">
        <f t="shared" si="1"/>
        <v/>
      </c>
      <c r="F967" s="16">
        <f t="shared" si="2"/>
        <v>0</v>
      </c>
      <c r="G967" s="16">
        <f>IF(D967&lt;=mortTerm, -PMT(mortRate/12, mortTerm*12, C967)*12, 0)
</f>
        <v>0</v>
      </c>
      <c r="H967" s="16">
        <f>IF(D967&lt;=mortTerm, G967 - I967, 0)
</f>
        <v>0</v>
      </c>
      <c r="I967" s="16">
        <f>IF(D967&lt;=mortTerm, F967 - J967, 0)
</f>
        <v>0</v>
      </c>
      <c r="J967" s="16">
        <f>IF(D967&lt;=mortTerm,
   F967*(1+mortRate/12)^12 - (-PMT(mortRate/12, mortTerm*12, C967))*(((1+mortRate/12)^12 - 1)/(mortRate/12)),
   0
)
</f>
        <v>0</v>
      </c>
      <c r="K967" s="13" t="str">
        <f>IFERROR(__xludf.DUMMYFUNCTION("IF(A967="""","""",
   IF(F967&gt;0,
      INDEX(FILTER('RE Portfolio'!L$2:L2000,'RE Portfolio'!D$2:D2000=""BUY""), INT((ROW()-2)/amortYears)+1) - G967,
      INDEX(FILTER('RE Portfolio'!L$2:L2000,'RE Portfolio'!D$2:D2000=""BUY""), INT((ROW()-2)/amortYears)+1"&amp;")
   )
)
"),"")</f>
        <v/>
      </c>
      <c r="L967" s="15" t="str">
        <f>IFERROR(__xludf.DUMMYFUNCTION("IF(A967="""","""",
  INDEX(FILTER('RE Portfolio'!C$2:C2000,'RE Portfolio'!D$2:D2000=""BUY""), INT((ROW()-2)/amortYears)+1)
  * (1 + VALUE(Assumptions!$B$11))^(D967-1)
)
"),"")</f>
        <v/>
      </c>
    </row>
    <row r="968">
      <c r="A968" s="15" t="str">
        <f>IFERROR(__xludf.DUMMYFUNCTION("IFERROR(INDEX(FILTER('RE Portfolio'!A$2:A2000,'RE Portfolio'!D$2:D2000=""BUY""), INT((ROW()-2)/amortYears)+1), )
"),"")</f>
        <v/>
      </c>
      <c r="B968" s="15" t="str">
        <f>IFERROR(__xludf.DUMMYFUNCTION("IFERROR(INDEX(FILTER('RE Portfolio'!B$2:B2000,'RE Portfolio'!D$2:D2000=""BUY""), INT((ROW()-2)/amortYears)+1), )
"),"")</f>
        <v/>
      </c>
      <c r="C968" s="15" t="str">
        <f>IFERROR(__xludf.DUMMYFUNCTION("IFERROR(INDEX(FILTER('RE Portfolio'!G$2:G2000,'RE Portfolio'!D$2:D2000=""BUY""), INT((ROW()-2)/amortYears)+1), )
"),"")</f>
        <v/>
      </c>
      <c r="D968" s="15">
        <f>MOD(ROW()-2, amortYears)+1</f>
        <v>17</v>
      </c>
      <c r="E968" s="15" t="str">
        <f t="shared" si="1"/>
        <v/>
      </c>
      <c r="F968" s="16">
        <f t="shared" si="2"/>
        <v>0</v>
      </c>
      <c r="G968" s="16">
        <f>IF(D968&lt;=mortTerm, -PMT(mortRate/12, mortTerm*12, C968)*12, 0)
</f>
        <v>0</v>
      </c>
      <c r="H968" s="16">
        <f>IF(D968&lt;=mortTerm, G968 - I968, 0)
</f>
        <v>0</v>
      </c>
      <c r="I968" s="16">
        <f>IF(D968&lt;=mortTerm, F968 - J968, 0)
</f>
        <v>0</v>
      </c>
      <c r="J968" s="16">
        <f>IF(D968&lt;=mortTerm,
   F968*(1+mortRate/12)^12 - (-PMT(mortRate/12, mortTerm*12, C968))*(((1+mortRate/12)^12 - 1)/(mortRate/12)),
   0
)
</f>
        <v>0</v>
      </c>
      <c r="K968" s="13" t="str">
        <f>IFERROR(__xludf.DUMMYFUNCTION("IF(A968="""","""",
   IF(F968&gt;0,
      INDEX(FILTER('RE Portfolio'!L$2:L2000,'RE Portfolio'!D$2:D2000=""BUY""), INT((ROW()-2)/amortYears)+1) - G968,
      INDEX(FILTER('RE Portfolio'!L$2:L2000,'RE Portfolio'!D$2:D2000=""BUY""), INT((ROW()-2)/amortYears)+1"&amp;")
   )
)
"),"")</f>
        <v/>
      </c>
      <c r="L968" s="15" t="str">
        <f>IFERROR(__xludf.DUMMYFUNCTION("IF(A968="""","""",
  INDEX(FILTER('RE Portfolio'!C$2:C2000,'RE Portfolio'!D$2:D2000=""BUY""), INT((ROW()-2)/amortYears)+1)
  * (1 + VALUE(Assumptions!$B$11))^(D968-1)
)
"),"")</f>
        <v/>
      </c>
    </row>
    <row r="969">
      <c r="A969" s="15" t="str">
        <f>IFERROR(__xludf.DUMMYFUNCTION("IFERROR(INDEX(FILTER('RE Portfolio'!A$2:A2000,'RE Portfolio'!D$2:D2000=""BUY""), INT((ROW()-2)/amortYears)+1), )
"),"")</f>
        <v/>
      </c>
      <c r="B969" s="15" t="str">
        <f>IFERROR(__xludf.DUMMYFUNCTION("IFERROR(INDEX(FILTER('RE Portfolio'!B$2:B2000,'RE Portfolio'!D$2:D2000=""BUY""), INT((ROW()-2)/amortYears)+1), )
"),"")</f>
        <v/>
      </c>
      <c r="C969" s="15" t="str">
        <f>IFERROR(__xludf.DUMMYFUNCTION("IFERROR(INDEX(FILTER('RE Portfolio'!G$2:G2000,'RE Portfolio'!D$2:D2000=""BUY""), INT((ROW()-2)/amortYears)+1), )
"),"")</f>
        <v/>
      </c>
      <c r="D969" s="15">
        <f>MOD(ROW()-2, amortYears)+1</f>
        <v>18</v>
      </c>
      <c r="E969" s="15" t="str">
        <f t="shared" si="1"/>
        <v/>
      </c>
      <c r="F969" s="16">
        <f t="shared" si="2"/>
        <v>0</v>
      </c>
      <c r="G969" s="16">
        <f>IF(D969&lt;=mortTerm, -PMT(mortRate/12, mortTerm*12, C969)*12, 0)
</f>
        <v>0</v>
      </c>
      <c r="H969" s="16">
        <f>IF(D969&lt;=mortTerm, G969 - I969, 0)
</f>
        <v>0</v>
      </c>
      <c r="I969" s="16">
        <f>IF(D969&lt;=mortTerm, F969 - J969, 0)
</f>
        <v>0</v>
      </c>
      <c r="J969" s="16">
        <f>IF(D969&lt;=mortTerm,
   F969*(1+mortRate/12)^12 - (-PMT(mortRate/12, mortTerm*12, C969))*(((1+mortRate/12)^12 - 1)/(mortRate/12)),
   0
)
</f>
        <v>0</v>
      </c>
      <c r="K969" s="13" t="str">
        <f>IFERROR(__xludf.DUMMYFUNCTION("IF(A969="""","""",
   IF(F969&gt;0,
      INDEX(FILTER('RE Portfolio'!L$2:L2000,'RE Portfolio'!D$2:D2000=""BUY""), INT((ROW()-2)/amortYears)+1) - G969,
      INDEX(FILTER('RE Portfolio'!L$2:L2000,'RE Portfolio'!D$2:D2000=""BUY""), INT((ROW()-2)/amortYears)+1"&amp;")
   )
)
"),"")</f>
        <v/>
      </c>
      <c r="L969" s="15" t="str">
        <f>IFERROR(__xludf.DUMMYFUNCTION("IF(A969="""","""",
  INDEX(FILTER('RE Portfolio'!C$2:C2000,'RE Portfolio'!D$2:D2000=""BUY""), INT((ROW()-2)/amortYears)+1)
  * (1 + VALUE(Assumptions!$B$11))^(D969-1)
)
"),"")</f>
        <v/>
      </c>
    </row>
    <row r="970">
      <c r="A970" s="15" t="str">
        <f>IFERROR(__xludf.DUMMYFUNCTION("IFERROR(INDEX(FILTER('RE Portfolio'!A$2:A2000,'RE Portfolio'!D$2:D2000=""BUY""), INT((ROW()-2)/amortYears)+1), )
"),"")</f>
        <v/>
      </c>
      <c r="B970" s="15" t="str">
        <f>IFERROR(__xludf.DUMMYFUNCTION("IFERROR(INDEX(FILTER('RE Portfolio'!B$2:B2000,'RE Portfolio'!D$2:D2000=""BUY""), INT((ROW()-2)/amortYears)+1), )
"),"")</f>
        <v/>
      </c>
      <c r="C970" s="15" t="str">
        <f>IFERROR(__xludf.DUMMYFUNCTION("IFERROR(INDEX(FILTER('RE Portfolio'!G$2:G2000,'RE Portfolio'!D$2:D2000=""BUY""), INT((ROW()-2)/amortYears)+1), )
"),"")</f>
        <v/>
      </c>
      <c r="D970" s="15">
        <f>MOD(ROW()-2, amortYears)+1</f>
        <v>19</v>
      </c>
      <c r="E970" s="15" t="str">
        <f t="shared" si="1"/>
        <v/>
      </c>
      <c r="F970" s="16">
        <f t="shared" si="2"/>
        <v>0</v>
      </c>
      <c r="G970" s="16">
        <f>IF(D970&lt;=mortTerm, -PMT(mortRate/12, mortTerm*12, C970)*12, 0)
</f>
        <v>0</v>
      </c>
      <c r="H970" s="16">
        <f>IF(D970&lt;=mortTerm, G970 - I970, 0)
</f>
        <v>0</v>
      </c>
      <c r="I970" s="16">
        <f>IF(D970&lt;=mortTerm, F970 - J970, 0)
</f>
        <v>0</v>
      </c>
      <c r="J970" s="16">
        <f>IF(D970&lt;=mortTerm,
   F970*(1+mortRate/12)^12 - (-PMT(mortRate/12, mortTerm*12, C970))*(((1+mortRate/12)^12 - 1)/(mortRate/12)),
   0
)
</f>
        <v>0</v>
      </c>
      <c r="K970" s="13" t="str">
        <f>IFERROR(__xludf.DUMMYFUNCTION("IF(A970="""","""",
   IF(F970&gt;0,
      INDEX(FILTER('RE Portfolio'!L$2:L2000,'RE Portfolio'!D$2:D2000=""BUY""), INT((ROW()-2)/amortYears)+1) - G970,
      INDEX(FILTER('RE Portfolio'!L$2:L2000,'RE Portfolio'!D$2:D2000=""BUY""), INT((ROW()-2)/amortYears)+1"&amp;")
   )
)
"),"")</f>
        <v/>
      </c>
      <c r="L970" s="15" t="str">
        <f>IFERROR(__xludf.DUMMYFUNCTION("IF(A970="""","""",
  INDEX(FILTER('RE Portfolio'!C$2:C2000,'RE Portfolio'!D$2:D2000=""BUY""), INT((ROW()-2)/amortYears)+1)
  * (1 + VALUE(Assumptions!$B$11))^(D970-1)
)
"),"")</f>
        <v/>
      </c>
    </row>
    <row r="971">
      <c r="A971" s="15" t="str">
        <f>IFERROR(__xludf.DUMMYFUNCTION("IFERROR(INDEX(FILTER('RE Portfolio'!A$2:A2000,'RE Portfolio'!D$2:D2000=""BUY""), INT((ROW()-2)/amortYears)+1), )
"),"")</f>
        <v/>
      </c>
      <c r="B971" s="15" t="str">
        <f>IFERROR(__xludf.DUMMYFUNCTION("IFERROR(INDEX(FILTER('RE Portfolio'!B$2:B2000,'RE Portfolio'!D$2:D2000=""BUY""), INT((ROW()-2)/amortYears)+1), )
"),"")</f>
        <v/>
      </c>
      <c r="C971" s="15" t="str">
        <f>IFERROR(__xludf.DUMMYFUNCTION("IFERROR(INDEX(FILTER('RE Portfolio'!G$2:G2000,'RE Portfolio'!D$2:D2000=""BUY""), INT((ROW()-2)/amortYears)+1), )
"),"")</f>
        <v/>
      </c>
      <c r="D971" s="15">
        <f>MOD(ROW()-2, amortYears)+1</f>
        <v>20</v>
      </c>
      <c r="E971" s="15" t="str">
        <f t="shared" si="1"/>
        <v/>
      </c>
      <c r="F971" s="16">
        <f t="shared" si="2"/>
        <v>0</v>
      </c>
      <c r="G971" s="16">
        <f>IF(D971&lt;=mortTerm, -PMT(mortRate/12, mortTerm*12, C971)*12, 0)
</f>
        <v>0</v>
      </c>
      <c r="H971" s="16">
        <f>IF(D971&lt;=mortTerm, G971 - I971, 0)
</f>
        <v>0</v>
      </c>
      <c r="I971" s="16">
        <f>IF(D971&lt;=mortTerm, F971 - J971, 0)
</f>
        <v>0</v>
      </c>
      <c r="J971" s="16">
        <f>IF(D971&lt;=mortTerm,
   F971*(1+mortRate/12)^12 - (-PMT(mortRate/12, mortTerm*12, C971))*(((1+mortRate/12)^12 - 1)/(mortRate/12)),
   0
)
</f>
        <v>0</v>
      </c>
      <c r="K971" s="13" t="str">
        <f>IFERROR(__xludf.DUMMYFUNCTION("IF(A971="""","""",
   IF(F971&gt;0,
      INDEX(FILTER('RE Portfolio'!L$2:L2000,'RE Portfolio'!D$2:D2000=""BUY""), INT((ROW()-2)/amortYears)+1) - G971,
      INDEX(FILTER('RE Portfolio'!L$2:L2000,'RE Portfolio'!D$2:D2000=""BUY""), INT((ROW()-2)/amortYears)+1"&amp;")
   )
)
"),"")</f>
        <v/>
      </c>
      <c r="L971" s="15" t="str">
        <f>IFERROR(__xludf.DUMMYFUNCTION("IF(A971="""","""",
  INDEX(FILTER('RE Portfolio'!C$2:C2000,'RE Portfolio'!D$2:D2000=""BUY""), INT((ROW()-2)/amortYears)+1)
  * (1 + VALUE(Assumptions!$B$11))^(D971-1)
)
"),"")</f>
        <v/>
      </c>
    </row>
    <row r="972">
      <c r="A972" s="15" t="str">
        <f>IFERROR(__xludf.DUMMYFUNCTION("IFERROR(INDEX(FILTER('RE Portfolio'!A$2:A2000,'RE Portfolio'!D$2:D2000=""BUY""), INT((ROW()-2)/amortYears)+1), )
"),"")</f>
        <v/>
      </c>
      <c r="B972" s="15" t="str">
        <f>IFERROR(__xludf.DUMMYFUNCTION("IFERROR(INDEX(FILTER('RE Portfolio'!B$2:B2000,'RE Portfolio'!D$2:D2000=""BUY""), INT((ROW()-2)/amortYears)+1), )
"),"")</f>
        <v/>
      </c>
      <c r="C972" s="15" t="str">
        <f>IFERROR(__xludf.DUMMYFUNCTION("IFERROR(INDEX(FILTER('RE Portfolio'!G$2:G2000,'RE Portfolio'!D$2:D2000=""BUY""), INT((ROW()-2)/amortYears)+1), )
"),"")</f>
        <v/>
      </c>
      <c r="D972" s="15">
        <f>MOD(ROW()-2, amortYears)+1</f>
        <v>21</v>
      </c>
      <c r="E972" s="15" t="str">
        <f t="shared" si="1"/>
        <v/>
      </c>
      <c r="F972" s="16">
        <f t="shared" si="2"/>
        <v>0</v>
      </c>
      <c r="G972" s="16">
        <f>IF(D972&lt;=mortTerm, -PMT(mortRate/12, mortTerm*12, C972)*12, 0)
</f>
        <v>0</v>
      </c>
      <c r="H972" s="16">
        <f>IF(D972&lt;=mortTerm, G972 - I972, 0)
</f>
        <v>0</v>
      </c>
      <c r="I972" s="16">
        <f>IF(D972&lt;=mortTerm, F972 - J972, 0)
</f>
        <v>0</v>
      </c>
      <c r="J972" s="16">
        <f>IF(D972&lt;=mortTerm,
   F972*(1+mortRate/12)^12 - (-PMT(mortRate/12, mortTerm*12, C972))*(((1+mortRate/12)^12 - 1)/(mortRate/12)),
   0
)
</f>
        <v>0</v>
      </c>
      <c r="K972" s="13" t="str">
        <f>IFERROR(__xludf.DUMMYFUNCTION("IF(A972="""","""",
   IF(F972&gt;0,
      INDEX(FILTER('RE Portfolio'!L$2:L2000,'RE Portfolio'!D$2:D2000=""BUY""), INT((ROW()-2)/amortYears)+1) - G972,
      INDEX(FILTER('RE Portfolio'!L$2:L2000,'RE Portfolio'!D$2:D2000=""BUY""), INT((ROW()-2)/amortYears)+1"&amp;")
   )
)
"),"")</f>
        <v/>
      </c>
      <c r="L972" s="15" t="str">
        <f>IFERROR(__xludf.DUMMYFUNCTION("IF(A972="""","""",
  INDEX(FILTER('RE Portfolio'!C$2:C2000,'RE Portfolio'!D$2:D2000=""BUY""), INT((ROW()-2)/amortYears)+1)
  * (1 + VALUE(Assumptions!$B$11))^(D972-1)
)
"),"")</f>
        <v/>
      </c>
    </row>
    <row r="973">
      <c r="A973" s="15" t="str">
        <f>IFERROR(__xludf.DUMMYFUNCTION("IFERROR(INDEX(FILTER('RE Portfolio'!A$2:A2000,'RE Portfolio'!D$2:D2000=""BUY""), INT((ROW()-2)/amortYears)+1), )
"),"")</f>
        <v/>
      </c>
      <c r="B973" s="15" t="str">
        <f>IFERROR(__xludf.DUMMYFUNCTION("IFERROR(INDEX(FILTER('RE Portfolio'!B$2:B2000,'RE Portfolio'!D$2:D2000=""BUY""), INT((ROW()-2)/amortYears)+1), )
"),"")</f>
        <v/>
      </c>
      <c r="C973" s="15" t="str">
        <f>IFERROR(__xludf.DUMMYFUNCTION("IFERROR(INDEX(FILTER('RE Portfolio'!G$2:G2000,'RE Portfolio'!D$2:D2000=""BUY""), INT((ROW()-2)/amortYears)+1), )
"),"")</f>
        <v/>
      </c>
      <c r="D973" s="15">
        <f>MOD(ROW()-2, amortYears)+1</f>
        <v>22</v>
      </c>
      <c r="E973" s="15" t="str">
        <f t="shared" si="1"/>
        <v/>
      </c>
      <c r="F973" s="16">
        <f t="shared" si="2"/>
        <v>0</v>
      </c>
      <c r="G973" s="16">
        <f>IF(D973&lt;=mortTerm, -PMT(mortRate/12, mortTerm*12, C973)*12, 0)
</f>
        <v>0</v>
      </c>
      <c r="H973" s="16">
        <f>IF(D973&lt;=mortTerm, G973 - I973, 0)
</f>
        <v>0</v>
      </c>
      <c r="I973" s="16">
        <f>IF(D973&lt;=mortTerm, F973 - J973, 0)
</f>
        <v>0</v>
      </c>
      <c r="J973" s="16">
        <f>IF(D973&lt;=mortTerm,
   F973*(1+mortRate/12)^12 - (-PMT(mortRate/12, mortTerm*12, C973))*(((1+mortRate/12)^12 - 1)/(mortRate/12)),
   0
)
</f>
        <v>0</v>
      </c>
      <c r="K973" s="13" t="str">
        <f>IFERROR(__xludf.DUMMYFUNCTION("IF(A973="""","""",
   IF(F973&gt;0,
      INDEX(FILTER('RE Portfolio'!L$2:L2000,'RE Portfolio'!D$2:D2000=""BUY""), INT((ROW()-2)/amortYears)+1) - G973,
      INDEX(FILTER('RE Portfolio'!L$2:L2000,'RE Portfolio'!D$2:D2000=""BUY""), INT((ROW()-2)/amortYears)+1"&amp;")
   )
)
"),"")</f>
        <v/>
      </c>
      <c r="L973" s="15" t="str">
        <f>IFERROR(__xludf.DUMMYFUNCTION("IF(A973="""","""",
  INDEX(FILTER('RE Portfolio'!C$2:C2000,'RE Portfolio'!D$2:D2000=""BUY""), INT((ROW()-2)/amortYears)+1)
  * (1 + VALUE(Assumptions!$B$11))^(D973-1)
)
"),"")</f>
        <v/>
      </c>
    </row>
    <row r="974">
      <c r="A974" s="15" t="str">
        <f>IFERROR(__xludf.DUMMYFUNCTION("IFERROR(INDEX(FILTER('RE Portfolio'!A$2:A2000,'RE Portfolio'!D$2:D2000=""BUY""), INT((ROW()-2)/amortYears)+1), )
"),"")</f>
        <v/>
      </c>
      <c r="B974" s="15" t="str">
        <f>IFERROR(__xludf.DUMMYFUNCTION("IFERROR(INDEX(FILTER('RE Portfolio'!B$2:B2000,'RE Portfolio'!D$2:D2000=""BUY""), INT((ROW()-2)/amortYears)+1), )
"),"")</f>
        <v/>
      </c>
      <c r="C974" s="15" t="str">
        <f>IFERROR(__xludf.DUMMYFUNCTION("IFERROR(INDEX(FILTER('RE Portfolio'!G$2:G2000,'RE Portfolio'!D$2:D2000=""BUY""), INT((ROW()-2)/amortYears)+1), )
"),"")</f>
        <v/>
      </c>
      <c r="D974" s="15">
        <f>MOD(ROW()-2, amortYears)+1</f>
        <v>23</v>
      </c>
      <c r="E974" s="15" t="str">
        <f t="shared" si="1"/>
        <v/>
      </c>
      <c r="F974" s="16">
        <f t="shared" si="2"/>
        <v>0</v>
      </c>
      <c r="G974" s="16">
        <f>IF(D974&lt;=mortTerm, -PMT(mortRate/12, mortTerm*12, C974)*12, 0)
</f>
        <v>0</v>
      </c>
      <c r="H974" s="16">
        <f>IF(D974&lt;=mortTerm, G974 - I974, 0)
</f>
        <v>0</v>
      </c>
      <c r="I974" s="16">
        <f>IF(D974&lt;=mortTerm, F974 - J974, 0)
</f>
        <v>0</v>
      </c>
      <c r="J974" s="16">
        <f>IF(D974&lt;=mortTerm,
   F974*(1+mortRate/12)^12 - (-PMT(mortRate/12, mortTerm*12, C974))*(((1+mortRate/12)^12 - 1)/(mortRate/12)),
   0
)
</f>
        <v>0</v>
      </c>
      <c r="K974" s="13" t="str">
        <f>IFERROR(__xludf.DUMMYFUNCTION("IF(A974="""","""",
   IF(F974&gt;0,
      INDEX(FILTER('RE Portfolio'!L$2:L2000,'RE Portfolio'!D$2:D2000=""BUY""), INT((ROW()-2)/amortYears)+1) - G974,
      INDEX(FILTER('RE Portfolio'!L$2:L2000,'RE Portfolio'!D$2:D2000=""BUY""), INT((ROW()-2)/amortYears)+1"&amp;")
   )
)
"),"")</f>
        <v/>
      </c>
      <c r="L974" s="15" t="str">
        <f>IFERROR(__xludf.DUMMYFUNCTION("IF(A974="""","""",
  INDEX(FILTER('RE Portfolio'!C$2:C2000,'RE Portfolio'!D$2:D2000=""BUY""), INT((ROW()-2)/amortYears)+1)
  * (1 + VALUE(Assumptions!$B$11))^(D974-1)
)
"),"")</f>
        <v/>
      </c>
    </row>
    <row r="975">
      <c r="A975" s="15" t="str">
        <f>IFERROR(__xludf.DUMMYFUNCTION("IFERROR(INDEX(FILTER('RE Portfolio'!A$2:A2000,'RE Portfolio'!D$2:D2000=""BUY""), INT((ROW()-2)/amortYears)+1), )
"),"")</f>
        <v/>
      </c>
      <c r="B975" s="15" t="str">
        <f>IFERROR(__xludf.DUMMYFUNCTION("IFERROR(INDEX(FILTER('RE Portfolio'!B$2:B2000,'RE Portfolio'!D$2:D2000=""BUY""), INT((ROW()-2)/amortYears)+1), )
"),"")</f>
        <v/>
      </c>
      <c r="C975" s="15" t="str">
        <f>IFERROR(__xludf.DUMMYFUNCTION("IFERROR(INDEX(FILTER('RE Portfolio'!G$2:G2000,'RE Portfolio'!D$2:D2000=""BUY""), INT((ROW()-2)/amortYears)+1), )
"),"")</f>
        <v/>
      </c>
      <c r="D975" s="15">
        <f>MOD(ROW()-2, amortYears)+1</f>
        <v>24</v>
      </c>
      <c r="E975" s="15" t="str">
        <f t="shared" si="1"/>
        <v/>
      </c>
      <c r="F975" s="16">
        <f t="shared" si="2"/>
        <v>0</v>
      </c>
      <c r="G975" s="16">
        <f>IF(D975&lt;=mortTerm, -PMT(mortRate/12, mortTerm*12, C975)*12, 0)
</f>
        <v>0</v>
      </c>
      <c r="H975" s="16">
        <f>IF(D975&lt;=mortTerm, G975 - I975, 0)
</f>
        <v>0</v>
      </c>
      <c r="I975" s="16">
        <f>IF(D975&lt;=mortTerm, F975 - J975, 0)
</f>
        <v>0</v>
      </c>
      <c r="J975" s="16">
        <f>IF(D975&lt;=mortTerm,
   F975*(1+mortRate/12)^12 - (-PMT(mortRate/12, mortTerm*12, C975))*(((1+mortRate/12)^12 - 1)/(mortRate/12)),
   0
)
</f>
        <v>0</v>
      </c>
      <c r="K975" s="13" t="str">
        <f>IFERROR(__xludf.DUMMYFUNCTION("IF(A975="""","""",
   IF(F975&gt;0,
      INDEX(FILTER('RE Portfolio'!L$2:L2000,'RE Portfolio'!D$2:D2000=""BUY""), INT((ROW()-2)/amortYears)+1) - G975,
      INDEX(FILTER('RE Portfolio'!L$2:L2000,'RE Portfolio'!D$2:D2000=""BUY""), INT((ROW()-2)/amortYears)+1"&amp;")
   )
)
"),"")</f>
        <v/>
      </c>
      <c r="L975" s="15" t="str">
        <f>IFERROR(__xludf.DUMMYFUNCTION("IF(A975="""","""",
  INDEX(FILTER('RE Portfolio'!C$2:C2000,'RE Portfolio'!D$2:D2000=""BUY""), INT((ROW()-2)/amortYears)+1)
  * (1 + VALUE(Assumptions!$B$11))^(D975-1)
)
"),"")</f>
        <v/>
      </c>
    </row>
    <row r="976">
      <c r="A976" s="15" t="str">
        <f>IFERROR(__xludf.DUMMYFUNCTION("IFERROR(INDEX(FILTER('RE Portfolio'!A$2:A2000,'RE Portfolio'!D$2:D2000=""BUY""), INT((ROW()-2)/amortYears)+1), )
"),"")</f>
        <v/>
      </c>
      <c r="B976" s="15" t="str">
        <f>IFERROR(__xludf.DUMMYFUNCTION("IFERROR(INDEX(FILTER('RE Portfolio'!B$2:B2000,'RE Portfolio'!D$2:D2000=""BUY""), INT((ROW()-2)/amortYears)+1), )
"),"")</f>
        <v/>
      </c>
      <c r="C976" s="15" t="str">
        <f>IFERROR(__xludf.DUMMYFUNCTION("IFERROR(INDEX(FILTER('RE Portfolio'!G$2:G2000,'RE Portfolio'!D$2:D2000=""BUY""), INT((ROW()-2)/amortYears)+1), )
"),"")</f>
        <v/>
      </c>
      <c r="D976" s="15">
        <f>MOD(ROW()-2, amortYears)+1</f>
        <v>25</v>
      </c>
      <c r="E976" s="15" t="str">
        <f t="shared" si="1"/>
        <v/>
      </c>
      <c r="F976" s="16">
        <f t="shared" si="2"/>
        <v>0</v>
      </c>
      <c r="G976" s="16">
        <f>IF(D976&lt;=mortTerm, -PMT(mortRate/12, mortTerm*12, C976)*12, 0)
</f>
        <v>0</v>
      </c>
      <c r="H976" s="16">
        <f>IF(D976&lt;=mortTerm, G976 - I976, 0)
</f>
        <v>0</v>
      </c>
      <c r="I976" s="16">
        <f>IF(D976&lt;=mortTerm, F976 - J976, 0)
</f>
        <v>0</v>
      </c>
      <c r="J976" s="16">
        <f>IF(D976&lt;=mortTerm,
   F976*(1+mortRate/12)^12 - (-PMT(mortRate/12, mortTerm*12, C976))*(((1+mortRate/12)^12 - 1)/(mortRate/12)),
   0
)
</f>
        <v>0</v>
      </c>
      <c r="K976" s="13" t="str">
        <f>IFERROR(__xludf.DUMMYFUNCTION("IF(A976="""","""",
   IF(F976&gt;0,
      INDEX(FILTER('RE Portfolio'!L$2:L2000,'RE Portfolio'!D$2:D2000=""BUY""), INT((ROW()-2)/amortYears)+1) - G976,
      INDEX(FILTER('RE Portfolio'!L$2:L2000,'RE Portfolio'!D$2:D2000=""BUY""), INT((ROW()-2)/amortYears)+1"&amp;")
   )
)
"),"")</f>
        <v/>
      </c>
      <c r="L976" s="15" t="str">
        <f>IFERROR(__xludf.DUMMYFUNCTION("IF(A976="""","""",
  INDEX(FILTER('RE Portfolio'!C$2:C2000,'RE Portfolio'!D$2:D2000=""BUY""), INT((ROW()-2)/amortYears)+1)
  * (1 + VALUE(Assumptions!$B$11))^(D976-1)
)
"),"")</f>
        <v/>
      </c>
    </row>
    <row r="977">
      <c r="A977" s="15" t="str">
        <f>IFERROR(__xludf.DUMMYFUNCTION("IFERROR(INDEX(FILTER('RE Portfolio'!A$2:A2000,'RE Portfolio'!D$2:D2000=""BUY""), INT((ROW()-2)/amortYears)+1), )
"),"")</f>
        <v/>
      </c>
      <c r="B977" s="15" t="str">
        <f>IFERROR(__xludf.DUMMYFUNCTION("IFERROR(INDEX(FILTER('RE Portfolio'!B$2:B2000,'RE Portfolio'!D$2:D2000=""BUY""), INT((ROW()-2)/amortYears)+1), )
"),"")</f>
        <v/>
      </c>
      <c r="C977" s="15" t="str">
        <f>IFERROR(__xludf.DUMMYFUNCTION("IFERROR(INDEX(FILTER('RE Portfolio'!G$2:G2000,'RE Portfolio'!D$2:D2000=""BUY""), INT((ROW()-2)/amortYears)+1), )
"),"")</f>
        <v/>
      </c>
      <c r="D977" s="15">
        <f>MOD(ROW()-2, amortYears)+1</f>
        <v>26</v>
      </c>
      <c r="E977" s="15" t="str">
        <f t="shared" si="1"/>
        <v/>
      </c>
      <c r="F977" s="16">
        <f t="shared" si="2"/>
        <v>0</v>
      </c>
      <c r="G977" s="16">
        <f>IF(D977&lt;=mortTerm, -PMT(mortRate/12, mortTerm*12, C977)*12, 0)
</f>
        <v>0</v>
      </c>
      <c r="H977" s="16">
        <f>IF(D977&lt;=mortTerm, G977 - I977, 0)
</f>
        <v>0</v>
      </c>
      <c r="I977" s="16">
        <f>IF(D977&lt;=mortTerm, F977 - J977, 0)
</f>
        <v>0</v>
      </c>
      <c r="J977" s="16">
        <f>IF(D977&lt;=mortTerm,
   F977*(1+mortRate/12)^12 - (-PMT(mortRate/12, mortTerm*12, C977))*(((1+mortRate/12)^12 - 1)/(mortRate/12)),
   0
)
</f>
        <v>0</v>
      </c>
      <c r="K977" s="13" t="str">
        <f>IFERROR(__xludf.DUMMYFUNCTION("IF(A977="""","""",
   IF(F977&gt;0,
      INDEX(FILTER('RE Portfolio'!L$2:L2000,'RE Portfolio'!D$2:D2000=""BUY""), INT((ROW()-2)/amortYears)+1) - G977,
      INDEX(FILTER('RE Portfolio'!L$2:L2000,'RE Portfolio'!D$2:D2000=""BUY""), INT((ROW()-2)/amortYears)+1"&amp;")
   )
)
"),"")</f>
        <v/>
      </c>
      <c r="L977" s="15" t="str">
        <f>IFERROR(__xludf.DUMMYFUNCTION("IF(A977="""","""",
  INDEX(FILTER('RE Portfolio'!C$2:C2000,'RE Portfolio'!D$2:D2000=""BUY""), INT((ROW()-2)/amortYears)+1)
  * (1 + VALUE(Assumptions!$B$11))^(D977-1)
)
"),"")</f>
        <v/>
      </c>
    </row>
    <row r="978">
      <c r="A978" s="15" t="str">
        <f>IFERROR(__xludf.DUMMYFUNCTION("IFERROR(INDEX(FILTER('RE Portfolio'!A$2:A2000,'RE Portfolio'!D$2:D2000=""BUY""), INT((ROW()-2)/amortYears)+1), )
"),"")</f>
        <v/>
      </c>
      <c r="B978" s="15" t="str">
        <f>IFERROR(__xludf.DUMMYFUNCTION("IFERROR(INDEX(FILTER('RE Portfolio'!B$2:B2000,'RE Portfolio'!D$2:D2000=""BUY""), INT((ROW()-2)/amortYears)+1), )
"),"")</f>
        <v/>
      </c>
      <c r="C978" s="15" t="str">
        <f>IFERROR(__xludf.DUMMYFUNCTION("IFERROR(INDEX(FILTER('RE Portfolio'!G$2:G2000,'RE Portfolio'!D$2:D2000=""BUY""), INT((ROW()-2)/amortYears)+1), )
"),"")</f>
        <v/>
      </c>
      <c r="D978" s="15">
        <f>MOD(ROW()-2, amortYears)+1</f>
        <v>27</v>
      </c>
      <c r="E978" s="15" t="str">
        <f t="shared" si="1"/>
        <v/>
      </c>
      <c r="F978" s="16">
        <f t="shared" si="2"/>
        <v>0</v>
      </c>
      <c r="G978" s="16">
        <f>IF(D978&lt;=mortTerm, -PMT(mortRate/12, mortTerm*12, C978)*12, 0)
</f>
        <v>0</v>
      </c>
      <c r="H978" s="16">
        <f>IF(D978&lt;=mortTerm, G978 - I978, 0)
</f>
        <v>0</v>
      </c>
      <c r="I978" s="16">
        <f>IF(D978&lt;=mortTerm, F978 - J978, 0)
</f>
        <v>0</v>
      </c>
      <c r="J978" s="16">
        <f>IF(D978&lt;=mortTerm,
   F978*(1+mortRate/12)^12 - (-PMT(mortRate/12, mortTerm*12, C978))*(((1+mortRate/12)^12 - 1)/(mortRate/12)),
   0
)
</f>
        <v>0</v>
      </c>
      <c r="K978" s="13" t="str">
        <f>IFERROR(__xludf.DUMMYFUNCTION("IF(A978="""","""",
   IF(F978&gt;0,
      INDEX(FILTER('RE Portfolio'!L$2:L2000,'RE Portfolio'!D$2:D2000=""BUY""), INT((ROW()-2)/amortYears)+1) - G978,
      INDEX(FILTER('RE Portfolio'!L$2:L2000,'RE Portfolio'!D$2:D2000=""BUY""), INT((ROW()-2)/amortYears)+1"&amp;")
   )
)
"),"")</f>
        <v/>
      </c>
      <c r="L978" s="15" t="str">
        <f>IFERROR(__xludf.DUMMYFUNCTION("IF(A978="""","""",
  INDEX(FILTER('RE Portfolio'!C$2:C2000,'RE Portfolio'!D$2:D2000=""BUY""), INT((ROW()-2)/amortYears)+1)
  * (1 + VALUE(Assumptions!$B$11))^(D978-1)
)
"),"")</f>
        <v/>
      </c>
    </row>
    <row r="979">
      <c r="A979" s="15" t="str">
        <f>IFERROR(__xludf.DUMMYFUNCTION("IFERROR(INDEX(FILTER('RE Portfolio'!A$2:A2000,'RE Portfolio'!D$2:D2000=""BUY""), INT((ROW()-2)/amortYears)+1), )
"),"")</f>
        <v/>
      </c>
      <c r="B979" s="15" t="str">
        <f>IFERROR(__xludf.DUMMYFUNCTION("IFERROR(INDEX(FILTER('RE Portfolio'!B$2:B2000,'RE Portfolio'!D$2:D2000=""BUY""), INT((ROW()-2)/amortYears)+1), )
"),"")</f>
        <v/>
      </c>
      <c r="C979" s="15" t="str">
        <f>IFERROR(__xludf.DUMMYFUNCTION("IFERROR(INDEX(FILTER('RE Portfolio'!G$2:G2000,'RE Portfolio'!D$2:D2000=""BUY""), INT((ROW()-2)/amortYears)+1), )
"),"")</f>
        <v/>
      </c>
      <c r="D979" s="15">
        <f>MOD(ROW()-2, amortYears)+1</f>
        <v>28</v>
      </c>
      <c r="E979" s="15" t="str">
        <f t="shared" si="1"/>
        <v/>
      </c>
      <c r="F979" s="16">
        <f t="shared" si="2"/>
        <v>0</v>
      </c>
      <c r="G979" s="16">
        <f>IF(D979&lt;=mortTerm, -PMT(mortRate/12, mortTerm*12, C979)*12, 0)
</f>
        <v>0</v>
      </c>
      <c r="H979" s="16">
        <f>IF(D979&lt;=mortTerm, G979 - I979, 0)
</f>
        <v>0</v>
      </c>
      <c r="I979" s="16">
        <f>IF(D979&lt;=mortTerm, F979 - J979, 0)
</f>
        <v>0</v>
      </c>
      <c r="J979" s="16">
        <f>IF(D979&lt;=mortTerm,
   F979*(1+mortRate/12)^12 - (-PMT(mortRate/12, mortTerm*12, C979))*(((1+mortRate/12)^12 - 1)/(mortRate/12)),
   0
)
</f>
        <v>0</v>
      </c>
      <c r="K979" s="13" t="str">
        <f>IFERROR(__xludf.DUMMYFUNCTION("IF(A979="""","""",
   IF(F979&gt;0,
      INDEX(FILTER('RE Portfolio'!L$2:L2000,'RE Portfolio'!D$2:D2000=""BUY""), INT((ROW()-2)/amortYears)+1) - G979,
      INDEX(FILTER('RE Portfolio'!L$2:L2000,'RE Portfolio'!D$2:D2000=""BUY""), INT((ROW()-2)/amortYears)+1"&amp;")
   )
)
"),"")</f>
        <v/>
      </c>
      <c r="L979" s="15" t="str">
        <f>IFERROR(__xludf.DUMMYFUNCTION("IF(A979="""","""",
  INDEX(FILTER('RE Portfolio'!C$2:C2000,'RE Portfolio'!D$2:D2000=""BUY""), INT((ROW()-2)/amortYears)+1)
  * (1 + VALUE(Assumptions!$B$11))^(D979-1)
)
"),"")</f>
        <v/>
      </c>
    </row>
    <row r="980">
      <c r="A980" s="15" t="str">
        <f>IFERROR(__xludf.DUMMYFUNCTION("IFERROR(INDEX(FILTER('RE Portfolio'!A$2:A2000,'RE Portfolio'!D$2:D2000=""BUY""), INT((ROW()-2)/amortYears)+1), )
"),"")</f>
        <v/>
      </c>
      <c r="B980" s="15" t="str">
        <f>IFERROR(__xludf.DUMMYFUNCTION("IFERROR(INDEX(FILTER('RE Portfolio'!B$2:B2000,'RE Portfolio'!D$2:D2000=""BUY""), INT((ROW()-2)/amortYears)+1), )
"),"")</f>
        <v/>
      </c>
      <c r="C980" s="15" t="str">
        <f>IFERROR(__xludf.DUMMYFUNCTION("IFERROR(INDEX(FILTER('RE Portfolio'!G$2:G2000,'RE Portfolio'!D$2:D2000=""BUY""), INT((ROW()-2)/amortYears)+1), )
"),"")</f>
        <v/>
      </c>
      <c r="D980" s="15">
        <f>MOD(ROW()-2, amortYears)+1</f>
        <v>29</v>
      </c>
      <c r="E980" s="15" t="str">
        <f t="shared" si="1"/>
        <v/>
      </c>
      <c r="F980" s="16">
        <f t="shared" si="2"/>
        <v>0</v>
      </c>
      <c r="G980" s="16">
        <f>IF(D980&lt;=mortTerm, -PMT(mortRate/12, mortTerm*12, C980)*12, 0)
</f>
        <v>0</v>
      </c>
      <c r="H980" s="16">
        <f>IF(D980&lt;=mortTerm, G980 - I980, 0)
</f>
        <v>0</v>
      </c>
      <c r="I980" s="16">
        <f>IF(D980&lt;=mortTerm, F980 - J980, 0)
</f>
        <v>0</v>
      </c>
      <c r="J980" s="16">
        <f>IF(D980&lt;=mortTerm,
   F980*(1+mortRate/12)^12 - (-PMT(mortRate/12, mortTerm*12, C980))*(((1+mortRate/12)^12 - 1)/(mortRate/12)),
   0
)
</f>
        <v>0</v>
      </c>
      <c r="K980" s="13" t="str">
        <f>IFERROR(__xludf.DUMMYFUNCTION("IF(A980="""","""",
   IF(F980&gt;0,
      INDEX(FILTER('RE Portfolio'!L$2:L2000,'RE Portfolio'!D$2:D2000=""BUY""), INT((ROW()-2)/amortYears)+1) - G980,
      INDEX(FILTER('RE Portfolio'!L$2:L2000,'RE Portfolio'!D$2:D2000=""BUY""), INT((ROW()-2)/amortYears)+1"&amp;")
   )
)
"),"")</f>
        <v/>
      </c>
      <c r="L980" s="15" t="str">
        <f>IFERROR(__xludf.DUMMYFUNCTION("IF(A980="""","""",
  INDEX(FILTER('RE Portfolio'!C$2:C2000,'RE Portfolio'!D$2:D2000=""BUY""), INT((ROW()-2)/amortYears)+1)
  * (1 + VALUE(Assumptions!$B$11))^(D980-1)
)
"),"")</f>
        <v/>
      </c>
    </row>
    <row r="981">
      <c r="A981" s="15" t="str">
        <f>IFERROR(__xludf.DUMMYFUNCTION("IFERROR(INDEX(FILTER('RE Portfolio'!A$2:A2000,'RE Portfolio'!D$2:D2000=""BUY""), INT((ROW()-2)/amortYears)+1), )
"),"")</f>
        <v/>
      </c>
      <c r="B981" s="15" t="str">
        <f>IFERROR(__xludf.DUMMYFUNCTION("IFERROR(INDEX(FILTER('RE Portfolio'!B$2:B2000,'RE Portfolio'!D$2:D2000=""BUY""), INT((ROW()-2)/amortYears)+1), )
"),"")</f>
        <v/>
      </c>
      <c r="C981" s="15" t="str">
        <f>IFERROR(__xludf.DUMMYFUNCTION("IFERROR(INDEX(FILTER('RE Portfolio'!G$2:G2000,'RE Portfolio'!D$2:D2000=""BUY""), INT((ROW()-2)/amortYears)+1), )
"),"")</f>
        <v/>
      </c>
      <c r="D981" s="15">
        <f>MOD(ROW()-2, amortYears)+1</f>
        <v>30</v>
      </c>
      <c r="E981" s="15" t="str">
        <f t="shared" si="1"/>
        <v/>
      </c>
      <c r="F981" s="16">
        <f t="shared" si="2"/>
        <v>0</v>
      </c>
      <c r="G981" s="16">
        <f>IF(D981&lt;=mortTerm, -PMT(mortRate/12, mortTerm*12, C981)*12, 0)
</f>
        <v>0</v>
      </c>
      <c r="H981" s="16">
        <f>IF(D981&lt;=mortTerm, G981 - I981, 0)
</f>
        <v>0</v>
      </c>
      <c r="I981" s="16">
        <f>IF(D981&lt;=mortTerm, F981 - J981, 0)
</f>
        <v>0</v>
      </c>
      <c r="J981" s="16">
        <f>IF(D981&lt;=mortTerm,
   F981*(1+mortRate/12)^12 - (-PMT(mortRate/12, mortTerm*12, C981))*(((1+mortRate/12)^12 - 1)/(mortRate/12)),
   0
)
</f>
        <v>0</v>
      </c>
      <c r="K981" s="13" t="str">
        <f>IFERROR(__xludf.DUMMYFUNCTION("IF(A981="""","""",
   IF(F981&gt;0,
      INDEX(FILTER('RE Portfolio'!L$2:L2000,'RE Portfolio'!D$2:D2000=""BUY""), INT((ROW()-2)/amortYears)+1) - G981,
      INDEX(FILTER('RE Portfolio'!L$2:L2000,'RE Portfolio'!D$2:D2000=""BUY""), INT((ROW()-2)/amortYears)+1"&amp;")
   )
)
"),"")</f>
        <v/>
      </c>
      <c r="L981" s="15" t="str">
        <f>IFERROR(__xludf.DUMMYFUNCTION("IF(A981="""","""",
  INDEX(FILTER('RE Portfolio'!C$2:C2000,'RE Portfolio'!D$2:D2000=""BUY""), INT((ROW()-2)/amortYears)+1)
  * (1 + VALUE(Assumptions!$B$11))^(D981-1)
)
"),"")</f>
        <v/>
      </c>
    </row>
    <row r="982">
      <c r="A982" s="15" t="str">
        <f>IFERROR(__xludf.DUMMYFUNCTION("IFERROR(INDEX(FILTER('RE Portfolio'!A$2:A2000,'RE Portfolio'!D$2:D2000=""BUY""), INT((ROW()-2)/amortYears)+1), )
"),"")</f>
        <v/>
      </c>
      <c r="B982" s="15" t="str">
        <f>IFERROR(__xludf.DUMMYFUNCTION("IFERROR(INDEX(FILTER('RE Portfolio'!B$2:B2000,'RE Portfolio'!D$2:D2000=""BUY""), INT((ROW()-2)/amortYears)+1), )
"),"")</f>
        <v/>
      </c>
      <c r="C982" s="15" t="str">
        <f>IFERROR(__xludf.DUMMYFUNCTION("IFERROR(INDEX(FILTER('RE Portfolio'!G$2:G2000,'RE Portfolio'!D$2:D2000=""BUY""), INT((ROW()-2)/amortYears)+1), )
"),"")</f>
        <v/>
      </c>
      <c r="D982" s="15">
        <f>MOD(ROW()-2, amortYears)+1</f>
        <v>31</v>
      </c>
      <c r="E982" s="15" t="str">
        <f t="shared" si="1"/>
        <v/>
      </c>
      <c r="F982" s="16">
        <f t="shared" si="2"/>
        <v>0</v>
      </c>
      <c r="G982" s="15">
        <f>IF(D982&lt;=mortTerm, -PMT(mortRate/12, mortTerm*12, C982)*12, 0)
</f>
        <v>0</v>
      </c>
      <c r="H982" s="15">
        <f>IF(D982&lt;=mortTerm, G982 - I982, 0)
</f>
        <v>0</v>
      </c>
      <c r="I982" s="15">
        <f>IF(D982&lt;=mortTerm, F982 - J982, 0)
</f>
        <v>0</v>
      </c>
      <c r="J982" s="15">
        <f>IF(D982&lt;=mortTerm,
   F982*(1+mortRate/12)^12 - (-PMT(mortRate/12, mortTerm*12, C982))*(((1+mortRate/12)^12 - 1)/(mortRate/12)),
   0
)
</f>
        <v>0</v>
      </c>
      <c r="K982" s="13" t="str">
        <f>IFERROR(__xludf.DUMMYFUNCTION("IF(A982="""","""",
   IF(F982&gt;0,
      INDEX(FILTER('RE Portfolio'!L$2:L2000,'RE Portfolio'!D$2:D2000=""BUY""), INT((ROW()-2)/amortYears)+1) - G982,
      INDEX(FILTER('RE Portfolio'!L$2:L2000,'RE Portfolio'!D$2:D2000=""BUY""), INT((ROW()-2)/amortYears)+1"&amp;")
   )
)
"),"")</f>
        <v/>
      </c>
      <c r="L982" s="15" t="str">
        <f>IFERROR(__xludf.DUMMYFUNCTION("IF(A982="""","""",
  INDEX(FILTER('RE Portfolio'!C$2:C2000,'RE Portfolio'!D$2:D2000=""BUY""), INT((ROW()-2)/amortYears)+1)
  * (1 + VALUE(Assumptions!$B$11))^(D982-1)
)
"),"")</f>
        <v/>
      </c>
    </row>
    <row r="983">
      <c r="A983" s="15" t="str">
        <f>IFERROR(__xludf.DUMMYFUNCTION("IFERROR(INDEX(FILTER('RE Portfolio'!A$2:A2000,'RE Portfolio'!D$2:D2000=""BUY""), INT((ROW()-2)/amortYears)+1), )
"),"")</f>
        <v/>
      </c>
      <c r="B983" s="15" t="str">
        <f>IFERROR(__xludf.DUMMYFUNCTION("IFERROR(INDEX(FILTER('RE Portfolio'!B$2:B2000,'RE Portfolio'!D$2:D2000=""BUY""), INT((ROW()-2)/amortYears)+1), )
"),"")</f>
        <v/>
      </c>
      <c r="C983" s="15" t="str">
        <f>IFERROR(__xludf.DUMMYFUNCTION("IFERROR(INDEX(FILTER('RE Portfolio'!G$2:G2000,'RE Portfolio'!D$2:D2000=""BUY""), INT((ROW()-2)/amortYears)+1), )
"),"")</f>
        <v/>
      </c>
      <c r="D983" s="15">
        <f>MOD(ROW()-2, amortYears)+1</f>
        <v>32</v>
      </c>
      <c r="E983" s="15" t="str">
        <f t="shared" si="1"/>
        <v/>
      </c>
      <c r="F983" s="15">
        <f t="shared" si="2"/>
        <v>0</v>
      </c>
      <c r="G983" s="15">
        <f>IF(D983&lt;=mortTerm, -PMT(mortRate/12, mortTerm*12, C983)*12, 0)
</f>
        <v>0</v>
      </c>
      <c r="H983" s="15">
        <f>IF(D983&lt;=mortTerm, G983 - I983, 0)
</f>
        <v>0</v>
      </c>
      <c r="I983" s="15">
        <f>IF(D983&lt;=mortTerm, F983 - J983, 0)
</f>
        <v>0</v>
      </c>
      <c r="J983" s="15">
        <f>IF(D983&lt;=mortTerm,
   F983*(1+mortRate/12)^12 - (-PMT(mortRate/12, mortTerm*12, C983))*(((1+mortRate/12)^12 - 1)/(mortRate/12)),
   0
)
</f>
        <v>0</v>
      </c>
      <c r="K983" s="13" t="str">
        <f>IFERROR(__xludf.DUMMYFUNCTION("IF(A983="""","""",
   IF(F983&gt;0,
      INDEX(FILTER('RE Portfolio'!L$2:L2000,'RE Portfolio'!D$2:D2000=""BUY""), INT((ROW()-2)/amortYears)+1) - G983,
      INDEX(FILTER('RE Portfolio'!L$2:L2000,'RE Portfolio'!D$2:D2000=""BUY""), INT((ROW()-2)/amortYears)+1"&amp;")
   )
)
"),"")</f>
        <v/>
      </c>
      <c r="L983" s="15" t="str">
        <f>IFERROR(__xludf.DUMMYFUNCTION("IF(A983="""","""",
  INDEX(FILTER('RE Portfolio'!C$2:C2000,'RE Portfolio'!D$2:D2000=""BUY""), INT((ROW()-2)/amortYears)+1)
  * (1 + VALUE(Assumptions!$B$11))^(D983-1)
)
"),"")</f>
        <v/>
      </c>
    </row>
    <row r="984">
      <c r="A984" s="15" t="str">
        <f>IFERROR(__xludf.DUMMYFUNCTION("IFERROR(INDEX(FILTER('RE Portfolio'!A$2:A2000,'RE Portfolio'!D$2:D2000=""BUY""), INT((ROW()-2)/amortYears)+1), )
"),"")</f>
        <v/>
      </c>
      <c r="B984" s="15" t="str">
        <f>IFERROR(__xludf.DUMMYFUNCTION("IFERROR(INDEX(FILTER('RE Portfolio'!B$2:B2000,'RE Portfolio'!D$2:D2000=""BUY""), INT((ROW()-2)/amortYears)+1), )
"),"")</f>
        <v/>
      </c>
      <c r="C984" s="15" t="str">
        <f>IFERROR(__xludf.DUMMYFUNCTION("IFERROR(INDEX(FILTER('RE Portfolio'!G$2:G2000,'RE Portfolio'!D$2:D2000=""BUY""), INT((ROW()-2)/amortYears)+1), )
"),"")</f>
        <v/>
      </c>
      <c r="D984" s="15">
        <f>MOD(ROW()-2, amortYears)+1</f>
        <v>33</v>
      </c>
      <c r="E984" s="15" t="str">
        <f t="shared" si="1"/>
        <v/>
      </c>
      <c r="F984" s="15">
        <f t="shared" si="2"/>
        <v>0</v>
      </c>
      <c r="G984" s="15">
        <f>IF(D984&lt;=mortTerm, -PMT(mortRate/12, mortTerm*12, C984)*12, 0)
</f>
        <v>0</v>
      </c>
      <c r="H984" s="15">
        <f>IF(D984&lt;=mortTerm, G984 - I984, 0)
</f>
        <v>0</v>
      </c>
      <c r="I984" s="15">
        <f>IF(D984&lt;=mortTerm, F984 - J984, 0)
</f>
        <v>0</v>
      </c>
      <c r="J984" s="15">
        <f>IF(D984&lt;=mortTerm,
   F984*(1+mortRate/12)^12 - (-PMT(mortRate/12, mortTerm*12, C984))*(((1+mortRate/12)^12 - 1)/(mortRate/12)),
   0
)
</f>
        <v>0</v>
      </c>
      <c r="K984" s="13" t="str">
        <f>IFERROR(__xludf.DUMMYFUNCTION("IF(A984="""","""",
   IF(F984&gt;0,
      INDEX(FILTER('RE Portfolio'!L$2:L2000,'RE Portfolio'!D$2:D2000=""BUY""), INT((ROW()-2)/amortYears)+1) - G984,
      INDEX(FILTER('RE Portfolio'!L$2:L2000,'RE Portfolio'!D$2:D2000=""BUY""), INT((ROW()-2)/amortYears)+1"&amp;")
   )
)
"),"")</f>
        <v/>
      </c>
      <c r="L984" s="15" t="str">
        <f>IFERROR(__xludf.DUMMYFUNCTION("IF(A984="""","""",
  INDEX(FILTER('RE Portfolio'!C$2:C2000,'RE Portfolio'!D$2:D2000=""BUY""), INT((ROW()-2)/amortYears)+1)
  * (1 + VALUE(Assumptions!$B$11))^(D984-1)
)
"),"")</f>
        <v/>
      </c>
    </row>
    <row r="985">
      <c r="A985" s="15" t="str">
        <f>IFERROR(__xludf.DUMMYFUNCTION("IFERROR(INDEX(FILTER('RE Portfolio'!A$2:A2000,'RE Portfolio'!D$2:D2000=""BUY""), INT((ROW()-2)/amortYears)+1), )
"),"")</f>
        <v/>
      </c>
      <c r="B985" s="15" t="str">
        <f>IFERROR(__xludf.DUMMYFUNCTION("IFERROR(INDEX(FILTER('RE Portfolio'!B$2:B2000,'RE Portfolio'!D$2:D2000=""BUY""), INT((ROW()-2)/amortYears)+1), )
"),"")</f>
        <v/>
      </c>
      <c r="C985" s="15" t="str">
        <f>IFERROR(__xludf.DUMMYFUNCTION("IFERROR(INDEX(FILTER('RE Portfolio'!G$2:G2000,'RE Portfolio'!D$2:D2000=""BUY""), INT((ROW()-2)/amortYears)+1), )
"),"")</f>
        <v/>
      </c>
      <c r="D985" s="15">
        <f>MOD(ROW()-2, amortYears)+1</f>
        <v>34</v>
      </c>
      <c r="E985" s="15" t="str">
        <f t="shared" si="1"/>
        <v/>
      </c>
      <c r="F985" s="15">
        <f t="shared" si="2"/>
        <v>0</v>
      </c>
      <c r="G985" s="15">
        <f>IF(D985&lt;=mortTerm, -PMT(mortRate/12, mortTerm*12, C985)*12, 0)
</f>
        <v>0</v>
      </c>
      <c r="H985" s="15">
        <f>IF(D985&lt;=mortTerm, G985 - I985, 0)
</f>
        <v>0</v>
      </c>
      <c r="I985" s="15">
        <f>IF(D985&lt;=mortTerm, F985 - J985, 0)
</f>
        <v>0</v>
      </c>
      <c r="J985" s="15">
        <f>IF(D985&lt;=mortTerm,
   F985*(1+mortRate/12)^12 - (-PMT(mortRate/12, mortTerm*12, C985))*(((1+mortRate/12)^12 - 1)/(mortRate/12)),
   0
)
</f>
        <v>0</v>
      </c>
      <c r="K985" s="13" t="str">
        <f>IFERROR(__xludf.DUMMYFUNCTION("IF(A985="""","""",
   IF(F985&gt;0,
      INDEX(FILTER('RE Portfolio'!L$2:L2000,'RE Portfolio'!D$2:D2000=""BUY""), INT((ROW()-2)/amortYears)+1) - G985,
      INDEX(FILTER('RE Portfolio'!L$2:L2000,'RE Portfolio'!D$2:D2000=""BUY""), INT((ROW()-2)/amortYears)+1"&amp;")
   )
)
"),"")</f>
        <v/>
      </c>
      <c r="L985" s="15" t="str">
        <f>IFERROR(__xludf.DUMMYFUNCTION("IF(A985="""","""",
  INDEX(FILTER('RE Portfolio'!C$2:C2000,'RE Portfolio'!D$2:D2000=""BUY""), INT((ROW()-2)/amortYears)+1)
  * (1 + VALUE(Assumptions!$B$11))^(D985-1)
)
"),"")</f>
        <v/>
      </c>
    </row>
    <row r="986">
      <c r="A986" s="15" t="str">
        <f>IFERROR(__xludf.DUMMYFUNCTION("IFERROR(INDEX(FILTER('RE Portfolio'!A$2:A2000,'RE Portfolio'!D$2:D2000=""BUY""), INT((ROW()-2)/amortYears)+1), )
"),"")</f>
        <v/>
      </c>
      <c r="B986" s="15" t="str">
        <f>IFERROR(__xludf.DUMMYFUNCTION("IFERROR(INDEX(FILTER('RE Portfolio'!B$2:B2000,'RE Portfolio'!D$2:D2000=""BUY""), INT((ROW()-2)/amortYears)+1), )
"),"")</f>
        <v/>
      </c>
      <c r="C986" s="15" t="str">
        <f>IFERROR(__xludf.DUMMYFUNCTION("IFERROR(INDEX(FILTER('RE Portfolio'!G$2:G2000,'RE Portfolio'!D$2:D2000=""BUY""), INT((ROW()-2)/amortYears)+1), )
"),"")</f>
        <v/>
      </c>
      <c r="D986" s="15">
        <f>MOD(ROW()-2, amortYears)+1</f>
        <v>35</v>
      </c>
      <c r="E986" s="15" t="str">
        <f t="shared" si="1"/>
        <v/>
      </c>
      <c r="F986" s="15">
        <f t="shared" si="2"/>
        <v>0</v>
      </c>
      <c r="G986" s="15">
        <f>IF(D986&lt;=mortTerm, -PMT(mortRate/12, mortTerm*12, C986)*12, 0)
</f>
        <v>0</v>
      </c>
      <c r="H986" s="15">
        <f>IF(D986&lt;=mortTerm, G986 - I986, 0)
</f>
        <v>0</v>
      </c>
      <c r="I986" s="15">
        <f>IF(D986&lt;=mortTerm, F986 - J986, 0)
</f>
        <v>0</v>
      </c>
      <c r="J986" s="15">
        <f>IF(D986&lt;=mortTerm,
   F986*(1+mortRate/12)^12 - (-PMT(mortRate/12, mortTerm*12, C986))*(((1+mortRate/12)^12 - 1)/(mortRate/12)),
   0
)
</f>
        <v>0</v>
      </c>
      <c r="K986" s="13" t="str">
        <f>IFERROR(__xludf.DUMMYFUNCTION("IF(A986="""","""",
   IF(F986&gt;0,
      INDEX(FILTER('RE Portfolio'!L$2:L2000,'RE Portfolio'!D$2:D2000=""BUY""), INT((ROW()-2)/amortYears)+1) - G986,
      INDEX(FILTER('RE Portfolio'!L$2:L2000,'RE Portfolio'!D$2:D2000=""BUY""), INT((ROW()-2)/amortYears)+1"&amp;")
   )
)
"),"")</f>
        <v/>
      </c>
      <c r="L986" s="15" t="str">
        <f>IFERROR(__xludf.DUMMYFUNCTION("IF(A986="""","""",
  INDEX(FILTER('RE Portfolio'!C$2:C2000,'RE Portfolio'!D$2:D2000=""BUY""), INT((ROW()-2)/amortYears)+1)
  * (1 + VALUE(Assumptions!$B$11))^(D986-1)
)
"),"")</f>
        <v/>
      </c>
    </row>
    <row r="987">
      <c r="A987" s="15" t="str">
        <f>IFERROR(__xludf.DUMMYFUNCTION("IFERROR(INDEX(FILTER('RE Portfolio'!A$2:A2000,'RE Portfolio'!D$2:D2000=""BUY""), INT((ROW()-2)/amortYears)+1), )
"),"")</f>
        <v/>
      </c>
      <c r="B987" s="15" t="str">
        <f>IFERROR(__xludf.DUMMYFUNCTION("IFERROR(INDEX(FILTER('RE Portfolio'!B$2:B2000,'RE Portfolio'!D$2:D2000=""BUY""), INT((ROW()-2)/amortYears)+1), )
"),"")</f>
        <v/>
      </c>
      <c r="C987" s="15" t="str">
        <f>IFERROR(__xludf.DUMMYFUNCTION("IFERROR(INDEX(FILTER('RE Portfolio'!G$2:G2000,'RE Portfolio'!D$2:D2000=""BUY""), INT((ROW()-2)/amortYears)+1), )
"),"")</f>
        <v/>
      </c>
      <c r="D987" s="15">
        <f>MOD(ROW()-2, amortYears)+1</f>
        <v>36</v>
      </c>
      <c r="E987" s="15" t="str">
        <f t="shared" si="1"/>
        <v/>
      </c>
      <c r="F987" s="15">
        <f t="shared" si="2"/>
        <v>0</v>
      </c>
      <c r="G987" s="15">
        <f>IF(D987&lt;=mortTerm, -PMT(mortRate/12, mortTerm*12, C987)*12, 0)
</f>
        <v>0</v>
      </c>
      <c r="H987" s="15">
        <f>IF(D987&lt;=mortTerm, G987 - I987, 0)
</f>
        <v>0</v>
      </c>
      <c r="I987" s="15">
        <f>IF(D987&lt;=mortTerm, F987 - J987, 0)
</f>
        <v>0</v>
      </c>
      <c r="J987" s="15">
        <f>IF(D987&lt;=mortTerm,
   F987*(1+mortRate/12)^12 - (-PMT(mortRate/12, mortTerm*12, C987))*(((1+mortRate/12)^12 - 1)/(mortRate/12)),
   0
)
</f>
        <v>0</v>
      </c>
      <c r="K987" s="13" t="str">
        <f>IFERROR(__xludf.DUMMYFUNCTION("IF(A987="""","""",
   IF(F987&gt;0,
      INDEX(FILTER('RE Portfolio'!L$2:L2000,'RE Portfolio'!D$2:D2000=""BUY""), INT((ROW()-2)/amortYears)+1) - G987,
      INDEX(FILTER('RE Portfolio'!L$2:L2000,'RE Portfolio'!D$2:D2000=""BUY""), INT((ROW()-2)/amortYears)+1"&amp;")
   )
)
"),"")</f>
        <v/>
      </c>
      <c r="L987" s="15" t="str">
        <f>IFERROR(__xludf.DUMMYFUNCTION("IF(A987="""","""",
  INDEX(FILTER('RE Portfolio'!C$2:C2000,'RE Portfolio'!D$2:D2000=""BUY""), INT((ROW()-2)/amortYears)+1)
  * (1 + VALUE(Assumptions!$B$11))^(D987-1)
)
"),"")</f>
        <v/>
      </c>
    </row>
    <row r="988">
      <c r="A988" s="15" t="str">
        <f>IFERROR(__xludf.DUMMYFUNCTION("IFERROR(INDEX(FILTER('RE Portfolio'!A$2:A2000,'RE Portfolio'!D$2:D2000=""BUY""), INT((ROW()-2)/amortYears)+1), )
"),"")</f>
        <v/>
      </c>
      <c r="B988" s="15" t="str">
        <f>IFERROR(__xludf.DUMMYFUNCTION("IFERROR(INDEX(FILTER('RE Portfolio'!B$2:B2000,'RE Portfolio'!D$2:D2000=""BUY""), INT((ROW()-2)/amortYears)+1), )
"),"")</f>
        <v/>
      </c>
      <c r="C988" s="15" t="str">
        <f>IFERROR(__xludf.DUMMYFUNCTION("IFERROR(INDEX(FILTER('RE Portfolio'!G$2:G2000,'RE Portfolio'!D$2:D2000=""BUY""), INT((ROW()-2)/amortYears)+1), )
"),"")</f>
        <v/>
      </c>
      <c r="D988" s="15">
        <f>MOD(ROW()-2, amortYears)+1</f>
        <v>37</v>
      </c>
      <c r="E988" s="15" t="str">
        <f t="shared" si="1"/>
        <v/>
      </c>
      <c r="F988" s="15">
        <f t="shared" si="2"/>
        <v>0</v>
      </c>
      <c r="G988" s="15">
        <f>IF(D988&lt;=mortTerm, -PMT(mortRate/12, mortTerm*12, C988)*12, 0)
</f>
        <v>0</v>
      </c>
      <c r="H988" s="15">
        <f>IF(D988&lt;=mortTerm, G988 - I988, 0)
</f>
        <v>0</v>
      </c>
      <c r="I988" s="15">
        <f>IF(D988&lt;=mortTerm, F988 - J988, 0)
</f>
        <v>0</v>
      </c>
      <c r="J988" s="15">
        <f>IF(D988&lt;=mortTerm,
   F988*(1+mortRate/12)^12 - (-PMT(mortRate/12, mortTerm*12, C988))*(((1+mortRate/12)^12 - 1)/(mortRate/12)),
   0
)
</f>
        <v>0</v>
      </c>
      <c r="K988" s="13" t="str">
        <f>IFERROR(__xludf.DUMMYFUNCTION("IF(A988="""","""",
   IF(F988&gt;0,
      INDEX(FILTER('RE Portfolio'!L$2:L2000,'RE Portfolio'!D$2:D2000=""BUY""), INT((ROW()-2)/amortYears)+1) - G988,
      INDEX(FILTER('RE Portfolio'!L$2:L2000,'RE Portfolio'!D$2:D2000=""BUY""), INT((ROW()-2)/amortYears)+1"&amp;")
   )
)
"),"")</f>
        <v/>
      </c>
      <c r="L988" s="15" t="str">
        <f>IFERROR(__xludf.DUMMYFUNCTION("IF(A988="""","""",
  INDEX(FILTER('RE Portfolio'!C$2:C2000,'RE Portfolio'!D$2:D2000=""BUY""), INT((ROW()-2)/amortYears)+1)
  * (1 + VALUE(Assumptions!$B$11))^(D988-1)
)
"),"")</f>
        <v/>
      </c>
    </row>
    <row r="989">
      <c r="A989" s="15" t="str">
        <f>IFERROR(__xludf.DUMMYFUNCTION("IFERROR(INDEX(FILTER('RE Portfolio'!A$2:A2000,'RE Portfolio'!D$2:D2000=""BUY""), INT((ROW()-2)/amortYears)+1), )
"),"")</f>
        <v/>
      </c>
      <c r="B989" s="15" t="str">
        <f>IFERROR(__xludf.DUMMYFUNCTION("IFERROR(INDEX(FILTER('RE Portfolio'!B$2:B2000,'RE Portfolio'!D$2:D2000=""BUY""), INT((ROW()-2)/amortYears)+1), )
"),"")</f>
        <v/>
      </c>
      <c r="C989" s="15" t="str">
        <f>IFERROR(__xludf.DUMMYFUNCTION("IFERROR(INDEX(FILTER('RE Portfolio'!G$2:G2000,'RE Portfolio'!D$2:D2000=""BUY""), INT((ROW()-2)/amortYears)+1), )
"),"")</f>
        <v/>
      </c>
      <c r="D989" s="15">
        <f>MOD(ROW()-2, amortYears)+1</f>
        <v>38</v>
      </c>
      <c r="E989" s="15" t="str">
        <f t="shared" si="1"/>
        <v/>
      </c>
      <c r="F989" s="15">
        <f t="shared" si="2"/>
        <v>0</v>
      </c>
      <c r="G989" s="15">
        <f>IF(D989&lt;=mortTerm, -PMT(mortRate/12, mortTerm*12, C989)*12, 0)
</f>
        <v>0</v>
      </c>
      <c r="H989" s="15">
        <f>IF(D989&lt;=mortTerm, G989 - I989, 0)
</f>
        <v>0</v>
      </c>
      <c r="I989" s="15">
        <f>IF(D989&lt;=mortTerm, F989 - J989, 0)
</f>
        <v>0</v>
      </c>
      <c r="J989" s="15">
        <f>IF(D989&lt;=mortTerm,
   F989*(1+mortRate/12)^12 - (-PMT(mortRate/12, mortTerm*12, C989))*(((1+mortRate/12)^12 - 1)/(mortRate/12)),
   0
)
</f>
        <v>0</v>
      </c>
      <c r="K989" s="13" t="str">
        <f>IFERROR(__xludf.DUMMYFUNCTION("IF(A989="""","""",
   IF(F989&gt;0,
      INDEX(FILTER('RE Portfolio'!L$2:L2000,'RE Portfolio'!D$2:D2000=""BUY""), INT((ROW()-2)/amortYears)+1) - G989,
      INDEX(FILTER('RE Portfolio'!L$2:L2000,'RE Portfolio'!D$2:D2000=""BUY""), INT((ROW()-2)/amortYears)+1"&amp;")
   )
)
"),"")</f>
        <v/>
      </c>
      <c r="L989" s="15" t="str">
        <f>IFERROR(__xludf.DUMMYFUNCTION("IF(A989="""","""",
  INDEX(FILTER('RE Portfolio'!C$2:C2000,'RE Portfolio'!D$2:D2000=""BUY""), INT((ROW()-2)/amortYears)+1)
  * (1 + VALUE(Assumptions!$B$11))^(D989-1)
)
"),"")</f>
        <v/>
      </c>
    </row>
    <row r="990">
      <c r="A990" s="15" t="str">
        <f>IFERROR(__xludf.DUMMYFUNCTION("IFERROR(INDEX(FILTER('RE Portfolio'!A$2:A2000,'RE Portfolio'!D$2:D2000=""BUY""), INT((ROW()-2)/amortYears)+1), )
"),"")</f>
        <v/>
      </c>
      <c r="B990" s="15" t="str">
        <f>IFERROR(__xludf.DUMMYFUNCTION("IFERROR(INDEX(FILTER('RE Portfolio'!B$2:B2000,'RE Portfolio'!D$2:D2000=""BUY""), INT((ROW()-2)/amortYears)+1), )
"),"")</f>
        <v/>
      </c>
      <c r="C990" s="15" t="str">
        <f>IFERROR(__xludf.DUMMYFUNCTION("IFERROR(INDEX(FILTER('RE Portfolio'!G$2:G2000,'RE Portfolio'!D$2:D2000=""BUY""), INT((ROW()-2)/amortYears)+1), )
"),"")</f>
        <v/>
      </c>
      <c r="D990" s="15">
        <f>MOD(ROW()-2, amortYears)+1</f>
        <v>1</v>
      </c>
      <c r="E990" s="15" t="str">
        <f t="shared" si="1"/>
        <v/>
      </c>
      <c r="F990" s="15" t="str">
        <f t="shared" si="2"/>
        <v/>
      </c>
      <c r="G990" s="16">
        <f>IF(D990&lt;=mortTerm, -PMT(mortRate/12, mortTerm*12, C990)*12, 0)
</f>
        <v>0</v>
      </c>
      <c r="H990" s="16">
        <f>IF(D990&lt;=mortTerm, G990 - I990, 0)
</f>
        <v>0</v>
      </c>
      <c r="I990" s="16">
        <f>IF(D990&lt;=mortTerm, F990 - J990, 0)
</f>
        <v>0</v>
      </c>
      <c r="J990" s="16">
        <f>IF(D990&lt;=mortTerm,
   F990*(1+mortRate/12)^12 - (-PMT(mortRate/12, mortTerm*12, C990))*(((1+mortRate/12)^12 - 1)/(mortRate/12)),
   0
)
</f>
        <v>0</v>
      </c>
      <c r="K990" s="13" t="str">
        <f>IFERROR(__xludf.DUMMYFUNCTION("IF(A990="""","""",
   IF(F990&gt;0,
      INDEX(FILTER('RE Portfolio'!L$2:L2000,'RE Portfolio'!D$2:D2000=""BUY""), INT((ROW()-2)/amortYears)+1) - G990,
      INDEX(FILTER('RE Portfolio'!L$2:L2000,'RE Portfolio'!D$2:D2000=""BUY""), INT((ROW()-2)/amortYears)+1"&amp;")
   )
)
"),"")</f>
        <v/>
      </c>
      <c r="L990" s="15" t="str">
        <f>IFERROR(__xludf.DUMMYFUNCTION("IF(A990="""","""",
  INDEX(FILTER('RE Portfolio'!C$2:C2000,'RE Portfolio'!D$2:D2000=""BUY""), INT((ROW()-2)/amortYears)+1)
  * (1 + VALUE(Assumptions!$B$11))^(D990-1)
)
"),"")</f>
        <v/>
      </c>
    </row>
    <row r="991">
      <c r="A991" s="15" t="str">
        <f>IFERROR(__xludf.DUMMYFUNCTION("IFERROR(INDEX(FILTER('RE Portfolio'!A$2:A2000,'RE Portfolio'!D$2:D2000=""BUY""), INT((ROW()-2)/amortYears)+1), )
"),"")</f>
        <v/>
      </c>
      <c r="B991" s="15" t="str">
        <f>IFERROR(__xludf.DUMMYFUNCTION("IFERROR(INDEX(FILTER('RE Portfolio'!B$2:B2000,'RE Portfolio'!D$2:D2000=""BUY""), INT((ROW()-2)/amortYears)+1), )
"),"")</f>
        <v/>
      </c>
      <c r="C991" s="15" t="str">
        <f>IFERROR(__xludf.DUMMYFUNCTION("IFERROR(INDEX(FILTER('RE Portfolio'!G$2:G2000,'RE Portfolio'!D$2:D2000=""BUY""), INT((ROW()-2)/amortYears)+1), )
"),"")</f>
        <v/>
      </c>
      <c r="D991" s="15">
        <f>MOD(ROW()-2, amortYears)+1</f>
        <v>2</v>
      </c>
      <c r="E991" s="15" t="str">
        <f t="shared" si="1"/>
        <v/>
      </c>
      <c r="F991" s="16">
        <f t="shared" si="2"/>
        <v>0</v>
      </c>
      <c r="G991" s="16">
        <f>IF(D991&lt;=mortTerm, -PMT(mortRate/12, mortTerm*12, C991)*12, 0)
</f>
        <v>0</v>
      </c>
      <c r="H991" s="16">
        <f>IF(D991&lt;=mortTerm, G991 - I991, 0)
</f>
        <v>0</v>
      </c>
      <c r="I991" s="16">
        <f>IF(D991&lt;=mortTerm, F991 - J991, 0)
</f>
        <v>0</v>
      </c>
      <c r="J991" s="16">
        <f>IF(D991&lt;=mortTerm,
   F991*(1+mortRate/12)^12 - (-PMT(mortRate/12, mortTerm*12, C991))*(((1+mortRate/12)^12 - 1)/(mortRate/12)),
   0
)
</f>
        <v>0</v>
      </c>
      <c r="K991" s="13" t="str">
        <f>IFERROR(__xludf.DUMMYFUNCTION("IF(A991="""","""",
   IF(F991&gt;0,
      INDEX(FILTER('RE Portfolio'!L$2:L2000,'RE Portfolio'!D$2:D2000=""BUY""), INT((ROW()-2)/amortYears)+1) - G991,
      INDEX(FILTER('RE Portfolio'!L$2:L2000,'RE Portfolio'!D$2:D2000=""BUY""), INT((ROW()-2)/amortYears)+1"&amp;")
   )
)
"),"")</f>
        <v/>
      </c>
      <c r="L991" s="15" t="str">
        <f>IFERROR(__xludf.DUMMYFUNCTION("IF(A991="""","""",
  INDEX(FILTER('RE Portfolio'!C$2:C2000,'RE Portfolio'!D$2:D2000=""BUY""), INT((ROW()-2)/amortYears)+1)
  * (1 + VALUE(Assumptions!$B$11))^(D991-1)
)
"),"")</f>
        <v/>
      </c>
    </row>
    <row r="992">
      <c r="A992" s="15" t="str">
        <f>IFERROR(__xludf.DUMMYFUNCTION("IFERROR(INDEX(FILTER('RE Portfolio'!A$2:A2000,'RE Portfolio'!D$2:D2000=""BUY""), INT((ROW()-2)/amortYears)+1), )
"),"")</f>
        <v/>
      </c>
      <c r="B992" s="15" t="str">
        <f>IFERROR(__xludf.DUMMYFUNCTION("IFERROR(INDEX(FILTER('RE Portfolio'!B$2:B2000,'RE Portfolio'!D$2:D2000=""BUY""), INT((ROW()-2)/amortYears)+1), )
"),"")</f>
        <v/>
      </c>
      <c r="C992" s="15" t="str">
        <f>IFERROR(__xludf.DUMMYFUNCTION("IFERROR(INDEX(FILTER('RE Portfolio'!G$2:G2000,'RE Portfolio'!D$2:D2000=""BUY""), INT((ROW()-2)/amortYears)+1), )
"),"")</f>
        <v/>
      </c>
      <c r="D992" s="15">
        <f>MOD(ROW()-2, amortYears)+1</f>
        <v>3</v>
      </c>
      <c r="E992" s="15" t="str">
        <f t="shared" si="1"/>
        <v/>
      </c>
      <c r="F992" s="16">
        <f t="shared" si="2"/>
        <v>0</v>
      </c>
      <c r="G992" s="16">
        <f>IF(D992&lt;=mortTerm, -PMT(mortRate/12, mortTerm*12, C992)*12, 0)
</f>
        <v>0</v>
      </c>
      <c r="H992" s="16">
        <f>IF(D992&lt;=mortTerm, G992 - I992, 0)
</f>
        <v>0</v>
      </c>
      <c r="I992" s="16">
        <f>IF(D992&lt;=mortTerm, F992 - J992, 0)
</f>
        <v>0</v>
      </c>
      <c r="J992" s="16">
        <f>IF(D992&lt;=mortTerm,
   F992*(1+mortRate/12)^12 - (-PMT(mortRate/12, mortTerm*12, C992))*(((1+mortRate/12)^12 - 1)/(mortRate/12)),
   0
)
</f>
        <v>0</v>
      </c>
      <c r="K992" s="13" t="str">
        <f>IFERROR(__xludf.DUMMYFUNCTION("IF(A992="""","""",
   IF(F992&gt;0,
      INDEX(FILTER('RE Portfolio'!L$2:L2000,'RE Portfolio'!D$2:D2000=""BUY""), INT((ROW()-2)/amortYears)+1) - G992,
      INDEX(FILTER('RE Portfolio'!L$2:L2000,'RE Portfolio'!D$2:D2000=""BUY""), INT((ROW()-2)/amortYears)+1"&amp;")
   )
)
"),"")</f>
        <v/>
      </c>
      <c r="L992" s="15" t="str">
        <f>IFERROR(__xludf.DUMMYFUNCTION("IF(A992="""","""",
  INDEX(FILTER('RE Portfolio'!C$2:C2000,'RE Portfolio'!D$2:D2000=""BUY""), INT((ROW()-2)/amortYears)+1)
  * (1 + VALUE(Assumptions!$B$11))^(D992-1)
)
"),"")</f>
        <v/>
      </c>
    </row>
    <row r="993">
      <c r="A993" s="15" t="str">
        <f>IFERROR(__xludf.DUMMYFUNCTION("IFERROR(INDEX(FILTER('RE Portfolio'!A$2:A2000,'RE Portfolio'!D$2:D2000=""BUY""), INT((ROW()-2)/amortYears)+1), )
"),"")</f>
        <v/>
      </c>
      <c r="B993" s="15" t="str">
        <f>IFERROR(__xludf.DUMMYFUNCTION("IFERROR(INDEX(FILTER('RE Portfolio'!B$2:B2000,'RE Portfolio'!D$2:D2000=""BUY""), INT((ROW()-2)/amortYears)+1), )
"),"")</f>
        <v/>
      </c>
      <c r="C993" s="15" t="str">
        <f>IFERROR(__xludf.DUMMYFUNCTION("IFERROR(INDEX(FILTER('RE Portfolio'!G$2:G2000,'RE Portfolio'!D$2:D2000=""BUY""), INT((ROW()-2)/amortYears)+1), )
"),"")</f>
        <v/>
      </c>
      <c r="D993" s="15">
        <f>MOD(ROW()-2, amortYears)+1</f>
        <v>4</v>
      </c>
      <c r="E993" s="15" t="str">
        <f t="shared" si="1"/>
        <v/>
      </c>
      <c r="F993" s="16">
        <f t="shared" si="2"/>
        <v>0</v>
      </c>
      <c r="G993" s="16">
        <f>IF(D993&lt;=mortTerm, -PMT(mortRate/12, mortTerm*12, C993)*12, 0)
</f>
        <v>0</v>
      </c>
      <c r="H993" s="16">
        <f>IF(D993&lt;=mortTerm, G993 - I993, 0)
</f>
        <v>0</v>
      </c>
      <c r="I993" s="16">
        <f>IF(D993&lt;=mortTerm, F993 - J993, 0)
</f>
        <v>0</v>
      </c>
      <c r="J993" s="16">
        <f>IF(D993&lt;=mortTerm,
   F993*(1+mortRate/12)^12 - (-PMT(mortRate/12, mortTerm*12, C993))*(((1+mortRate/12)^12 - 1)/(mortRate/12)),
   0
)
</f>
        <v>0</v>
      </c>
      <c r="K993" s="13" t="str">
        <f>IFERROR(__xludf.DUMMYFUNCTION("IF(A993="""","""",
   IF(F993&gt;0,
      INDEX(FILTER('RE Portfolio'!L$2:L2000,'RE Portfolio'!D$2:D2000=""BUY""), INT((ROW()-2)/amortYears)+1) - G993,
      INDEX(FILTER('RE Portfolio'!L$2:L2000,'RE Portfolio'!D$2:D2000=""BUY""), INT((ROW()-2)/amortYears)+1"&amp;")
   )
)
"),"")</f>
        <v/>
      </c>
      <c r="L993" s="15" t="str">
        <f>IFERROR(__xludf.DUMMYFUNCTION("IF(A993="""","""",
  INDEX(FILTER('RE Portfolio'!C$2:C2000,'RE Portfolio'!D$2:D2000=""BUY""), INT((ROW()-2)/amortYears)+1)
  * (1 + VALUE(Assumptions!$B$11))^(D993-1)
)
"),"")</f>
        <v/>
      </c>
    </row>
    <row r="994">
      <c r="A994" s="15" t="str">
        <f>IFERROR(__xludf.DUMMYFUNCTION("IFERROR(INDEX(FILTER('RE Portfolio'!A$2:A2000,'RE Portfolio'!D$2:D2000=""BUY""), INT((ROW()-2)/amortYears)+1), )
"),"")</f>
        <v/>
      </c>
      <c r="B994" s="15" t="str">
        <f>IFERROR(__xludf.DUMMYFUNCTION("IFERROR(INDEX(FILTER('RE Portfolio'!B$2:B2000,'RE Portfolio'!D$2:D2000=""BUY""), INT((ROW()-2)/amortYears)+1), )
"),"")</f>
        <v/>
      </c>
      <c r="C994" s="15" t="str">
        <f>IFERROR(__xludf.DUMMYFUNCTION("IFERROR(INDEX(FILTER('RE Portfolio'!G$2:G2000,'RE Portfolio'!D$2:D2000=""BUY""), INT((ROW()-2)/amortYears)+1), )
"),"")</f>
        <v/>
      </c>
      <c r="D994" s="15">
        <f>MOD(ROW()-2, amortYears)+1</f>
        <v>5</v>
      </c>
      <c r="E994" s="15" t="str">
        <f t="shared" si="1"/>
        <v/>
      </c>
      <c r="F994" s="16">
        <f t="shared" si="2"/>
        <v>0</v>
      </c>
      <c r="G994" s="16">
        <f>IF(D994&lt;=mortTerm, -PMT(mortRate/12, mortTerm*12, C994)*12, 0)
</f>
        <v>0</v>
      </c>
      <c r="H994" s="16">
        <f>IF(D994&lt;=mortTerm, G994 - I994, 0)
</f>
        <v>0</v>
      </c>
      <c r="I994" s="16">
        <f>IF(D994&lt;=mortTerm, F994 - J994, 0)
</f>
        <v>0</v>
      </c>
      <c r="J994" s="16">
        <f>IF(D994&lt;=mortTerm,
   F994*(1+mortRate/12)^12 - (-PMT(mortRate/12, mortTerm*12, C994))*(((1+mortRate/12)^12 - 1)/(mortRate/12)),
   0
)
</f>
        <v>0</v>
      </c>
      <c r="K994" s="13" t="str">
        <f>IFERROR(__xludf.DUMMYFUNCTION("IF(A994="""","""",
   IF(F994&gt;0,
      INDEX(FILTER('RE Portfolio'!L$2:L2000,'RE Portfolio'!D$2:D2000=""BUY""), INT((ROW()-2)/amortYears)+1) - G994,
      INDEX(FILTER('RE Portfolio'!L$2:L2000,'RE Portfolio'!D$2:D2000=""BUY""), INT((ROW()-2)/amortYears)+1"&amp;")
   )
)
"),"")</f>
        <v/>
      </c>
      <c r="L994" s="15" t="str">
        <f>IFERROR(__xludf.DUMMYFUNCTION("IF(A994="""","""",
  INDEX(FILTER('RE Portfolio'!C$2:C2000,'RE Portfolio'!D$2:D2000=""BUY""), INT((ROW()-2)/amortYears)+1)
  * (1 + VALUE(Assumptions!$B$11))^(D994-1)
)
"),"")</f>
        <v/>
      </c>
    </row>
    <row r="995">
      <c r="A995" s="15" t="str">
        <f>IFERROR(__xludf.DUMMYFUNCTION("IFERROR(INDEX(FILTER('RE Portfolio'!A$2:A2000,'RE Portfolio'!D$2:D2000=""BUY""), INT((ROW()-2)/amortYears)+1), )
"),"")</f>
        <v/>
      </c>
      <c r="B995" s="15" t="str">
        <f>IFERROR(__xludf.DUMMYFUNCTION("IFERROR(INDEX(FILTER('RE Portfolio'!B$2:B2000,'RE Portfolio'!D$2:D2000=""BUY""), INT((ROW()-2)/amortYears)+1), )
"),"")</f>
        <v/>
      </c>
      <c r="C995" s="15" t="str">
        <f>IFERROR(__xludf.DUMMYFUNCTION("IFERROR(INDEX(FILTER('RE Portfolio'!G$2:G2000,'RE Portfolio'!D$2:D2000=""BUY""), INT((ROW()-2)/amortYears)+1), )
"),"")</f>
        <v/>
      </c>
      <c r="D995" s="15">
        <f>MOD(ROW()-2, amortYears)+1</f>
        <v>6</v>
      </c>
      <c r="E995" s="15" t="str">
        <f t="shared" si="1"/>
        <v/>
      </c>
      <c r="F995" s="16">
        <f t="shared" si="2"/>
        <v>0</v>
      </c>
      <c r="G995" s="16">
        <f>IF(D995&lt;=mortTerm, -PMT(mortRate/12, mortTerm*12, C995)*12, 0)
</f>
        <v>0</v>
      </c>
      <c r="H995" s="16">
        <f>IF(D995&lt;=mortTerm, G995 - I995, 0)
</f>
        <v>0</v>
      </c>
      <c r="I995" s="16">
        <f>IF(D995&lt;=mortTerm, F995 - J995, 0)
</f>
        <v>0</v>
      </c>
      <c r="J995" s="16">
        <f>IF(D995&lt;=mortTerm,
   F995*(1+mortRate/12)^12 - (-PMT(mortRate/12, mortTerm*12, C995))*(((1+mortRate/12)^12 - 1)/(mortRate/12)),
   0
)
</f>
        <v>0</v>
      </c>
      <c r="K995" s="13" t="str">
        <f>IFERROR(__xludf.DUMMYFUNCTION("IF(A995="""","""",
   IF(F995&gt;0,
      INDEX(FILTER('RE Portfolio'!L$2:L2000,'RE Portfolio'!D$2:D2000=""BUY""), INT((ROW()-2)/amortYears)+1) - G995,
      INDEX(FILTER('RE Portfolio'!L$2:L2000,'RE Portfolio'!D$2:D2000=""BUY""), INT((ROW()-2)/amortYears)+1"&amp;")
   )
)
"),"")</f>
        <v/>
      </c>
      <c r="L995" s="15" t="str">
        <f>IFERROR(__xludf.DUMMYFUNCTION("IF(A995="""","""",
  INDEX(FILTER('RE Portfolio'!C$2:C2000,'RE Portfolio'!D$2:D2000=""BUY""), INT((ROW()-2)/amortYears)+1)
  * (1 + VALUE(Assumptions!$B$11))^(D995-1)
)
"),"")</f>
        <v/>
      </c>
    </row>
    <row r="996">
      <c r="A996" s="15" t="str">
        <f>IFERROR(__xludf.DUMMYFUNCTION("IFERROR(INDEX(FILTER('RE Portfolio'!A$2:A2000,'RE Portfolio'!D$2:D2000=""BUY""), INT((ROW()-2)/amortYears)+1), )
"),"")</f>
        <v/>
      </c>
      <c r="B996" s="15" t="str">
        <f>IFERROR(__xludf.DUMMYFUNCTION("IFERROR(INDEX(FILTER('RE Portfolio'!B$2:B2000,'RE Portfolio'!D$2:D2000=""BUY""), INT((ROW()-2)/amortYears)+1), )
"),"")</f>
        <v/>
      </c>
      <c r="C996" s="15" t="str">
        <f>IFERROR(__xludf.DUMMYFUNCTION("IFERROR(INDEX(FILTER('RE Portfolio'!G$2:G2000,'RE Portfolio'!D$2:D2000=""BUY""), INT((ROW()-2)/amortYears)+1), )
"),"")</f>
        <v/>
      </c>
      <c r="D996" s="15">
        <f>MOD(ROW()-2, amortYears)+1</f>
        <v>7</v>
      </c>
      <c r="E996" s="15" t="str">
        <f t="shared" si="1"/>
        <v/>
      </c>
      <c r="F996" s="16">
        <f t="shared" si="2"/>
        <v>0</v>
      </c>
      <c r="G996" s="16">
        <f>IF(D996&lt;=mortTerm, -PMT(mortRate/12, mortTerm*12, C996)*12, 0)
</f>
        <v>0</v>
      </c>
      <c r="H996" s="16">
        <f>IF(D996&lt;=mortTerm, G996 - I996, 0)
</f>
        <v>0</v>
      </c>
      <c r="I996" s="16">
        <f>IF(D996&lt;=mortTerm, F996 - J996, 0)
</f>
        <v>0</v>
      </c>
      <c r="J996" s="16">
        <f>IF(D996&lt;=mortTerm,
   F996*(1+mortRate/12)^12 - (-PMT(mortRate/12, mortTerm*12, C996))*(((1+mortRate/12)^12 - 1)/(mortRate/12)),
   0
)
</f>
        <v>0</v>
      </c>
      <c r="K996" s="13" t="str">
        <f>IFERROR(__xludf.DUMMYFUNCTION("IF(A996="""","""",
   IF(F996&gt;0,
      INDEX(FILTER('RE Portfolio'!L$2:L2000,'RE Portfolio'!D$2:D2000=""BUY""), INT((ROW()-2)/amortYears)+1) - G996,
      INDEX(FILTER('RE Portfolio'!L$2:L2000,'RE Portfolio'!D$2:D2000=""BUY""), INT((ROW()-2)/amortYears)+1"&amp;")
   )
)
"),"")</f>
        <v/>
      </c>
      <c r="L996" s="15" t="str">
        <f>IFERROR(__xludf.DUMMYFUNCTION("IF(A996="""","""",
  INDEX(FILTER('RE Portfolio'!C$2:C2000,'RE Portfolio'!D$2:D2000=""BUY""), INT((ROW()-2)/amortYears)+1)
  * (1 + VALUE(Assumptions!$B$11))^(D996-1)
)
"),"")</f>
        <v/>
      </c>
    </row>
    <row r="997">
      <c r="A997" s="15" t="str">
        <f>IFERROR(__xludf.DUMMYFUNCTION("IFERROR(INDEX(FILTER('RE Portfolio'!A$2:A2000,'RE Portfolio'!D$2:D2000=""BUY""), INT((ROW()-2)/amortYears)+1), )
"),"")</f>
        <v/>
      </c>
      <c r="B997" s="15" t="str">
        <f>IFERROR(__xludf.DUMMYFUNCTION("IFERROR(INDEX(FILTER('RE Portfolio'!B$2:B2000,'RE Portfolio'!D$2:D2000=""BUY""), INT((ROW()-2)/amortYears)+1), )
"),"")</f>
        <v/>
      </c>
      <c r="C997" s="15" t="str">
        <f>IFERROR(__xludf.DUMMYFUNCTION("IFERROR(INDEX(FILTER('RE Portfolio'!G$2:G2000,'RE Portfolio'!D$2:D2000=""BUY""), INT((ROW()-2)/amortYears)+1), )
"),"")</f>
        <v/>
      </c>
      <c r="D997" s="15">
        <f>MOD(ROW()-2, amortYears)+1</f>
        <v>8</v>
      </c>
      <c r="E997" s="15" t="str">
        <f t="shared" si="1"/>
        <v/>
      </c>
      <c r="F997" s="16">
        <f t="shared" si="2"/>
        <v>0</v>
      </c>
      <c r="G997" s="16">
        <f>IF(D997&lt;=mortTerm, -PMT(mortRate/12, mortTerm*12, C997)*12, 0)
</f>
        <v>0</v>
      </c>
      <c r="H997" s="16">
        <f>IF(D997&lt;=mortTerm, G997 - I997, 0)
</f>
        <v>0</v>
      </c>
      <c r="I997" s="16">
        <f>IF(D997&lt;=mortTerm, F997 - J997, 0)
</f>
        <v>0</v>
      </c>
      <c r="J997" s="16">
        <f>IF(D997&lt;=mortTerm,
   F997*(1+mortRate/12)^12 - (-PMT(mortRate/12, mortTerm*12, C997))*(((1+mortRate/12)^12 - 1)/(mortRate/12)),
   0
)
</f>
        <v>0</v>
      </c>
      <c r="K997" s="13" t="str">
        <f>IFERROR(__xludf.DUMMYFUNCTION("IF(A997="""","""",
   IF(F997&gt;0,
      INDEX(FILTER('RE Portfolio'!L$2:L2000,'RE Portfolio'!D$2:D2000=""BUY""), INT((ROW()-2)/amortYears)+1) - G997,
      INDEX(FILTER('RE Portfolio'!L$2:L2000,'RE Portfolio'!D$2:D2000=""BUY""), INT((ROW()-2)/amortYears)+1"&amp;")
   )
)
"),"")</f>
        <v/>
      </c>
      <c r="L997" s="15" t="str">
        <f>IFERROR(__xludf.DUMMYFUNCTION("IF(A997="""","""",
  INDEX(FILTER('RE Portfolio'!C$2:C2000,'RE Portfolio'!D$2:D2000=""BUY""), INT((ROW()-2)/amortYears)+1)
  * (1 + VALUE(Assumptions!$B$11))^(D997-1)
)
"),"")</f>
        <v/>
      </c>
    </row>
    <row r="998">
      <c r="A998" s="15" t="str">
        <f>IFERROR(__xludf.DUMMYFUNCTION("IFERROR(INDEX(FILTER('RE Portfolio'!A$2:A2000,'RE Portfolio'!D$2:D2000=""BUY""), INT((ROW()-2)/amortYears)+1), )
"),"")</f>
        <v/>
      </c>
      <c r="B998" s="15" t="str">
        <f>IFERROR(__xludf.DUMMYFUNCTION("IFERROR(INDEX(FILTER('RE Portfolio'!B$2:B2000,'RE Portfolio'!D$2:D2000=""BUY""), INT((ROW()-2)/amortYears)+1), )
"),"")</f>
        <v/>
      </c>
      <c r="C998" s="15" t="str">
        <f>IFERROR(__xludf.DUMMYFUNCTION("IFERROR(INDEX(FILTER('RE Portfolio'!G$2:G2000,'RE Portfolio'!D$2:D2000=""BUY""), INT((ROW()-2)/amortYears)+1), )
"),"")</f>
        <v/>
      </c>
      <c r="D998" s="15">
        <f>MOD(ROW()-2, amortYears)+1</f>
        <v>9</v>
      </c>
      <c r="E998" s="15" t="str">
        <f t="shared" si="1"/>
        <v/>
      </c>
      <c r="F998" s="16">
        <f t="shared" si="2"/>
        <v>0</v>
      </c>
      <c r="G998" s="16">
        <f>IF(D998&lt;=mortTerm, -PMT(mortRate/12, mortTerm*12, C998)*12, 0)
</f>
        <v>0</v>
      </c>
      <c r="H998" s="16">
        <f>IF(D998&lt;=mortTerm, G998 - I998, 0)
</f>
        <v>0</v>
      </c>
      <c r="I998" s="16">
        <f>IF(D998&lt;=mortTerm, F998 - J998, 0)
</f>
        <v>0</v>
      </c>
      <c r="J998" s="16">
        <f>IF(D998&lt;=mortTerm,
   F998*(1+mortRate/12)^12 - (-PMT(mortRate/12, mortTerm*12, C998))*(((1+mortRate/12)^12 - 1)/(mortRate/12)),
   0
)
</f>
        <v>0</v>
      </c>
      <c r="K998" s="13" t="str">
        <f>IFERROR(__xludf.DUMMYFUNCTION("IF(A998="""","""",
   IF(F998&gt;0,
      INDEX(FILTER('RE Portfolio'!L$2:L2000,'RE Portfolio'!D$2:D2000=""BUY""), INT((ROW()-2)/amortYears)+1) - G998,
      INDEX(FILTER('RE Portfolio'!L$2:L2000,'RE Portfolio'!D$2:D2000=""BUY""), INT((ROW()-2)/amortYears)+1"&amp;")
   )
)
"),"")</f>
        <v/>
      </c>
      <c r="L998" s="15" t="str">
        <f>IFERROR(__xludf.DUMMYFUNCTION("IF(A998="""","""",
  INDEX(FILTER('RE Portfolio'!C$2:C2000,'RE Portfolio'!D$2:D2000=""BUY""), INT((ROW()-2)/amortYears)+1)
  * (1 + VALUE(Assumptions!$B$11))^(D998-1)
)
"),"")</f>
        <v/>
      </c>
    </row>
    <row r="999">
      <c r="A999" s="15" t="str">
        <f>IFERROR(__xludf.DUMMYFUNCTION("IFERROR(INDEX(FILTER('RE Portfolio'!A$2:A2000,'RE Portfolio'!D$2:D2000=""BUY""), INT((ROW()-2)/amortYears)+1), )
"),"")</f>
        <v/>
      </c>
      <c r="B999" s="15" t="str">
        <f>IFERROR(__xludf.DUMMYFUNCTION("IFERROR(INDEX(FILTER('RE Portfolio'!B$2:B2000,'RE Portfolio'!D$2:D2000=""BUY""), INT((ROW()-2)/amortYears)+1), )
"),"")</f>
        <v/>
      </c>
      <c r="C999" s="15" t="str">
        <f>IFERROR(__xludf.DUMMYFUNCTION("IFERROR(INDEX(FILTER('RE Portfolio'!G$2:G2000,'RE Portfolio'!D$2:D2000=""BUY""), INT((ROW()-2)/amortYears)+1), )
"),"")</f>
        <v/>
      </c>
      <c r="D999" s="15">
        <f>MOD(ROW()-2, amortYears)+1</f>
        <v>10</v>
      </c>
      <c r="E999" s="15" t="str">
        <f t="shared" si="1"/>
        <v/>
      </c>
      <c r="F999" s="16">
        <f t="shared" si="2"/>
        <v>0</v>
      </c>
      <c r="G999" s="16">
        <f>IF(D999&lt;=mortTerm, -PMT(mortRate/12, mortTerm*12, C999)*12, 0)
</f>
        <v>0</v>
      </c>
      <c r="H999" s="16">
        <f>IF(D999&lt;=mortTerm, G999 - I999, 0)
</f>
        <v>0</v>
      </c>
      <c r="I999" s="16">
        <f>IF(D999&lt;=mortTerm, F999 - J999, 0)
</f>
        <v>0</v>
      </c>
      <c r="J999" s="16">
        <f>IF(D999&lt;=mortTerm,
   F999*(1+mortRate/12)^12 - (-PMT(mortRate/12, mortTerm*12, C999))*(((1+mortRate/12)^12 - 1)/(mortRate/12)),
   0
)
</f>
        <v>0</v>
      </c>
      <c r="K999" s="13" t="str">
        <f>IFERROR(__xludf.DUMMYFUNCTION("IF(A999="""","""",
   IF(F999&gt;0,
      INDEX(FILTER('RE Portfolio'!L$2:L2000,'RE Portfolio'!D$2:D2000=""BUY""), INT((ROW()-2)/amortYears)+1) - G999,
      INDEX(FILTER('RE Portfolio'!L$2:L2000,'RE Portfolio'!D$2:D2000=""BUY""), INT((ROW()-2)/amortYears)+1"&amp;")
   )
)
"),"")</f>
        <v/>
      </c>
      <c r="L999" s="15" t="str">
        <f>IFERROR(__xludf.DUMMYFUNCTION("IF(A999="""","""",
  INDEX(FILTER('RE Portfolio'!C$2:C2000,'RE Portfolio'!D$2:D2000=""BUY""), INT((ROW()-2)/amortYears)+1)
  * (1 + VALUE(Assumptions!$B$11))^(D999-1)
)
"),"")</f>
        <v/>
      </c>
    </row>
    <row r="1000">
      <c r="A1000" s="15" t="str">
        <f>IFERROR(__xludf.DUMMYFUNCTION("IFERROR(INDEX(FILTER('RE Portfolio'!A$2:A2000,'RE Portfolio'!D$2:D2000=""BUY""), INT((ROW()-2)/amortYears)+1), )
"),"")</f>
        <v/>
      </c>
      <c r="B1000" s="15" t="str">
        <f>IFERROR(__xludf.DUMMYFUNCTION("IFERROR(INDEX(FILTER('RE Portfolio'!B$2:B2000,'RE Portfolio'!D$2:D2000=""BUY""), INT((ROW()-2)/amortYears)+1), )
"),"")</f>
        <v/>
      </c>
      <c r="C1000" s="15" t="str">
        <f>IFERROR(__xludf.DUMMYFUNCTION("IFERROR(INDEX(FILTER('RE Portfolio'!G$2:G2000,'RE Portfolio'!D$2:D2000=""BUY""), INT((ROW()-2)/amortYears)+1), )
"),"")</f>
        <v/>
      </c>
      <c r="D1000" s="15">
        <f>MOD(ROW()-2, amortYears)+1</f>
        <v>11</v>
      </c>
      <c r="E1000" s="15" t="str">
        <f t="shared" si="1"/>
        <v/>
      </c>
      <c r="F1000" s="16">
        <f t="shared" si="2"/>
        <v>0</v>
      </c>
      <c r="G1000" s="16">
        <f>IF(D1000&lt;=mortTerm, -PMT(mortRate/12, mortTerm*12, C1000)*12, 0)
</f>
        <v>0</v>
      </c>
      <c r="H1000" s="16">
        <f>IF(D1000&lt;=mortTerm, G1000 - I1000, 0)
</f>
        <v>0</v>
      </c>
      <c r="I1000" s="16">
        <f>IF(D1000&lt;=mortTerm, F1000 - J1000, 0)
</f>
        <v>0</v>
      </c>
      <c r="J1000" s="16">
        <f>IF(D1000&lt;=mortTerm,
   F1000*(1+mortRate/12)^12 - (-PMT(mortRate/12, mortTerm*12, C1000))*(((1+mortRate/12)^12 - 1)/(mortRate/12)),
   0
)
</f>
        <v>0</v>
      </c>
      <c r="K1000" s="13" t="str">
        <f>IFERROR(__xludf.DUMMYFUNCTION("IF(A1000="""","""",
   IF(F1000&gt;0,
      INDEX(FILTER('RE Portfolio'!L$2:L2000,'RE Portfolio'!D$2:D2000=""BUY""), INT((ROW()-2)/amortYears)+1) - G1000,
      INDEX(FILTER('RE Portfolio'!L$2:L2000,'RE Portfolio'!D$2:D2000=""BUY""), INT((ROW()-2)/amortYears"&amp;")+1)
   )
)
"),"")</f>
        <v/>
      </c>
      <c r="L1000" s="15" t="str">
        <f>IFERROR(__xludf.DUMMYFUNCTION("IF(A1000="""","""",
  INDEX(FILTER('RE Portfolio'!C$2:C2000,'RE Portfolio'!D$2:D2000=""BUY""), INT((ROW()-2)/amortYears)+1)
  * (1 + VALUE(Assumptions!$B$11))^(D1000-1)
)
"),"")</f>
        <v/>
      </c>
    </row>
    <row r="1001">
      <c r="A1001" s="15" t="str">
        <f>IFERROR(__xludf.DUMMYFUNCTION("IFERROR(INDEX(FILTER('RE Portfolio'!A$2:A2000,'RE Portfolio'!D$2:D2000=""BUY""), INT((ROW()-2)/amortYears)+1), )
"),"")</f>
        <v/>
      </c>
      <c r="B1001" s="15" t="str">
        <f>IFERROR(__xludf.DUMMYFUNCTION("IFERROR(INDEX(FILTER('RE Portfolio'!B$2:B2000,'RE Portfolio'!D$2:D2000=""BUY""), INT((ROW()-2)/amortYears)+1), )
"),"")</f>
        <v/>
      </c>
      <c r="C1001" s="15" t="str">
        <f>IFERROR(__xludf.DUMMYFUNCTION("IFERROR(INDEX(FILTER('RE Portfolio'!G$2:G2000,'RE Portfolio'!D$2:D2000=""BUY""), INT((ROW()-2)/amortYears)+1), )
"),"")</f>
        <v/>
      </c>
      <c r="D1001" s="15">
        <f>MOD(ROW()-2, amortYears)+1</f>
        <v>12</v>
      </c>
      <c r="E1001" s="15" t="str">
        <f t="shared" si="1"/>
        <v/>
      </c>
      <c r="F1001" s="16">
        <f t="shared" si="2"/>
        <v>0</v>
      </c>
      <c r="G1001" s="16">
        <f>IF(D1001&lt;=mortTerm, -PMT(mortRate/12, mortTerm*12, C1001)*12, 0)
</f>
        <v>0</v>
      </c>
      <c r="H1001" s="16">
        <f>IF(D1001&lt;=mortTerm, G1001 - I1001, 0)
</f>
        <v>0</v>
      </c>
      <c r="I1001" s="16">
        <f>IF(D1001&lt;=mortTerm, F1001 - J1001, 0)
</f>
        <v>0</v>
      </c>
      <c r="J1001" s="16">
        <f>IF(D1001&lt;=mortTerm,
   F1001*(1+mortRate/12)^12 - (-PMT(mortRate/12, mortTerm*12, C1001))*(((1+mortRate/12)^12 - 1)/(mortRate/12)),
   0
)
</f>
        <v>0</v>
      </c>
      <c r="K1001" s="13" t="str">
        <f>IFERROR(__xludf.DUMMYFUNCTION("IF(A1001="""","""",
   IF(F1001&gt;0,
      INDEX(FILTER('RE Portfolio'!L$2:L2000,'RE Portfolio'!D$2:D2000=""BUY""), INT((ROW()-2)/amortYears)+1) - G1001,
      INDEX(FILTER('RE Portfolio'!L$2:L2000,'RE Portfolio'!D$2:D2000=""BUY""), INT((ROW()-2)/amortYears"&amp;")+1)
   )
)
"),"")</f>
        <v/>
      </c>
      <c r="L1001" s="15" t="str">
        <f>IFERROR(__xludf.DUMMYFUNCTION("IF(A1001="""","""",
  INDEX(FILTER('RE Portfolio'!C$2:C2000,'RE Portfolio'!D$2:D2000=""BUY""), INT((ROW()-2)/amortYears)+1)
  * (1 + VALUE(Assumptions!$B$11))^(D1001-1)
)
"),"")</f>
        <v/>
      </c>
    </row>
    <row r="1002">
      <c r="A1002" s="15" t="str">
        <f>IFERROR(__xludf.DUMMYFUNCTION("IFERROR(INDEX(FILTER('RE Portfolio'!A$2:A2000,'RE Portfolio'!D$2:D2000=""BUY""), INT((ROW()-2)/amortYears)+1), )
"),"")</f>
        <v/>
      </c>
      <c r="B1002" s="15" t="str">
        <f>IFERROR(__xludf.DUMMYFUNCTION("IFERROR(INDEX(FILTER('RE Portfolio'!B$2:B2000,'RE Portfolio'!D$2:D2000=""BUY""), INT((ROW()-2)/amortYears)+1), )
"),"")</f>
        <v/>
      </c>
      <c r="C1002" s="15" t="str">
        <f>IFERROR(__xludf.DUMMYFUNCTION("IFERROR(INDEX(FILTER('RE Portfolio'!G$2:G2000,'RE Portfolio'!D$2:D2000=""BUY""), INT((ROW()-2)/amortYears)+1), )
"),"")</f>
        <v/>
      </c>
      <c r="D1002" s="15">
        <f>MOD(ROW()-2, amortYears)+1</f>
        <v>13</v>
      </c>
      <c r="E1002" s="15" t="str">
        <f t="shared" si="1"/>
        <v/>
      </c>
      <c r="F1002" s="16">
        <f t="shared" si="2"/>
        <v>0</v>
      </c>
      <c r="G1002" s="16">
        <f>IF(D1002&lt;=mortTerm, -PMT(mortRate/12, mortTerm*12, C1002)*12, 0)
</f>
        <v>0</v>
      </c>
      <c r="H1002" s="16">
        <f>IF(D1002&lt;=mortTerm, G1002 - I1002, 0)
</f>
        <v>0</v>
      </c>
      <c r="I1002" s="16">
        <f>IF(D1002&lt;=mortTerm, F1002 - J1002, 0)
</f>
        <v>0</v>
      </c>
      <c r="J1002" s="16">
        <f>IF(D1002&lt;=mortTerm,
   F1002*(1+mortRate/12)^12 - (-PMT(mortRate/12, mortTerm*12, C1002))*(((1+mortRate/12)^12 - 1)/(mortRate/12)),
   0
)
</f>
        <v>0</v>
      </c>
      <c r="K1002" s="13" t="str">
        <f>IFERROR(__xludf.DUMMYFUNCTION("IF(A1002="""","""",
   IF(F1002&gt;0,
      INDEX(FILTER('RE Portfolio'!L$2:L2000,'RE Portfolio'!D$2:D2000=""BUY""), INT((ROW()-2)/amortYears)+1) - G1002,
      INDEX(FILTER('RE Portfolio'!L$2:L2000,'RE Portfolio'!D$2:D2000=""BUY""), INT((ROW()-2)/amortYears"&amp;")+1)
   )
)
"),"")</f>
        <v/>
      </c>
      <c r="L1002" s="15" t="str">
        <f>IFERROR(__xludf.DUMMYFUNCTION("IF(A1002="""","""",
  INDEX(FILTER('RE Portfolio'!C$2:C2000,'RE Portfolio'!D$2:D2000=""BUY""), INT((ROW()-2)/amortYears)+1)
  * (1 + VALUE(Assumptions!$B$11))^(D1002-1)
)
"),"")</f>
        <v/>
      </c>
    </row>
    <row r="1003">
      <c r="A1003" s="15" t="str">
        <f>IFERROR(__xludf.DUMMYFUNCTION("IFERROR(INDEX(FILTER('RE Portfolio'!A$2:A2000,'RE Portfolio'!D$2:D2000=""BUY""), INT((ROW()-2)/amortYears)+1), )
"),"")</f>
        <v/>
      </c>
      <c r="B1003" s="15" t="str">
        <f>IFERROR(__xludf.DUMMYFUNCTION("IFERROR(INDEX(FILTER('RE Portfolio'!B$2:B2000,'RE Portfolio'!D$2:D2000=""BUY""), INT((ROW()-2)/amortYears)+1), )
"),"")</f>
        <v/>
      </c>
      <c r="C1003" s="15" t="str">
        <f>IFERROR(__xludf.DUMMYFUNCTION("IFERROR(INDEX(FILTER('RE Portfolio'!G$2:G2000,'RE Portfolio'!D$2:D2000=""BUY""), INT((ROW()-2)/amortYears)+1), )
"),"")</f>
        <v/>
      </c>
      <c r="D1003" s="15">
        <f>MOD(ROW()-2, amortYears)+1</f>
        <v>14</v>
      </c>
      <c r="E1003" s="15" t="str">
        <f t="shared" si="1"/>
        <v/>
      </c>
      <c r="F1003" s="16">
        <f t="shared" si="2"/>
        <v>0</v>
      </c>
      <c r="G1003" s="16">
        <f>IF(D1003&lt;=mortTerm, -PMT(mortRate/12, mortTerm*12, C1003)*12, 0)
</f>
        <v>0</v>
      </c>
      <c r="H1003" s="16">
        <f>IF(D1003&lt;=mortTerm, G1003 - I1003, 0)
</f>
        <v>0</v>
      </c>
      <c r="I1003" s="16">
        <f>IF(D1003&lt;=mortTerm, F1003 - J1003, 0)
</f>
        <v>0</v>
      </c>
      <c r="J1003" s="16">
        <f>IF(D1003&lt;=mortTerm,
   F1003*(1+mortRate/12)^12 - (-PMT(mortRate/12, mortTerm*12, C1003))*(((1+mortRate/12)^12 - 1)/(mortRate/12)),
   0
)
</f>
        <v>0</v>
      </c>
      <c r="K1003" s="13" t="str">
        <f>IFERROR(__xludf.DUMMYFUNCTION("IF(A1003="""","""",
   IF(F1003&gt;0,
      INDEX(FILTER('RE Portfolio'!L$2:L2000,'RE Portfolio'!D$2:D2000=""BUY""), INT((ROW()-2)/amortYears)+1) - G1003,
      INDEX(FILTER('RE Portfolio'!L$2:L2000,'RE Portfolio'!D$2:D2000=""BUY""), INT((ROW()-2)/amortYears"&amp;")+1)
   )
)
"),"")</f>
        <v/>
      </c>
      <c r="L1003" s="15" t="str">
        <f>IFERROR(__xludf.DUMMYFUNCTION("IF(A1003="""","""",
  INDEX(FILTER('RE Portfolio'!C$2:C2000,'RE Portfolio'!D$2:D2000=""BUY""), INT((ROW()-2)/amortYears)+1)
  * (1 + VALUE(Assumptions!$B$11))^(D1003-1)
)
"),"")</f>
        <v/>
      </c>
    </row>
    <row r="1004">
      <c r="A1004" s="15" t="str">
        <f>IFERROR(__xludf.DUMMYFUNCTION("IFERROR(INDEX(FILTER('RE Portfolio'!A$2:A2000,'RE Portfolio'!D$2:D2000=""BUY""), INT((ROW()-2)/amortYears)+1), )
"),"")</f>
        <v/>
      </c>
      <c r="B1004" s="15" t="str">
        <f>IFERROR(__xludf.DUMMYFUNCTION("IFERROR(INDEX(FILTER('RE Portfolio'!B$2:B2000,'RE Portfolio'!D$2:D2000=""BUY""), INT((ROW()-2)/amortYears)+1), )
"),"")</f>
        <v/>
      </c>
      <c r="C1004" s="15" t="str">
        <f>IFERROR(__xludf.DUMMYFUNCTION("IFERROR(INDEX(FILTER('RE Portfolio'!G$2:G2000,'RE Portfolio'!D$2:D2000=""BUY""), INT((ROW()-2)/amortYears)+1), )
"),"")</f>
        <v/>
      </c>
      <c r="D1004" s="15">
        <f>MOD(ROW()-2, amortYears)+1</f>
        <v>15</v>
      </c>
      <c r="E1004" s="15" t="str">
        <f t="shared" si="1"/>
        <v/>
      </c>
      <c r="F1004" s="16">
        <f t="shared" si="2"/>
        <v>0</v>
      </c>
      <c r="G1004" s="16">
        <f>IF(D1004&lt;=mortTerm, -PMT(mortRate/12, mortTerm*12, C1004)*12, 0)
</f>
        <v>0</v>
      </c>
      <c r="H1004" s="16">
        <f>IF(D1004&lt;=mortTerm, G1004 - I1004, 0)
</f>
        <v>0</v>
      </c>
      <c r="I1004" s="16">
        <f>IF(D1004&lt;=mortTerm, F1004 - J1004, 0)
</f>
        <v>0</v>
      </c>
      <c r="J1004" s="16">
        <f>IF(D1004&lt;=mortTerm,
   F1004*(1+mortRate/12)^12 - (-PMT(mortRate/12, mortTerm*12, C1004))*(((1+mortRate/12)^12 - 1)/(mortRate/12)),
   0
)
</f>
        <v>0</v>
      </c>
      <c r="K1004" s="13" t="str">
        <f>IFERROR(__xludf.DUMMYFUNCTION("IF(A1004="""","""",
   IF(F1004&gt;0,
      INDEX(FILTER('RE Portfolio'!L$2:L2000,'RE Portfolio'!D$2:D2000=""BUY""), INT((ROW()-2)/amortYears)+1) - G1004,
      INDEX(FILTER('RE Portfolio'!L$2:L2000,'RE Portfolio'!D$2:D2000=""BUY""), INT((ROW()-2)/amortYears"&amp;")+1)
   )
)
"),"")</f>
        <v/>
      </c>
      <c r="L1004" s="15" t="str">
        <f>IFERROR(__xludf.DUMMYFUNCTION("IF(A1004="""","""",
  INDEX(FILTER('RE Portfolio'!C$2:C2000,'RE Portfolio'!D$2:D2000=""BUY""), INT((ROW()-2)/amortYears)+1)
  * (1 + VALUE(Assumptions!$B$11))^(D1004-1)
)
"),"")</f>
        <v/>
      </c>
    </row>
    <row r="1005">
      <c r="A1005" s="15" t="str">
        <f>IFERROR(__xludf.DUMMYFUNCTION("IFERROR(INDEX(FILTER('RE Portfolio'!A$2:A2000,'RE Portfolio'!D$2:D2000=""BUY""), INT((ROW()-2)/amortYears)+1), )
"),"")</f>
        <v/>
      </c>
      <c r="B1005" s="15" t="str">
        <f>IFERROR(__xludf.DUMMYFUNCTION("IFERROR(INDEX(FILTER('RE Portfolio'!B$2:B2000,'RE Portfolio'!D$2:D2000=""BUY""), INT((ROW()-2)/amortYears)+1), )
"),"")</f>
        <v/>
      </c>
      <c r="C1005" s="15" t="str">
        <f>IFERROR(__xludf.DUMMYFUNCTION("IFERROR(INDEX(FILTER('RE Portfolio'!G$2:G2000,'RE Portfolio'!D$2:D2000=""BUY""), INT((ROW()-2)/amortYears)+1), )
"),"")</f>
        <v/>
      </c>
      <c r="D1005" s="15">
        <f>MOD(ROW()-2, amortYears)+1</f>
        <v>16</v>
      </c>
      <c r="E1005" s="15" t="str">
        <f t="shared" si="1"/>
        <v/>
      </c>
      <c r="F1005" s="16">
        <f t="shared" si="2"/>
        <v>0</v>
      </c>
      <c r="G1005" s="16">
        <f>IF(D1005&lt;=mortTerm, -PMT(mortRate/12, mortTerm*12, C1005)*12, 0)
</f>
        <v>0</v>
      </c>
      <c r="H1005" s="16">
        <f>IF(D1005&lt;=mortTerm, G1005 - I1005, 0)
</f>
        <v>0</v>
      </c>
      <c r="I1005" s="16">
        <f>IF(D1005&lt;=mortTerm, F1005 - J1005, 0)
</f>
        <v>0</v>
      </c>
      <c r="J1005" s="16">
        <f>IF(D1005&lt;=mortTerm,
   F1005*(1+mortRate/12)^12 - (-PMT(mortRate/12, mortTerm*12, C1005))*(((1+mortRate/12)^12 - 1)/(mortRate/12)),
   0
)
</f>
        <v>0</v>
      </c>
      <c r="K1005" s="13" t="str">
        <f>IFERROR(__xludf.DUMMYFUNCTION("IF(A1005="""","""",
   IF(F1005&gt;0,
      INDEX(FILTER('RE Portfolio'!L$2:L2000,'RE Portfolio'!D$2:D2000=""BUY""), INT((ROW()-2)/amortYears)+1) - G1005,
      INDEX(FILTER('RE Portfolio'!L$2:L2000,'RE Portfolio'!D$2:D2000=""BUY""), INT((ROW()-2)/amortYears"&amp;")+1)
   )
)
"),"")</f>
        <v/>
      </c>
      <c r="L1005" s="15" t="str">
        <f>IFERROR(__xludf.DUMMYFUNCTION("IF(A1005="""","""",
  INDEX(FILTER('RE Portfolio'!C$2:C2000,'RE Portfolio'!D$2:D2000=""BUY""), INT((ROW()-2)/amortYears)+1)
  * (1 + VALUE(Assumptions!$B$11))^(D1005-1)
)
"),"")</f>
        <v/>
      </c>
    </row>
    <row r="1006">
      <c r="A1006" s="15" t="str">
        <f>IFERROR(__xludf.DUMMYFUNCTION("IFERROR(INDEX(FILTER('RE Portfolio'!A$2:A2000,'RE Portfolio'!D$2:D2000=""BUY""), INT((ROW()-2)/amortYears)+1), )
"),"")</f>
        <v/>
      </c>
      <c r="B1006" s="15" t="str">
        <f>IFERROR(__xludf.DUMMYFUNCTION("IFERROR(INDEX(FILTER('RE Portfolio'!B$2:B2000,'RE Portfolio'!D$2:D2000=""BUY""), INT((ROW()-2)/amortYears)+1), )
"),"")</f>
        <v/>
      </c>
      <c r="C1006" s="15" t="str">
        <f>IFERROR(__xludf.DUMMYFUNCTION("IFERROR(INDEX(FILTER('RE Portfolio'!G$2:G2000,'RE Portfolio'!D$2:D2000=""BUY""), INT((ROW()-2)/amortYears)+1), )
"),"")</f>
        <v/>
      </c>
      <c r="D1006" s="15">
        <f>MOD(ROW()-2, amortYears)+1</f>
        <v>17</v>
      </c>
      <c r="E1006" s="15" t="str">
        <f t="shared" si="1"/>
        <v/>
      </c>
      <c r="F1006" s="16">
        <f t="shared" si="2"/>
        <v>0</v>
      </c>
      <c r="G1006" s="16">
        <f>IF(D1006&lt;=mortTerm, -PMT(mortRate/12, mortTerm*12, C1006)*12, 0)
</f>
        <v>0</v>
      </c>
      <c r="H1006" s="16">
        <f>IF(D1006&lt;=mortTerm, G1006 - I1006, 0)
</f>
        <v>0</v>
      </c>
      <c r="I1006" s="16">
        <f>IF(D1006&lt;=mortTerm, F1006 - J1006, 0)
</f>
        <v>0</v>
      </c>
      <c r="J1006" s="16">
        <f>IF(D1006&lt;=mortTerm,
   F1006*(1+mortRate/12)^12 - (-PMT(mortRate/12, mortTerm*12, C1006))*(((1+mortRate/12)^12 - 1)/(mortRate/12)),
   0
)
</f>
        <v>0</v>
      </c>
      <c r="K1006" s="13" t="str">
        <f>IFERROR(__xludf.DUMMYFUNCTION("IF(A1006="""","""",
   IF(F1006&gt;0,
      INDEX(FILTER('RE Portfolio'!L$2:L2000,'RE Portfolio'!D$2:D2000=""BUY""), INT((ROW()-2)/amortYears)+1) - G1006,
      INDEX(FILTER('RE Portfolio'!L$2:L2000,'RE Portfolio'!D$2:D2000=""BUY""), INT((ROW()-2)/amortYears"&amp;")+1)
   )
)
"),"")</f>
        <v/>
      </c>
      <c r="L1006" s="15" t="str">
        <f>IFERROR(__xludf.DUMMYFUNCTION("IF(A1006="""","""",
  INDEX(FILTER('RE Portfolio'!C$2:C2000,'RE Portfolio'!D$2:D2000=""BUY""), INT((ROW()-2)/amortYears)+1)
  * (1 + VALUE(Assumptions!$B$11))^(D1006-1)
)
"),"")</f>
        <v/>
      </c>
    </row>
    <row r="1007">
      <c r="A1007" s="15" t="str">
        <f>IFERROR(__xludf.DUMMYFUNCTION("IFERROR(INDEX(FILTER('RE Portfolio'!A$2:A2000,'RE Portfolio'!D$2:D2000=""BUY""), INT((ROW()-2)/amortYears)+1), )
"),"")</f>
        <v/>
      </c>
      <c r="B1007" s="15" t="str">
        <f>IFERROR(__xludf.DUMMYFUNCTION("IFERROR(INDEX(FILTER('RE Portfolio'!B$2:B2000,'RE Portfolio'!D$2:D2000=""BUY""), INT((ROW()-2)/amortYears)+1), )
"),"")</f>
        <v/>
      </c>
      <c r="C1007" s="15" t="str">
        <f>IFERROR(__xludf.DUMMYFUNCTION("IFERROR(INDEX(FILTER('RE Portfolio'!G$2:G2000,'RE Portfolio'!D$2:D2000=""BUY""), INT((ROW()-2)/amortYears)+1), )
"),"")</f>
        <v/>
      </c>
      <c r="D1007" s="15">
        <f>MOD(ROW()-2, amortYears)+1</f>
        <v>18</v>
      </c>
      <c r="E1007" s="15" t="str">
        <f t="shared" si="1"/>
        <v/>
      </c>
      <c r="F1007" s="16">
        <f t="shared" si="2"/>
        <v>0</v>
      </c>
      <c r="G1007" s="16">
        <f>IF(D1007&lt;=mortTerm, -PMT(mortRate/12, mortTerm*12, C1007)*12, 0)
</f>
        <v>0</v>
      </c>
      <c r="H1007" s="16">
        <f>IF(D1007&lt;=mortTerm, G1007 - I1007, 0)
</f>
        <v>0</v>
      </c>
      <c r="I1007" s="16">
        <f>IF(D1007&lt;=mortTerm, F1007 - J1007, 0)
</f>
        <v>0</v>
      </c>
      <c r="J1007" s="16">
        <f>IF(D1007&lt;=mortTerm,
   F1007*(1+mortRate/12)^12 - (-PMT(mortRate/12, mortTerm*12, C1007))*(((1+mortRate/12)^12 - 1)/(mortRate/12)),
   0
)
</f>
        <v>0</v>
      </c>
      <c r="K1007" s="13" t="str">
        <f>IFERROR(__xludf.DUMMYFUNCTION("IF(A1007="""","""",
   IF(F1007&gt;0,
      INDEX(FILTER('RE Portfolio'!L$2:L2000,'RE Portfolio'!D$2:D2000=""BUY""), INT((ROW()-2)/amortYears)+1) - G1007,
      INDEX(FILTER('RE Portfolio'!L$2:L2000,'RE Portfolio'!D$2:D2000=""BUY""), INT((ROW()-2)/amortYears"&amp;")+1)
   )
)
"),"")</f>
        <v/>
      </c>
      <c r="L1007" s="15" t="str">
        <f>IFERROR(__xludf.DUMMYFUNCTION("IF(A1007="""","""",
  INDEX(FILTER('RE Portfolio'!C$2:C2000,'RE Portfolio'!D$2:D2000=""BUY""), INT((ROW()-2)/amortYears)+1)
  * (1 + VALUE(Assumptions!$B$11))^(D1007-1)
)
"),"")</f>
        <v/>
      </c>
    </row>
    <row r="1008">
      <c r="A1008" s="15" t="str">
        <f>IFERROR(__xludf.DUMMYFUNCTION("IFERROR(INDEX(FILTER('RE Portfolio'!A$2:A2000,'RE Portfolio'!D$2:D2000=""BUY""), INT((ROW()-2)/amortYears)+1), )
"),"")</f>
        <v/>
      </c>
      <c r="B1008" s="15" t="str">
        <f>IFERROR(__xludf.DUMMYFUNCTION("IFERROR(INDEX(FILTER('RE Portfolio'!B$2:B2000,'RE Portfolio'!D$2:D2000=""BUY""), INT((ROW()-2)/amortYears)+1), )
"),"")</f>
        <v/>
      </c>
      <c r="C1008" s="15" t="str">
        <f>IFERROR(__xludf.DUMMYFUNCTION("IFERROR(INDEX(FILTER('RE Portfolio'!G$2:G2000,'RE Portfolio'!D$2:D2000=""BUY""), INT((ROW()-2)/amortYears)+1), )
"),"")</f>
        <v/>
      </c>
      <c r="D1008" s="15">
        <f>MOD(ROW()-2, amortYears)+1</f>
        <v>19</v>
      </c>
      <c r="E1008" s="15" t="str">
        <f t="shared" si="1"/>
        <v/>
      </c>
      <c r="F1008" s="16">
        <f t="shared" si="2"/>
        <v>0</v>
      </c>
      <c r="G1008" s="16">
        <f>IF(D1008&lt;=mortTerm, -PMT(mortRate/12, mortTerm*12, C1008)*12, 0)
</f>
        <v>0</v>
      </c>
      <c r="H1008" s="16">
        <f>IF(D1008&lt;=mortTerm, G1008 - I1008, 0)
</f>
        <v>0</v>
      </c>
      <c r="I1008" s="16">
        <f>IF(D1008&lt;=mortTerm, F1008 - J1008, 0)
</f>
        <v>0</v>
      </c>
      <c r="J1008" s="16">
        <f>IF(D1008&lt;=mortTerm,
   F1008*(1+mortRate/12)^12 - (-PMT(mortRate/12, mortTerm*12, C1008))*(((1+mortRate/12)^12 - 1)/(mortRate/12)),
   0
)
</f>
        <v>0</v>
      </c>
      <c r="K1008" s="13" t="str">
        <f>IFERROR(__xludf.DUMMYFUNCTION("IF(A1008="""","""",
   IF(F1008&gt;0,
      INDEX(FILTER('RE Portfolio'!L$2:L2000,'RE Portfolio'!D$2:D2000=""BUY""), INT((ROW()-2)/amortYears)+1) - G1008,
      INDEX(FILTER('RE Portfolio'!L$2:L2000,'RE Portfolio'!D$2:D2000=""BUY""), INT((ROW()-2)/amortYears"&amp;")+1)
   )
)
"),"")</f>
        <v/>
      </c>
      <c r="L1008" s="15" t="str">
        <f>IFERROR(__xludf.DUMMYFUNCTION("IF(A1008="""","""",
  INDEX(FILTER('RE Portfolio'!C$2:C2000,'RE Portfolio'!D$2:D2000=""BUY""), INT((ROW()-2)/amortYears)+1)
  * (1 + VALUE(Assumptions!$B$11))^(D1008-1)
)
"),"")</f>
        <v/>
      </c>
    </row>
    <row r="1009">
      <c r="A1009" s="15" t="str">
        <f>IFERROR(__xludf.DUMMYFUNCTION("IFERROR(INDEX(FILTER('RE Portfolio'!A$2:A2000,'RE Portfolio'!D$2:D2000=""BUY""), INT((ROW()-2)/amortYears)+1), )
"),"")</f>
        <v/>
      </c>
      <c r="B1009" s="15" t="str">
        <f>IFERROR(__xludf.DUMMYFUNCTION("IFERROR(INDEX(FILTER('RE Portfolio'!B$2:B2000,'RE Portfolio'!D$2:D2000=""BUY""), INT((ROW()-2)/amortYears)+1), )
"),"")</f>
        <v/>
      </c>
      <c r="C1009" s="15" t="str">
        <f>IFERROR(__xludf.DUMMYFUNCTION("IFERROR(INDEX(FILTER('RE Portfolio'!G$2:G2000,'RE Portfolio'!D$2:D2000=""BUY""), INT((ROW()-2)/amortYears)+1), )
"),"")</f>
        <v/>
      </c>
      <c r="D1009" s="15">
        <f>MOD(ROW()-2, amortYears)+1</f>
        <v>20</v>
      </c>
      <c r="E1009" s="15" t="str">
        <f t="shared" si="1"/>
        <v/>
      </c>
      <c r="F1009" s="16">
        <f t="shared" si="2"/>
        <v>0</v>
      </c>
      <c r="G1009" s="16">
        <f>IF(D1009&lt;=mortTerm, -PMT(mortRate/12, mortTerm*12, C1009)*12, 0)
</f>
        <v>0</v>
      </c>
      <c r="H1009" s="16">
        <f>IF(D1009&lt;=mortTerm, G1009 - I1009, 0)
</f>
        <v>0</v>
      </c>
      <c r="I1009" s="16">
        <f>IF(D1009&lt;=mortTerm, F1009 - J1009, 0)
</f>
        <v>0</v>
      </c>
      <c r="J1009" s="16">
        <f>IF(D1009&lt;=mortTerm,
   F1009*(1+mortRate/12)^12 - (-PMT(mortRate/12, mortTerm*12, C1009))*(((1+mortRate/12)^12 - 1)/(mortRate/12)),
   0
)
</f>
        <v>0</v>
      </c>
      <c r="K1009" s="13" t="str">
        <f>IFERROR(__xludf.DUMMYFUNCTION("IF(A1009="""","""",
   IF(F1009&gt;0,
      INDEX(FILTER('RE Portfolio'!L$2:L2000,'RE Portfolio'!D$2:D2000=""BUY""), INT((ROW()-2)/amortYears)+1) - G1009,
      INDEX(FILTER('RE Portfolio'!L$2:L2000,'RE Portfolio'!D$2:D2000=""BUY""), INT((ROW()-2)/amortYears"&amp;")+1)
   )
)
"),"")</f>
        <v/>
      </c>
      <c r="L1009" s="15" t="str">
        <f>IFERROR(__xludf.DUMMYFUNCTION("IF(A1009="""","""",
  INDEX(FILTER('RE Portfolio'!C$2:C2000,'RE Portfolio'!D$2:D2000=""BUY""), INT((ROW()-2)/amortYears)+1)
  * (1 + VALUE(Assumptions!$B$11))^(D1009-1)
)
"),"")</f>
        <v/>
      </c>
    </row>
    <row r="1010">
      <c r="A1010" s="15" t="str">
        <f>IFERROR(__xludf.DUMMYFUNCTION("IFERROR(INDEX(FILTER('RE Portfolio'!A$2:A2000,'RE Portfolio'!D$2:D2000=""BUY""), INT((ROW()-2)/amortYears)+1), )
"),"")</f>
        <v/>
      </c>
      <c r="B1010" s="15" t="str">
        <f>IFERROR(__xludf.DUMMYFUNCTION("IFERROR(INDEX(FILTER('RE Portfolio'!B$2:B2000,'RE Portfolio'!D$2:D2000=""BUY""), INT((ROW()-2)/amortYears)+1), )
"),"")</f>
        <v/>
      </c>
      <c r="C1010" s="15" t="str">
        <f>IFERROR(__xludf.DUMMYFUNCTION("IFERROR(INDEX(FILTER('RE Portfolio'!G$2:G2000,'RE Portfolio'!D$2:D2000=""BUY""), INT((ROW()-2)/amortYears)+1), )
"),"")</f>
        <v/>
      </c>
      <c r="D1010" s="15">
        <f>MOD(ROW()-2, amortYears)+1</f>
        <v>21</v>
      </c>
      <c r="E1010" s="15" t="str">
        <f t="shared" si="1"/>
        <v/>
      </c>
      <c r="F1010" s="16">
        <f t="shared" si="2"/>
        <v>0</v>
      </c>
      <c r="G1010" s="16">
        <f>IF(D1010&lt;=mortTerm, -PMT(mortRate/12, mortTerm*12, C1010)*12, 0)
</f>
        <v>0</v>
      </c>
      <c r="H1010" s="16">
        <f>IF(D1010&lt;=mortTerm, G1010 - I1010, 0)
</f>
        <v>0</v>
      </c>
      <c r="I1010" s="16">
        <f>IF(D1010&lt;=mortTerm, F1010 - J1010, 0)
</f>
        <v>0</v>
      </c>
      <c r="J1010" s="16">
        <f>IF(D1010&lt;=mortTerm,
   F1010*(1+mortRate/12)^12 - (-PMT(mortRate/12, mortTerm*12, C1010))*(((1+mortRate/12)^12 - 1)/(mortRate/12)),
   0
)
</f>
        <v>0</v>
      </c>
      <c r="K1010" s="13" t="str">
        <f>IFERROR(__xludf.DUMMYFUNCTION("IF(A1010="""","""",
   IF(F1010&gt;0,
      INDEX(FILTER('RE Portfolio'!L$2:L2000,'RE Portfolio'!D$2:D2000=""BUY""), INT((ROW()-2)/amortYears)+1) - G1010,
      INDEX(FILTER('RE Portfolio'!L$2:L2000,'RE Portfolio'!D$2:D2000=""BUY""), INT((ROW()-2)/amortYears"&amp;")+1)
   )
)
"),"")</f>
        <v/>
      </c>
      <c r="L1010" s="15" t="str">
        <f>IFERROR(__xludf.DUMMYFUNCTION("IF(A1010="""","""",
  INDEX(FILTER('RE Portfolio'!C$2:C2000,'RE Portfolio'!D$2:D2000=""BUY""), INT((ROW()-2)/amortYears)+1)
  * (1 + VALUE(Assumptions!$B$11))^(D1010-1)
)
"),"")</f>
        <v/>
      </c>
    </row>
    <row r="1011">
      <c r="A1011" s="15" t="str">
        <f>IFERROR(__xludf.DUMMYFUNCTION("IFERROR(INDEX(FILTER('RE Portfolio'!A$2:A2000,'RE Portfolio'!D$2:D2000=""BUY""), INT((ROW()-2)/amortYears)+1), )
"),"")</f>
        <v/>
      </c>
      <c r="B1011" s="15" t="str">
        <f>IFERROR(__xludf.DUMMYFUNCTION("IFERROR(INDEX(FILTER('RE Portfolio'!B$2:B2000,'RE Portfolio'!D$2:D2000=""BUY""), INT((ROW()-2)/amortYears)+1), )
"),"")</f>
        <v/>
      </c>
      <c r="C1011" s="15" t="str">
        <f>IFERROR(__xludf.DUMMYFUNCTION("IFERROR(INDEX(FILTER('RE Portfolio'!G$2:G2000,'RE Portfolio'!D$2:D2000=""BUY""), INT((ROW()-2)/amortYears)+1), )
"),"")</f>
        <v/>
      </c>
      <c r="D1011" s="15">
        <f>MOD(ROW()-2, amortYears)+1</f>
        <v>22</v>
      </c>
      <c r="E1011" s="15" t="str">
        <f t="shared" si="1"/>
        <v/>
      </c>
      <c r="F1011" s="16">
        <f t="shared" si="2"/>
        <v>0</v>
      </c>
      <c r="G1011" s="16">
        <f>IF(D1011&lt;=mortTerm, -PMT(mortRate/12, mortTerm*12, C1011)*12, 0)
</f>
        <v>0</v>
      </c>
      <c r="H1011" s="16">
        <f>IF(D1011&lt;=mortTerm, G1011 - I1011, 0)
</f>
        <v>0</v>
      </c>
      <c r="I1011" s="16">
        <f>IF(D1011&lt;=mortTerm, F1011 - J1011, 0)
</f>
        <v>0</v>
      </c>
      <c r="J1011" s="16">
        <f>IF(D1011&lt;=mortTerm,
   F1011*(1+mortRate/12)^12 - (-PMT(mortRate/12, mortTerm*12, C1011))*(((1+mortRate/12)^12 - 1)/(mortRate/12)),
   0
)
</f>
        <v>0</v>
      </c>
      <c r="K1011" s="13" t="str">
        <f>IFERROR(__xludf.DUMMYFUNCTION("IF(A1011="""","""",
   IF(F1011&gt;0,
      INDEX(FILTER('RE Portfolio'!L$2:L2000,'RE Portfolio'!D$2:D2000=""BUY""), INT((ROW()-2)/amortYears)+1) - G1011,
      INDEX(FILTER('RE Portfolio'!L$2:L2000,'RE Portfolio'!D$2:D2000=""BUY""), INT((ROW()-2)/amortYears"&amp;")+1)
   )
)
"),"")</f>
        <v/>
      </c>
      <c r="L1011" s="15" t="str">
        <f>IFERROR(__xludf.DUMMYFUNCTION("IF(A1011="""","""",
  INDEX(FILTER('RE Portfolio'!C$2:C2000,'RE Portfolio'!D$2:D2000=""BUY""), INT((ROW()-2)/amortYears)+1)
  * (1 + VALUE(Assumptions!$B$11))^(D1011-1)
)
"),"")</f>
        <v/>
      </c>
    </row>
    <row r="1012">
      <c r="A1012" s="15" t="str">
        <f>IFERROR(__xludf.DUMMYFUNCTION("IFERROR(INDEX(FILTER('RE Portfolio'!A$2:A2000,'RE Portfolio'!D$2:D2000=""BUY""), INT((ROW()-2)/amortYears)+1), )
"),"")</f>
        <v/>
      </c>
      <c r="B1012" s="15" t="str">
        <f>IFERROR(__xludf.DUMMYFUNCTION("IFERROR(INDEX(FILTER('RE Portfolio'!B$2:B2000,'RE Portfolio'!D$2:D2000=""BUY""), INT((ROW()-2)/amortYears)+1), )
"),"")</f>
        <v/>
      </c>
      <c r="C1012" s="15" t="str">
        <f>IFERROR(__xludf.DUMMYFUNCTION("IFERROR(INDEX(FILTER('RE Portfolio'!G$2:G2000,'RE Portfolio'!D$2:D2000=""BUY""), INT((ROW()-2)/amortYears)+1), )
"),"")</f>
        <v/>
      </c>
      <c r="D1012" s="15">
        <f>MOD(ROW()-2, amortYears)+1</f>
        <v>23</v>
      </c>
      <c r="E1012" s="15" t="str">
        <f t="shared" si="1"/>
        <v/>
      </c>
      <c r="F1012" s="16">
        <f t="shared" si="2"/>
        <v>0</v>
      </c>
      <c r="G1012" s="16">
        <f>IF(D1012&lt;=mortTerm, -PMT(mortRate/12, mortTerm*12, C1012)*12, 0)
</f>
        <v>0</v>
      </c>
      <c r="H1012" s="16">
        <f>IF(D1012&lt;=mortTerm, G1012 - I1012, 0)
</f>
        <v>0</v>
      </c>
      <c r="I1012" s="16">
        <f>IF(D1012&lt;=mortTerm, F1012 - J1012, 0)
</f>
        <v>0</v>
      </c>
      <c r="J1012" s="16">
        <f>IF(D1012&lt;=mortTerm,
   F1012*(1+mortRate/12)^12 - (-PMT(mortRate/12, mortTerm*12, C1012))*(((1+mortRate/12)^12 - 1)/(mortRate/12)),
   0
)
</f>
        <v>0</v>
      </c>
      <c r="K1012" s="13" t="str">
        <f>IFERROR(__xludf.DUMMYFUNCTION("IF(A1012="""","""",
   IF(F1012&gt;0,
      INDEX(FILTER('RE Portfolio'!L$2:L2000,'RE Portfolio'!D$2:D2000=""BUY""), INT((ROW()-2)/amortYears)+1) - G1012,
      INDEX(FILTER('RE Portfolio'!L$2:L2000,'RE Portfolio'!D$2:D2000=""BUY""), INT((ROW()-2)/amortYears"&amp;")+1)
   )
)
"),"")</f>
        <v/>
      </c>
      <c r="L1012" s="15" t="str">
        <f>IFERROR(__xludf.DUMMYFUNCTION("IF(A1012="""","""",
  INDEX(FILTER('RE Portfolio'!C$2:C2000,'RE Portfolio'!D$2:D2000=""BUY""), INT((ROW()-2)/amortYears)+1)
  * (1 + VALUE(Assumptions!$B$11))^(D1012-1)
)
"),"")</f>
        <v/>
      </c>
    </row>
    <row r="1013">
      <c r="A1013" s="15" t="str">
        <f>IFERROR(__xludf.DUMMYFUNCTION("IFERROR(INDEX(FILTER('RE Portfolio'!A$2:A2000,'RE Portfolio'!D$2:D2000=""BUY""), INT((ROW()-2)/amortYears)+1), )
"),"")</f>
        <v/>
      </c>
      <c r="B1013" s="15" t="str">
        <f>IFERROR(__xludf.DUMMYFUNCTION("IFERROR(INDEX(FILTER('RE Portfolio'!B$2:B2000,'RE Portfolio'!D$2:D2000=""BUY""), INT((ROW()-2)/amortYears)+1), )
"),"")</f>
        <v/>
      </c>
      <c r="C1013" s="15" t="str">
        <f>IFERROR(__xludf.DUMMYFUNCTION("IFERROR(INDEX(FILTER('RE Portfolio'!G$2:G2000,'RE Portfolio'!D$2:D2000=""BUY""), INT((ROW()-2)/amortYears)+1), )
"),"")</f>
        <v/>
      </c>
      <c r="D1013" s="15">
        <f>MOD(ROW()-2, amortYears)+1</f>
        <v>24</v>
      </c>
      <c r="E1013" s="15" t="str">
        <f t="shared" si="1"/>
        <v/>
      </c>
      <c r="F1013" s="16">
        <f t="shared" si="2"/>
        <v>0</v>
      </c>
      <c r="G1013" s="16">
        <f>IF(D1013&lt;=mortTerm, -PMT(mortRate/12, mortTerm*12, C1013)*12, 0)
</f>
        <v>0</v>
      </c>
      <c r="H1013" s="16">
        <f>IF(D1013&lt;=mortTerm, G1013 - I1013, 0)
</f>
        <v>0</v>
      </c>
      <c r="I1013" s="16">
        <f>IF(D1013&lt;=mortTerm, F1013 - J1013, 0)
</f>
        <v>0</v>
      </c>
      <c r="J1013" s="16">
        <f>IF(D1013&lt;=mortTerm,
   F1013*(1+mortRate/12)^12 - (-PMT(mortRate/12, mortTerm*12, C1013))*(((1+mortRate/12)^12 - 1)/(mortRate/12)),
   0
)
</f>
        <v>0</v>
      </c>
      <c r="K1013" s="13" t="str">
        <f>IFERROR(__xludf.DUMMYFUNCTION("IF(A1013="""","""",
   IF(F1013&gt;0,
      INDEX(FILTER('RE Portfolio'!L$2:L2000,'RE Portfolio'!D$2:D2000=""BUY""), INT((ROW()-2)/amortYears)+1) - G1013,
      INDEX(FILTER('RE Portfolio'!L$2:L2000,'RE Portfolio'!D$2:D2000=""BUY""), INT((ROW()-2)/amortYears"&amp;")+1)
   )
)
"),"")</f>
        <v/>
      </c>
      <c r="L1013" s="15" t="str">
        <f>IFERROR(__xludf.DUMMYFUNCTION("IF(A1013="""","""",
  INDEX(FILTER('RE Portfolio'!C$2:C2000,'RE Portfolio'!D$2:D2000=""BUY""), INT((ROW()-2)/amortYears)+1)
  * (1 + VALUE(Assumptions!$B$11))^(D1013-1)
)
"),"")</f>
        <v/>
      </c>
    </row>
    <row r="1014">
      <c r="A1014" s="15" t="str">
        <f>IFERROR(__xludf.DUMMYFUNCTION("IFERROR(INDEX(FILTER('RE Portfolio'!A$2:A2000,'RE Portfolio'!D$2:D2000=""BUY""), INT((ROW()-2)/amortYears)+1), )
"),"")</f>
        <v/>
      </c>
      <c r="B1014" s="15" t="str">
        <f>IFERROR(__xludf.DUMMYFUNCTION("IFERROR(INDEX(FILTER('RE Portfolio'!B$2:B2000,'RE Portfolio'!D$2:D2000=""BUY""), INT((ROW()-2)/amortYears)+1), )
"),"")</f>
        <v/>
      </c>
      <c r="C1014" s="15" t="str">
        <f>IFERROR(__xludf.DUMMYFUNCTION("IFERROR(INDEX(FILTER('RE Portfolio'!G$2:G2000,'RE Portfolio'!D$2:D2000=""BUY""), INT((ROW()-2)/amortYears)+1), )
"),"")</f>
        <v/>
      </c>
      <c r="D1014" s="15">
        <f>MOD(ROW()-2, amortYears)+1</f>
        <v>25</v>
      </c>
      <c r="E1014" s="15" t="str">
        <f t="shared" si="1"/>
        <v/>
      </c>
      <c r="F1014" s="16">
        <f t="shared" si="2"/>
        <v>0</v>
      </c>
      <c r="G1014" s="16">
        <f>IF(D1014&lt;=mortTerm, -PMT(mortRate/12, mortTerm*12, C1014)*12, 0)
</f>
        <v>0</v>
      </c>
      <c r="H1014" s="16">
        <f>IF(D1014&lt;=mortTerm, G1014 - I1014, 0)
</f>
        <v>0</v>
      </c>
      <c r="I1014" s="16">
        <f>IF(D1014&lt;=mortTerm, F1014 - J1014, 0)
</f>
        <v>0</v>
      </c>
      <c r="J1014" s="16">
        <f>IF(D1014&lt;=mortTerm,
   F1014*(1+mortRate/12)^12 - (-PMT(mortRate/12, mortTerm*12, C1014))*(((1+mortRate/12)^12 - 1)/(mortRate/12)),
   0
)
</f>
        <v>0</v>
      </c>
      <c r="K1014" s="13" t="str">
        <f>IFERROR(__xludf.DUMMYFUNCTION("IF(A1014="""","""",
   IF(F1014&gt;0,
      INDEX(FILTER('RE Portfolio'!L$2:L2000,'RE Portfolio'!D$2:D2000=""BUY""), INT((ROW()-2)/amortYears)+1) - G1014,
      INDEX(FILTER('RE Portfolio'!L$2:L2000,'RE Portfolio'!D$2:D2000=""BUY""), INT((ROW()-2)/amortYears"&amp;")+1)
   )
)
"),"")</f>
        <v/>
      </c>
      <c r="L1014" s="15" t="str">
        <f>IFERROR(__xludf.DUMMYFUNCTION("IF(A1014="""","""",
  INDEX(FILTER('RE Portfolio'!C$2:C2000,'RE Portfolio'!D$2:D2000=""BUY""), INT((ROW()-2)/amortYears)+1)
  * (1 + VALUE(Assumptions!$B$11))^(D1014-1)
)
"),"")</f>
        <v/>
      </c>
    </row>
    <row r="1015">
      <c r="A1015" s="15" t="str">
        <f>IFERROR(__xludf.DUMMYFUNCTION("IFERROR(INDEX(FILTER('RE Portfolio'!A$2:A2000,'RE Portfolio'!D$2:D2000=""BUY""), INT((ROW()-2)/amortYears)+1), )
"),"")</f>
        <v/>
      </c>
      <c r="B1015" s="15" t="str">
        <f>IFERROR(__xludf.DUMMYFUNCTION("IFERROR(INDEX(FILTER('RE Portfolio'!B$2:B2000,'RE Portfolio'!D$2:D2000=""BUY""), INT((ROW()-2)/amortYears)+1), )
"),"")</f>
        <v/>
      </c>
      <c r="C1015" s="15" t="str">
        <f>IFERROR(__xludf.DUMMYFUNCTION("IFERROR(INDEX(FILTER('RE Portfolio'!G$2:G2000,'RE Portfolio'!D$2:D2000=""BUY""), INT((ROW()-2)/amortYears)+1), )
"),"")</f>
        <v/>
      </c>
      <c r="D1015" s="15">
        <f>MOD(ROW()-2, amortYears)+1</f>
        <v>26</v>
      </c>
      <c r="E1015" s="15" t="str">
        <f t="shared" si="1"/>
        <v/>
      </c>
      <c r="F1015" s="16">
        <f t="shared" si="2"/>
        <v>0</v>
      </c>
      <c r="G1015" s="16">
        <f>IF(D1015&lt;=mortTerm, -PMT(mortRate/12, mortTerm*12, C1015)*12, 0)
</f>
        <v>0</v>
      </c>
      <c r="H1015" s="16">
        <f>IF(D1015&lt;=mortTerm, G1015 - I1015, 0)
</f>
        <v>0</v>
      </c>
      <c r="I1015" s="16">
        <f>IF(D1015&lt;=mortTerm, F1015 - J1015, 0)
</f>
        <v>0</v>
      </c>
      <c r="J1015" s="16">
        <f>IF(D1015&lt;=mortTerm,
   F1015*(1+mortRate/12)^12 - (-PMT(mortRate/12, mortTerm*12, C1015))*(((1+mortRate/12)^12 - 1)/(mortRate/12)),
   0
)
</f>
        <v>0</v>
      </c>
      <c r="K1015" s="13" t="str">
        <f>IFERROR(__xludf.DUMMYFUNCTION("IF(A1015="""","""",
   IF(F1015&gt;0,
      INDEX(FILTER('RE Portfolio'!L$2:L2000,'RE Portfolio'!D$2:D2000=""BUY""), INT((ROW()-2)/amortYears)+1) - G1015,
      INDEX(FILTER('RE Portfolio'!L$2:L2000,'RE Portfolio'!D$2:D2000=""BUY""), INT((ROW()-2)/amortYears"&amp;")+1)
   )
)
"),"")</f>
        <v/>
      </c>
      <c r="L1015" s="15" t="str">
        <f>IFERROR(__xludf.DUMMYFUNCTION("IF(A1015="""","""",
  INDEX(FILTER('RE Portfolio'!C$2:C2000,'RE Portfolio'!D$2:D2000=""BUY""), INT((ROW()-2)/amortYears)+1)
  * (1 + VALUE(Assumptions!$B$11))^(D1015-1)
)
"),"")</f>
        <v/>
      </c>
    </row>
    <row r="1016">
      <c r="A1016" s="15" t="str">
        <f>IFERROR(__xludf.DUMMYFUNCTION("IFERROR(INDEX(FILTER('RE Portfolio'!A$2:A2000,'RE Portfolio'!D$2:D2000=""BUY""), INT((ROW()-2)/amortYears)+1), )
"),"")</f>
        <v/>
      </c>
      <c r="B1016" s="15" t="str">
        <f>IFERROR(__xludf.DUMMYFUNCTION("IFERROR(INDEX(FILTER('RE Portfolio'!B$2:B2000,'RE Portfolio'!D$2:D2000=""BUY""), INT((ROW()-2)/amortYears)+1), )
"),"")</f>
        <v/>
      </c>
      <c r="C1016" s="15" t="str">
        <f>IFERROR(__xludf.DUMMYFUNCTION("IFERROR(INDEX(FILTER('RE Portfolio'!G$2:G2000,'RE Portfolio'!D$2:D2000=""BUY""), INT((ROW()-2)/amortYears)+1), )
"),"")</f>
        <v/>
      </c>
      <c r="D1016" s="15">
        <f>MOD(ROW()-2, amortYears)+1</f>
        <v>27</v>
      </c>
      <c r="E1016" s="15" t="str">
        <f t="shared" si="1"/>
        <v/>
      </c>
      <c r="F1016" s="16">
        <f t="shared" si="2"/>
        <v>0</v>
      </c>
      <c r="G1016" s="16">
        <f>IF(D1016&lt;=mortTerm, -PMT(mortRate/12, mortTerm*12, C1016)*12, 0)
</f>
        <v>0</v>
      </c>
      <c r="H1016" s="16">
        <f>IF(D1016&lt;=mortTerm, G1016 - I1016, 0)
</f>
        <v>0</v>
      </c>
      <c r="I1016" s="16">
        <f>IF(D1016&lt;=mortTerm, F1016 - J1016, 0)
</f>
        <v>0</v>
      </c>
      <c r="J1016" s="16">
        <f>IF(D1016&lt;=mortTerm,
   F1016*(1+mortRate/12)^12 - (-PMT(mortRate/12, mortTerm*12, C1016))*(((1+mortRate/12)^12 - 1)/(mortRate/12)),
   0
)
</f>
        <v>0</v>
      </c>
      <c r="K1016" s="13" t="str">
        <f>IFERROR(__xludf.DUMMYFUNCTION("IF(A1016="""","""",
   IF(F1016&gt;0,
      INDEX(FILTER('RE Portfolio'!L$2:L2000,'RE Portfolio'!D$2:D2000=""BUY""), INT((ROW()-2)/amortYears)+1) - G1016,
      INDEX(FILTER('RE Portfolio'!L$2:L2000,'RE Portfolio'!D$2:D2000=""BUY""), INT((ROW()-2)/amortYears"&amp;")+1)
   )
)
"),"")</f>
        <v/>
      </c>
      <c r="L1016" s="15" t="str">
        <f>IFERROR(__xludf.DUMMYFUNCTION("IF(A1016="""","""",
  INDEX(FILTER('RE Portfolio'!C$2:C2000,'RE Portfolio'!D$2:D2000=""BUY""), INT((ROW()-2)/amortYears)+1)
  * (1 + VALUE(Assumptions!$B$11))^(D1016-1)
)
"),"")</f>
        <v/>
      </c>
    </row>
    <row r="1017">
      <c r="A1017" s="15" t="str">
        <f>IFERROR(__xludf.DUMMYFUNCTION("IFERROR(INDEX(FILTER('RE Portfolio'!A$2:A2000,'RE Portfolio'!D$2:D2000=""BUY""), INT((ROW()-2)/amortYears)+1), )
"),"")</f>
        <v/>
      </c>
      <c r="B1017" s="15" t="str">
        <f>IFERROR(__xludf.DUMMYFUNCTION("IFERROR(INDEX(FILTER('RE Portfolio'!B$2:B2000,'RE Portfolio'!D$2:D2000=""BUY""), INT((ROW()-2)/amortYears)+1), )
"),"")</f>
        <v/>
      </c>
      <c r="C1017" s="15" t="str">
        <f>IFERROR(__xludf.DUMMYFUNCTION("IFERROR(INDEX(FILTER('RE Portfolio'!G$2:G2000,'RE Portfolio'!D$2:D2000=""BUY""), INT((ROW()-2)/amortYears)+1), )
"),"")</f>
        <v/>
      </c>
      <c r="D1017" s="15">
        <f>MOD(ROW()-2, amortYears)+1</f>
        <v>28</v>
      </c>
      <c r="E1017" s="15" t="str">
        <f t="shared" si="1"/>
        <v/>
      </c>
      <c r="F1017" s="16">
        <f t="shared" si="2"/>
        <v>0</v>
      </c>
      <c r="G1017" s="16">
        <f>IF(D1017&lt;=mortTerm, -PMT(mortRate/12, mortTerm*12, C1017)*12, 0)
</f>
        <v>0</v>
      </c>
      <c r="H1017" s="16">
        <f>IF(D1017&lt;=mortTerm, G1017 - I1017, 0)
</f>
        <v>0</v>
      </c>
      <c r="I1017" s="16">
        <f>IF(D1017&lt;=mortTerm, F1017 - J1017, 0)
</f>
        <v>0</v>
      </c>
      <c r="J1017" s="16">
        <f>IF(D1017&lt;=mortTerm,
   F1017*(1+mortRate/12)^12 - (-PMT(mortRate/12, mortTerm*12, C1017))*(((1+mortRate/12)^12 - 1)/(mortRate/12)),
   0
)
</f>
        <v>0</v>
      </c>
      <c r="K1017" s="13" t="str">
        <f>IFERROR(__xludf.DUMMYFUNCTION("IF(A1017="""","""",
   IF(F1017&gt;0,
      INDEX(FILTER('RE Portfolio'!L$2:L2000,'RE Portfolio'!D$2:D2000=""BUY""), INT((ROW()-2)/amortYears)+1) - G1017,
      INDEX(FILTER('RE Portfolio'!L$2:L2000,'RE Portfolio'!D$2:D2000=""BUY""), INT((ROW()-2)/amortYears"&amp;")+1)
   )
)
"),"")</f>
        <v/>
      </c>
      <c r="L1017" s="15" t="str">
        <f>IFERROR(__xludf.DUMMYFUNCTION("IF(A1017="""","""",
  INDEX(FILTER('RE Portfolio'!C$2:C2000,'RE Portfolio'!D$2:D2000=""BUY""), INT((ROW()-2)/amortYears)+1)
  * (1 + VALUE(Assumptions!$B$11))^(D1017-1)
)
"),"")</f>
        <v/>
      </c>
    </row>
    <row r="1018">
      <c r="A1018" s="15" t="str">
        <f>IFERROR(__xludf.DUMMYFUNCTION("IFERROR(INDEX(FILTER('RE Portfolio'!A$2:A2000,'RE Portfolio'!D$2:D2000=""BUY""), INT((ROW()-2)/amortYears)+1), )
"),"")</f>
        <v/>
      </c>
      <c r="B1018" s="15" t="str">
        <f>IFERROR(__xludf.DUMMYFUNCTION("IFERROR(INDEX(FILTER('RE Portfolio'!B$2:B2000,'RE Portfolio'!D$2:D2000=""BUY""), INT((ROW()-2)/amortYears)+1), )
"),"")</f>
        <v/>
      </c>
      <c r="C1018" s="15" t="str">
        <f>IFERROR(__xludf.DUMMYFUNCTION("IFERROR(INDEX(FILTER('RE Portfolio'!G$2:G2000,'RE Portfolio'!D$2:D2000=""BUY""), INT((ROW()-2)/amortYears)+1), )
"),"")</f>
        <v/>
      </c>
      <c r="D1018" s="15">
        <f>MOD(ROW()-2, amortYears)+1</f>
        <v>29</v>
      </c>
      <c r="E1018" s="15" t="str">
        <f t="shared" si="1"/>
        <v/>
      </c>
      <c r="F1018" s="16">
        <f t="shared" si="2"/>
        <v>0</v>
      </c>
      <c r="G1018" s="16">
        <f>IF(D1018&lt;=mortTerm, -PMT(mortRate/12, mortTerm*12, C1018)*12, 0)
</f>
        <v>0</v>
      </c>
      <c r="H1018" s="16">
        <f>IF(D1018&lt;=mortTerm, G1018 - I1018, 0)
</f>
        <v>0</v>
      </c>
      <c r="I1018" s="16">
        <f>IF(D1018&lt;=mortTerm, F1018 - J1018, 0)
</f>
        <v>0</v>
      </c>
      <c r="J1018" s="16">
        <f>IF(D1018&lt;=mortTerm,
   F1018*(1+mortRate/12)^12 - (-PMT(mortRate/12, mortTerm*12, C1018))*(((1+mortRate/12)^12 - 1)/(mortRate/12)),
   0
)
</f>
        <v>0</v>
      </c>
      <c r="K1018" s="13" t="str">
        <f>IFERROR(__xludf.DUMMYFUNCTION("IF(A1018="""","""",
   IF(F1018&gt;0,
      INDEX(FILTER('RE Portfolio'!L$2:L2000,'RE Portfolio'!D$2:D2000=""BUY""), INT((ROW()-2)/amortYears)+1) - G1018,
      INDEX(FILTER('RE Portfolio'!L$2:L2000,'RE Portfolio'!D$2:D2000=""BUY""), INT((ROW()-2)/amortYears"&amp;")+1)
   )
)
"),"")</f>
        <v/>
      </c>
      <c r="L1018" s="15" t="str">
        <f>IFERROR(__xludf.DUMMYFUNCTION("IF(A1018="""","""",
  INDEX(FILTER('RE Portfolio'!C$2:C2000,'RE Portfolio'!D$2:D2000=""BUY""), INT((ROW()-2)/amortYears)+1)
  * (1 + VALUE(Assumptions!$B$11))^(D1018-1)
)
"),"")</f>
        <v/>
      </c>
    </row>
    <row r="1019">
      <c r="A1019" s="15" t="str">
        <f>IFERROR(__xludf.DUMMYFUNCTION("IFERROR(INDEX(FILTER('RE Portfolio'!A$2:A2000,'RE Portfolio'!D$2:D2000=""BUY""), INT((ROW()-2)/amortYears)+1), )
"),"")</f>
        <v/>
      </c>
      <c r="B1019" s="15" t="str">
        <f>IFERROR(__xludf.DUMMYFUNCTION("IFERROR(INDEX(FILTER('RE Portfolio'!B$2:B2000,'RE Portfolio'!D$2:D2000=""BUY""), INT((ROW()-2)/amortYears)+1), )
"),"")</f>
        <v/>
      </c>
      <c r="C1019" s="15" t="str">
        <f>IFERROR(__xludf.DUMMYFUNCTION("IFERROR(INDEX(FILTER('RE Portfolio'!G$2:G2000,'RE Portfolio'!D$2:D2000=""BUY""), INT((ROW()-2)/amortYears)+1), )
"),"")</f>
        <v/>
      </c>
      <c r="D1019" s="15">
        <f>MOD(ROW()-2, amortYears)+1</f>
        <v>30</v>
      </c>
      <c r="E1019" s="15" t="str">
        <f t="shared" si="1"/>
        <v/>
      </c>
      <c r="F1019" s="16">
        <f t="shared" si="2"/>
        <v>0</v>
      </c>
      <c r="G1019" s="16">
        <f>IF(D1019&lt;=mortTerm, -PMT(mortRate/12, mortTerm*12, C1019)*12, 0)
</f>
        <v>0</v>
      </c>
      <c r="H1019" s="16">
        <f>IF(D1019&lt;=mortTerm, G1019 - I1019, 0)
</f>
        <v>0</v>
      </c>
      <c r="I1019" s="16">
        <f>IF(D1019&lt;=mortTerm, F1019 - J1019, 0)
</f>
        <v>0</v>
      </c>
      <c r="J1019" s="16">
        <f>IF(D1019&lt;=mortTerm,
   F1019*(1+mortRate/12)^12 - (-PMT(mortRate/12, mortTerm*12, C1019))*(((1+mortRate/12)^12 - 1)/(mortRate/12)),
   0
)
</f>
        <v>0</v>
      </c>
      <c r="K1019" s="13" t="str">
        <f>IFERROR(__xludf.DUMMYFUNCTION("IF(A1019="""","""",
   IF(F1019&gt;0,
      INDEX(FILTER('RE Portfolio'!L$2:L2000,'RE Portfolio'!D$2:D2000=""BUY""), INT((ROW()-2)/amortYears)+1) - G1019,
      INDEX(FILTER('RE Portfolio'!L$2:L2000,'RE Portfolio'!D$2:D2000=""BUY""), INT((ROW()-2)/amortYears"&amp;")+1)
   )
)
"),"")</f>
        <v/>
      </c>
      <c r="L1019" s="15" t="str">
        <f>IFERROR(__xludf.DUMMYFUNCTION("IF(A1019="""","""",
  INDEX(FILTER('RE Portfolio'!C$2:C2000,'RE Portfolio'!D$2:D2000=""BUY""), INT((ROW()-2)/amortYears)+1)
  * (1 + VALUE(Assumptions!$B$11))^(D1019-1)
)
"),"")</f>
        <v/>
      </c>
    </row>
    <row r="1020">
      <c r="A1020" s="15" t="str">
        <f>IFERROR(__xludf.DUMMYFUNCTION("IFERROR(INDEX(FILTER('RE Portfolio'!A$2:A2000,'RE Portfolio'!D$2:D2000=""BUY""), INT((ROW()-2)/amortYears)+1), )
"),"")</f>
        <v/>
      </c>
      <c r="B1020" s="15" t="str">
        <f>IFERROR(__xludf.DUMMYFUNCTION("IFERROR(INDEX(FILTER('RE Portfolio'!B$2:B2000,'RE Portfolio'!D$2:D2000=""BUY""), INT((ROW()-2)/amortYears)+1), )
"),"")</f>
        <v/>
      </c>
      <c r="C1020" s="15" t="str">
        <f>IFERROR(__xludf.DUMMYFUNCTION("IFERROR(INDEX(FILTER('RE Portfolio'!G$2:G2000,'RE Portfolio'!D$2:D2000=""BUY""), INT((ROW()-2)/amortYears)+1), )
"),"")</f>
        <v/>
      </c>
      <c r="D1020" s="15">
        <f>MOD(ROW()-2, amortYears)+1</f>
        <v>31</v>
      </c>
      <c r="E1020" s="15" t="str">
        <f t="shared" si="1"/>
        <v/>
      </c>
      <c r="F1020" s="16">
        <f t="shared" si="2"/>
        <v>0</v>
      </c>
      <c r="G1020" s="15">
        <f>IF(D1020&lt;=mortTerm, -PMT(mortRate/12, mortTerm*12, C1020)*12, 0)
</f>
        <v>0</v>
      </c>
      <c r="H1020" s="15">
        <f>IF(D1020&lt;=mortTerm, G1020 - I1020, 0)
</f>
        <v>0</v>
      </c>
      <c r="I1020" s="15">
        <f>IF(D1020&lt;=mortTerm, F1020 - J1020, 0)
</f>
        <v>0</v>
      </c>
      <c r="J1020" s="15">
        <f>IF(D1020&lt;=mortTerm,
   F1020*(1+mortRate/12)^12 - (-PMT(mortRate/12, mortTerm*12, C1020))*(((1+mortRate/12)^12 - 1)/(mortRate/12)),
   0
)
</f>
        <v>0</v>
      </c>
      <c r="K1020" s="13" t="str">
        <f>IFERROR(__xludf.DUMMYFUNCTION("IF(A1020="""","""",
   IF(F1020&gt;0,
      INDEX(FILTER('RE Portfolio'!L$2:L2000,'RE Portfolio'!D$2:D2000=""BUY""), INT((ROW()-2)/amortYears)+1) - G1020,
      INDEX(FILTER('RE Portfolio'!L$2:L2000,'RE Portfolio'!D$2:D2000=""BUY""), INT((ROW()-2)/amortYears"&amp;")+1)
   )
)
"),"")</f>
        <v/>
      </c>
      <c r="L1020" s="15" t="str">
        <f>IFERROR(__xludf.DUMMYFUNCTION("IF(A1020="""","""",
  INDEX(FILTER('RE Portfolio'!C$2:C2000,'RE Portfolio'!D$2:D2000=""BUY""), INT((ROW()-2)/amortYears)+1)
  * (1 + VALUE(Assumptions!$B$11))^(D1020-1)
)
"),"")</f>
        <v/>
      </c>
    </row>
    <row r="1021">
      <c r="A1021" s="15" t="str">
        <f>IFERROR(__xludf.DUMMYFUNCTION("IFERROR(INDEX(FILTER('RE Portfolio'!A$2:A2000,'RE Portfolio'!D$2:D2000=""BUY""), INT((ROW()-2)/amortYears)+1), )
"),"")</f>
        <v/>
      </c>
      <c r="B1021" s="15" t="str">
        <f>IFERROR(__xludf.DUMMYFUNCTION("IFERROR(INDEX(FILTER('RE Portfolio'!B$2:B2000,'RE Portfolio'!D$2:D2000=""BUY""), INT((ROW()-2)/amortYears)+1), )
"),"")</f>
        <v/>
      </c>
      <c r="C1021" s="15" t="str">
        <f>IFERROR(__xludf.DUMMYFUNCTION("IFERROR(INDEX(FILTER('RE Portfolio'!G$2:G2000,'RE Portfolio'!D$2:D2000=""BUY""), INT((ROW()-2)/amortYears)+1), )
"),"")</f>
        <v/>
      </c>
      <c r="D1021" s="15">
        <f>MOD(ROW()-2, amortYears)+1</f>
        <v>32</v>
      </c>
      <c r="E1021" s="15" t="str">
        <f t="shared" si="1"/>
        <v/>
      </c>
      <c r="F1021" s="15">
        <f t="shared" si="2"/>
        <v>0</v>
      </c>
      <c r="G1021" s="15">
        <f>IF(D1021&lt;=mortTerm, -PMT(mortRate/12, mortTerm*12, C1021)*12, 0)
</f>
        <v>0</v>
      </c>
      <c r="H1021" s="15">
        <f>IF(D1021&lt;=mortTerm, G1021 - I1021, 0)
</f>
        <v>0</v>
      </c>
      <c r="I1021" s="15">
        <f>IF(D1021&lt;=mortTerm, F1021 - J1021, 0)
</f>
        <v>0</v>
      </c>
      <c r="J1021" s="15">
        <f>IF(D1021&lt;=mortTerm,
   F1021*(1+mortRate/12)^12 - (-PMT(mortRate/12, mortTerm*12, C1021))*(((1+mortRate/12)^12 - 1)/(mortRate/12)),
   0
)
</f>
        <v>0</v>
      </c>
      <c r="K1021" s="13" t="str">
        <f>IFERROR(__xludf.DUMMYFUNCTION("IF(A1021="""","""",
   IF(F1021&gt;0,
      INDEX(FILTER('RE Portfolio'!L$2:L2000,'RE Portfolio'!D$2:D2000=""BUY""), INT((ROW()-2)/amortYears)+1) - G1021,
      INDEX(FILTER('RE Portfolio'!L$2:L2000,'RE Portfolio'!D$2:D2000=""BUY""), INT((ROW()-2)/amortYears"&amp;")+1)
   )
)
"),"")</f>
        <v/>
      </c>
      <c r="L1021" s="15" t="str">
        <f>IFERROR(__xludf.DUMMYFUNCTION("IF(A1021="""","""",
  INDEX(FILTER('RE Portfolio'!C$2:C2000,'RE Portfolio'!D$2:D2000=""BUY""), INT((ROW()-2)/amortYears)+1)
  * (1 + VALUE(Assumptions!$B$11))^(D1021-1)
)
"),"")</f>
        <v/>
      </c>
    </row>
    <row r="1022">
      <c r="A1022" s="15" t="str">
        <f>IFERROR(__xludf.DUMMYFUNCTION("IFERROR(INDEX(FILTER('RE Portfolio'!A$2:A2000,'RE Portfolio'!D$2:D2000=""BUY""), INT((ROW()-2)/amortYears)+1), )
"),"")</f>
        <v/>
      </c>
      <c r="B1022" s="15" t="str">
        <f>IFERROR(__xludf.DUMMYFUNCTION("IFERROR(INDEX(FILTER('RE Portfolio'!B$2:B2000,'RE Portfolio'!D$2:D2000=""BUY""), INT((ROW()-2)/amortYears)+1), )
"),"")</f>
        <v/>
      </c>
      <c r="C1022" s="15" t="str">
        <f>IFERROR(__xludf.DUMMYFUNCTION("IFERROR(INDEX(FILTER('RE Portfolio'!G$2:G2000,'RE Portfolio'!D$2:D2000=""BUY""), INT((ROW()-2)/amortYears)+1), )
"),"")</f>
        <v/>
      </c>
      <c r="D1022" s="15">
        <f>MOD(ROW()-2, amortYears)+1</f>
        <v>33</v>
      </c>
      <c r="E1022" s="15" t="str">
        <f t="shared" si="1"/>
        <v/>
      </c>
      <c r="F1022" s="15">
        <f t="shared" si="2"/>
        <v>0</v>
      </c>
      <c r="G1022" s="15">
        <f>IF(D1022&lt;=mortTerm, -PMT(mortRate/12, mortTerm*12, C1022)*12, 0)
</f>
        <v>0</v>
      </c>
      <c r="H1022" s="15">
        <f>IF(D1022&lt;=mortTerm, G1022 - I1022, 0)
</f>
        <v>0</v>
      </c>
      <c r="I1022" s="15">
        <f>IF(D1022&lt;=mortTerm, F1022 - J1022, 0)
</f>
        <v>0</v>
      </c>
      <c r="J1022" s="15">
        <f>IF(D1022&lt;=mortTerm,
   F1022*(1+mortRate/12)^12 - (-PMT(mortRate/12, mortTerm*12, C1022))*(((1+mortRate/12)^12 - 1)/(mortRate/12)),
   0
)
</f>
        <v>0</v>
      </c>
      <c r="K1022" s="13" t="str">
        <f>IFERROR(__xludf.DUMMYFUNCTION("IF(A1022="""","""",
   IF(F1022&gt;0,
      INDEX(FILTER('RE Portfolio'!L$2:L2000,'RE Portfolio'!D$2:D2000=""BUY""), INT((ROW()-2)/amortYears)+1) - G1022,
      INDEX(FILTER('RE Portfolio'!L$2:L2000,'RE Portfolio'!D$2:D2000=""BUY""), INT((ROW()-2)/amortYears"&amp;")+1)
   )
)
"),"")</f>
        <v/>
      </c>
      <c r="L1022" s="15" t="str">
        <f>IFERROR(__xludf.DUMMYFUNCTION("IF(A1022="""","""",
  INDEX(FILTER('RE Portfolio'!C$2:C2000,'RE Portfolio'!D$2:D2000=""BUY""), INT((ROW()-2)/amortYears)+1)
  * (1 + VALUE(Assumptions!$B$11))^(D1022-1)
)
"),"")</f>
        <v/>
      </c>
    </row>
    <row r="1023">
      <c r="A1023" s="15" t="str">
        <f>IFERROR(__xludf.DUMMYFUNCTION("IFERROR(INDEX(FILTER('RE Portfolio'!A$2:A2000,'RE Portfolio'!D$2:D2000=""BUY""), INT((ROW()-2)/amortYears)+1), )
"),"")</f>
        <v/>
      </c>
      <c r="B1023" s="15" t="str">
        <f>IFERROR(__xludf.DUMMYFUNCTION("IFERROR(INDEX(FILTER('RE Portfolio'!B$2:B2000,'RE Portfolio'!D$2:D2000=""BUY""), INT((ROW()-2)/amortYears)+1), )
"),"")</f>
        <v/>
      </c>
      <c r="C1023" s="15" t="str">
        <f>IFERROR(__xludf.DUMMYFUNCTION("IFERROR(INDEX(FILTER('RE Portfolio'!G$2:G2000,'RE Portfolio'!D$2:D2000=""BUY""), INT((ROW()-2)/amortYears)+1), )
"),"")</f>
        <v/>
      </c>
      <c r="D1023" s="15">
        <f>MOD(ROW()-2, amortYears)+1</f>
        <v>34</v>
      </c>
      <c r="E1023" s="15" t="str">
        <f t="shared" si="1"/>
        <v/>
      </c>
      <c r="F1023" s="15">
        <f t="shared" si="2"/>
        <v>0</v>
      </c>
      <c r="G1023" s="15">
        <f>IF(D1023&lt;=mortTerm, -PMT(mortRate/12, mortTerm*12, C1023)*12, 0)
</f>
        <v>0</v>
      </c>
      <c r="H1023" s="15">
        <f>IF(D1023&lt;=mortTerm, G1023 - I1023, 0)
</f>
        <v>0</v>
      </c>
      <c r="I1023" s="15">
        <f>IF(D1023&lt;=mortTerm, F1023 - J1023, 0)
</f>
        <v>0</v>
      </c>
      <c r="J1023" s="15">
        <f>IF(D1023&lt;=mortTerm,
   F1023*(1+mortRate/12)^12 - (-PMT(mortRate/12, mortTerm*12, C1023))*(((1+mortRate/12)^12 - 1)/(mortRate/12)),
   0
)
</f>
        <v>0</v>
      </c>
      <c r="K1023" s="13" t="str">
        <f>IFERROR(__xludf.DUMMYFUNCTION("IF(A1023="""","""",
   IF(F1023&gt;0,
      INDEX(FILTER('RE Portfolio'!L$2:L2000,'RE Portfolio'!D$2:D2000=""BUY""), INT((ROW()-2)/amortYears)+1) - G1023,
      INDEX(FILTER('RE Portfolio'!L$2:L2000,'RE Portfolio'!D$2:D2000=""BUY""), INT((ROW()-2)/amortYears"&amp;")+1)
   )
)
"),"")</f>
        <v/>
      </c>
      <c r="L1023" s="15" t="str">
        <f>IFERROR(__xludf.DUMMYFUNCTION("IF(A1023="""","""",
  INDEX(FILTER('RE Portfolio'!C$2:C2000,'RE Portfolio'!D$2:D2000=""BUY""), INT((ROW()-2)/amortYears)+1)
  * (1 + VALUE(Assumptions!$B$11))^(D1023-1)
)
"),"")</f>
        <v/>
      </c>
    </row>
    <row r="1024">
      <c r="A1024" s="15" t="str">
        <f>IFERROR(__xludf.DUMMYFUNCTION("IFERROR(INDEX(FILTER('RE Portfolio'!A$2:A2000,'RE Portfolio'!D$2:D2000=""BUY""), INT((ROW()-2)/amortYears)+1), )
"),"")</f>
        <v/>
      </c>
      <c r="B1024" s="15" t="str">
        <f>IFERROR(__xludf.DUMMYFUNCTION("IFERROR(INDEX(FILTER('RE Portfolio'!B$2:B2000,'RE Portfolio'!D$2:D2000=""BUY""), INT((ROW()-2)/amortYears)+1), )
"),"")</f>
        <v/>
      </c>
      <c r="C1024" s="15" t="str">
        <f>IFERROR(__xludf.DUMMYFUNCTION("IFERROR(INDEX(FILTER('RE Portfolio'!G$2:G2000,'RE Portfolio'!D$2:D2000=""BUY""), INT((ROW()-2)/amortYears)+1), )
"),"")</f>
        <v/>
      </c>
      <c r="D1024" s="15">
        <f>MOD(ROW()-2, amortYears)+1</f>
        <v>35</v>
      </c>
      <c r="E1024" s="15" t="str">
        <f t="shared" si="1"/>
        <v/>
      </c>
      <c r="F1024" s="15">
        <f t="shared" si="2"/>
        <v>0</v>
      </c>
      <c r="G1024" s="15">
        <f>IF(D1024&lt;=mortTerm, -PMT(mortRate/12, mortTerm*12, C1024)*12, 0)
</f>
        <v>0</v>
      </c>
      <c r="H1024" s="15">
        <f>IF(D1024&lt;=mortTerm, G1024 - I1024, 0)
</f>
        <v>0</v>
      </c>
      <c r="I1024" s="15">
        <f>IF(D1024&lt;=mortTerm, F1024 - J1024, 0)
</f>
        <v>0</v>
      </c>
      <c r="J1024" s="15">
        <f>IF(D1024&lt;=mortTerm,
   F1024*(1+mortRate/12)^12 - (-PMT(mortRate/12, mortTerm*12, C1024))*(((1+mortRate/12)^12 - 1)/(mortRate/12)),
   0
)
</f>
        <v>0</v>
      </c>
      <c r="K1024" s="13" t="str">
        <f>IFERROR(__xludf.DUMMYFUNCTION("IF(A1024="""","""",
   IF(F1024&gt;0,
      INDEX(FILTER('RE Portfolio'!L$2:L2000,'RE Portfolio'!D$2:D2000=""BUY""), INT((ROW()-2)/amortYears)+1) - G1024,
      INDEX(FILTER('RE Portfolio'!L$2:L2000,'RE Portfolio'!D$2:D2000=""BUY""), INT((ROW()-2)/amortYears"&amp;")+1)
   )
)
"),"")</f>
        <v/>
      </c>
      <c r="L1024" s="15" t="str">
        <f>IFERROR(__xludf.DUMMYFUNCTION("IF(A1024="""","""",
  INDEX(FILTER('RE Portfolio'!C$2:C2000,'RE Portfolio'!D$2:D2000=""BUY""), INT((ROW()-2)/amortYears)+1)
  * (1 + VALUE(Assumptions!$B$11))^(D1024-1)
)
"),"")</f>
        <v/>
      </c>
    </row>
    <row r="1025">
      <c r="A1025" s="15" t="str">
        <f>IFERROR(__xludf.DUMMYFUNCTION("IFERROR(INDEX(FILTER('RE Portfolio'!A$2:A2000,'RE Portfolio'!D$2:D2000=""BUY""), INT((ROW()-2)/amortYears)+1), )
"),"")</f>
        <v/>
      </c>
      <c r="B1025" s="15" t="str">
        <f>IFERROR(__xludf.DUMMYFUNCTION("IFERROR(INDEX(FILTER('RE Portfolio'!B$2:B2000,'RE Portfolio'!D$2:D2000=""BUY""), INT((ROW()-2)/amortYears)+1), )
"),"")</f>
        <v/>
      </c>
      <c r="C1025" s="15" t="str">
        <f>IFERROR(__xludf.DUMMYFUNCTION("IFERROR(INDEX(FILTER('RE Portfolio'!G$2:G2000,'RE Portfolio'!D$2:D2000=""BUY""), INT((ROW()-2)/amortYears)+1), )
"),"")</f>
        <v/>
      </c>
      <c r="D1025" s="15">
        <f>MOD(ROW()-2, amortYears)+1</f>
        <v>36</v>
      </c>
      <c r="E1025" s="15" t="str">
        <f t="shared" si="1"/>
        <v/>
      </c>
      <c r="F1025" s="15">
        <f t="shared" si="2"/>
        <v>0</v>
      </c>
      <c r="G1025" s="15">
        <f>IF(D1025&lt;=mortTerm, -PMT(mortRate/12, mortTerm*12, C1025)*12, 0)
</f>
        <v>0</v>
      </c>
      <c r="H1025" s="15">
        <f>IF(D1025&lt;=mortTerm, G1025 - I1025, 0)
</f>
        <v>0</v>
      </c>
      <c r="I1025" s="15">
        <f>IF(D1025&lt;=mortTerm, F1025 - J1025, 0)
</f>
        <v>0</v>
      </c>
      <c r="J1025" s="15">
        <f>IF(D1025&lt;=mortTerm,
   F1025*(1+mortRate/12)^12 - (-PMT(mortRate/12, mortTerm*12, C1025))*(((1+mortRate/12)^12 - 1)/(mortRate/12)),
   0
)
</f>
        <v>0</v>
      </c>
      <c r="K1025" s="13" t="str">
        <f>IFERROR(__xludf.DUMMYFUNCTION("IF(A1025="""","""",
   IF(F1025&gt;0,
      INDEX(FILTER('RE Portfolio'!L$2:L2000,'RE Portfolio'!D$2:D2000=""BUY""), INT((ROW()-2)/amortYears)+1) - G1025,
      INDEX(FILTER('RE Portfolio'!L$2:L2000,'RE Portfolio'!D$2:D2000=""BUY""), INT((ROW()-2)/amortYears"&amp;")+1)
   )
)
"),"")</f>
        <v/>
      </c>
      <c r="L1025" s="15" t="str">
        <f>IFERROR(__xludf.DUMMYFUNCTION("IF(A1025="""","""",
  INDEX(FILTER('RE Portfolio'!C$2:C2000,'RE Portfolio'!D$2:D2000=""BUY""), INT((ROW()-2)/amortYears)+1)
  * (1 + VALUE(Assumptions!$B$11))^(D1025-1)
)
"),"")</f>
        <v/>
      </c>
    </row>
    <row r="1026">
      <c r="A1026" s="15" t="str">
        <f>IFERROR(__xludf.DUMMYFUNCTION("IFERROR(INDEX(FILTER('RE Portfolio'!A$2:A2000,'RE Portfolio'!D$2:D2000=""BUY""), INT((ROW()-2)/amortYears)+1), )
"),"")</f>
        <v/>
      </c>
      <c r="B1026" s="15" t="str">
        <f>IFERROR(__xludf.DUMMYFUNCTION("IFERROR(INDEX(FILTER('RE Portfolio'!B$2:B2000,'RE Portfolio'!D$2:D2000=""BUY""), INT((ROW()-2)/amortYears)+1), )
"),"")</f>
        <v/>
      </c>
      <c r="C1026" s="15" t="str">
        <f>IFERROR(__xludf.DUMMYFUNCTION("IFERROR(INDEX(FILTER('RE Portfolio'!G$2:G2000,'RE Portfolio'!D$2:D2000=""BUY""), INT((ROW()-2)/amortYears)+1), )
"),"")</f>
        <v/>
      </c>
      <c r="D1026" s="15">
        <f>MOD(ROW()-2, amortYears)+1</f>
        <v>37</v>
      </c>
      <c r="E1026" s="15" t="str">
        <f t="shared" si="1"/>
        <v/>
      </c>
      <c r="F1026" s="15">
        <f t="shared" si="2"/>
        <v>0</v>
      </c>
      <c r="G1026" s="15">
        <f>IF(D1026&lt;=mortTerm, -PMT(mortRate/12, mortTerm*12, C1026)*12, 0)
</f>
        <v>0</v>
      </c>
      <c r="H1026" s="15">
        <f>IF(D1026&lt;=mortTerm, G1026 - I1026, 0)
</f>
        <v>0</v>
      </c>
      <c r="I1026" s="15">
        <f>IF(D1026&lt;=mortTerm, F1026 - J1026, 0)
</f>
        <v>0</v>
      </c>
      <c r="J1026" s="15">
        <f>IF(D1026&lt;=mortTerm,
   F1026*(1+mortRate/12)^12 - (-PMT(mortRate/12, mortTerm*12, C1026))*(((1+mortRate/12)^12 - 1)/(mortRate/12)),
   0
)
</f>
        <v>0</v>
      </c>
      <c r="K1026" s="13" t="str">
        <f>IFERROR(__xludf.DUMMYFUNCTION("IF(A1026="""","""",
   IF(F1026&gt;0,
      INDEX(FILTER('RE Portfolio'!L$2:L2000,'RE Portfolio'!D$2:D2000=""BUY""), INT((ROW()-2)/amortYears)+1) - G1026,
      INDEX(FILTER('RE Portfolio'!L$2:L2000,'RE Portfolio'!D$2:D2000=""BUY""), INT((ROW()-2)/amortYears"&amp;")+1)
   )
)
"),"")</f>
        <v/>
      </c>
      <c r="L1026" s="15" t="str">
        <f>IFERROR(__xludf.DUMMYFUNCTION("IF(A1026="""","""",
  INDEX(FILTER('RE Portfolio'!C$2:C2000,'RE Portfolio'!D$2:D2000=""BUY""), INT((ROW()-2)/amortYears)+1)
  * (1 + VALUE(Assumptions!$B$11))^(D1026-1)
)
"),"")</f>
        <v/>
      </c>
    </row>
    <row r="1027">
      <c r="A1027" s="15" t="str">
        <f>IFERROR(__xludf.DUMMYFUNCTION("IFERROR(INDEX(FILTER('RE Portfolio'!A$2:A2000,'RE Portfolio'!D$2:D2000=""BUY""), INT((ROW()-2)/amortYears)+1), )
"),"")</f>
        <v/>
      </c>
      <c r="B1027" s="15" t="str">
        <f>IFERROR(__xludf.DUMMYFUNCTION("IFERROR(INDEX(FILTER('RE Portfolio'!B$2:B2000,'RE Portfolio'!D$2:D2000=""BUY""), INT((ROW()-2)/amortYears)+1), )
"),"")</f>
        <v/>
      </c>
      <c r="C1027" s="15" t="str">
        <f>IFERROR(__xludf.DUMMYFUNCTION("IFERROR(INDEX(FILTER('RE Portfolio'!G$2:G2000,'RE Portfolio'!D$2:D2000=""BUY""), INT((ROW()-2)/amortYears)+1), )
"),"")</f>
        <v/>
      </c>
      <c r="D1027" s="15">
        <f>MOD(ROW()-2, amortYears)+1</f>
        <v>38</v>
      </c>
      <c r="E1027" s="15" t="str">
        <f t="shared" si="1"/>
        <v/>
      </c>
      <c r="F1027" s="15">
        <f t="shared" si="2"/>
        <v>0</v>
      </c>
      <c r="G1027" s="15">
        <f>IF(D1027&lt;=mortTerm, -PMT(mortRate/12, mortTerm*12, C1027)*12, 0)
</f>
        <v>0</v>
      </c>
      <c r="H1027" s="15">
        <f>IF(D1027&lt;=mortTerm, G1027 - I1027, 0)
</f>
        <v>0</v>
      </c>
      <c r="I1027" s="15">
        <f>IF(D1027&lt;=mortTerm, F1027 - J1027, 0)
</f>
        <v>0</v>
      </c>
      <c r="J1027" s="15">
        <f>IF(D1027&lt;=mortTerm,
   F1027*(1+mortRate/12)^12 - (-PMT(mortRate/12, mortTerm*12, C1027))*(((1+mortRate/12)^12 - 1)/(mortRate/12)),
   0
)
</f>
        <v>0</v>
      </c>
      <c r="K1027" s="13" t="str">
        <f>IFERROR(__xludf.DUMMYFUNCTION("IF(A1027="""","""",
   IF(F1027&gt;0,
      INDEX(FILTER('RE Portfolio'!L$2:L2000,'RE Portfolio'!D$2:D2000=""BUY""), INT((ROW()-2)/amortYears)+1) - G1027,
      INDEX(FILTER('RE Portfolio'!L$2:L2000,'RE Portfolio'!D$2:D2000=""BUY""), INT((ROW()-2)/amortYears"&amp;")+1)
   )
)
"),"")</f>
        <v/>
      </c>
      <c r="L1027" s="15" t="str">
        <f>IFERROR(__xludf.DUMMYFUNCTION("IF(A1027="""","""",
  INDEX(FILTER('RE Portfolio'!C$2:C2000,'RE Portfolio'!D$2:D2000=""BUY""), INT((ROW()-2)/amortYears)+1)
  * (1 + VALUE(Assumptions!$B$11))^(D1027-1)
)
"),"")</f>
        <v/>
      </c>
    </row>
    <row r="1028">
      <c r="A1028" s="15" t="str">
        <f>IFERROR(__xludf.DUMMYFUNCTION("IFERROR(INDEX(FILTER('RE Portfolio'!A$2:A2000,'RE Portfolio'!D$2:D2000=""BUY""), INT((ROW()-2)/amortYears)+1), )
"),"")</f>
        <v/>
      </c>
      <c r="B1028" s="15" t="str">
        <f>IFERROR(__xludf.DUMMYFUNCTION("IFERROR(INDEX(FILTER('RE Portfolio'!B$2:B2000,'RE Portfolio'!D$2:D2000=""BUY""), INT((ROW()-2)/amortYears)+1), )
"),"")</f>
        <v/>
      </c>
      <c r="C1028" s="15" t="str">
        <f>IFERROR(__xludf.DUMMYFUNCTION("IFERROR(INDEX(FILTER('RE Portfolio'!G$2:G2000,'RE Portfolio'!D$2:D2000=""BUY""), INT((ROW()-2)/amortYears)+1), )
"),"")</f>
        <v/>
      </c>
      <c r="D1028" s="15">
        <f>MOD(ROW()-2, amortYears)+1</f>
        <v>1</v>
      </c>
      <c r="E1028" s="15" t="str">
        <f t="shared" si="1"/>
        <v/>
      </c>
      <c r="F1028" s="15" t="str">
        <f t="shared" si="2"/>
        <v/>
      </c>
      <c r="G1028" s="16">
        <f>IF(D1028&lt;=mortTerm, -PMT(mortRate/12, mortTerm*12, C1028)*12, 0)
</f>
        <v>0</v>
      </c>
      <c r="H1028" s="16">
        <f>IF(D1028&lt;=mortTerm, G1028 - I1028, 0)
</f>
        <v>0</v>
      </c>
      <c r="I1028" s="16">
        <f>IF(D1028&lt;=mortTerm, F1028 - J1028, 0)
</f>
        <v>0</v>
      </c>
      <c r="J1028" s="16">
        <f>IF(D1028&lt;=mortTerm,
   F1028*(1+mortRate/12)^12 - (-PMT(mortRate/12, mortTerm*12, C1028))*(((1+mortRate/12)^12 - 1)/(mortRate/12)),
   0
)
</f>
        <v>0</v>
      </c>
      <c r="K1028" s="13" t="str">
        <f>IFERROR(__xludf.DUMMYFUNCTION("IF(A1028="""","""",
   IF(F1028&gt;0,
      INDEX(FILTER('RE Portfolio'!L$2:L2000,'RE Portfolio'!D$2:D2000=""BUY""), INT((ROW()-2)/amortYears)+1) - G1028,
      INDEX(FILTER('RE Portfolio'!L$2:L2000,'RE Portfolio'!D$2:D2000=""BUY""), INT((ROW()-2)/amortYears"&amp;")+1)
   )
)
"),"")</f>
        <v/>
      </c>
      <c r="L1028" s="15" t="str">
        <f>IFERROR(__xludf.DUMMYFUNCTION("IF(A1028="""","""",
  INDEX(FILTER('RE Portfolio'!C$2:C2000,'RE Portfolio'!D$2:D2000=""BUY""), INT((ROW()-2)/amortYears)+1)
  * (1 + VALUE(Assumptions!$B$11))^(D1028-1)
)
"),"")</f>
        <v/>
      </c>
    </row>
    <row r="1029">
      <c r="A1029" s="15" t="str">
        <f>IFERROR(__xludf.DUMMYFUNCTION("IFERROR(INDEX(FILTER('RE Portfolio'!A$2:A2000,'RE Portfolio'!D$2:D2000=""BUY""), INT((ROW()-2)/amortYears)+1), )
"),"")</f>
        <v/>
      </c>
      <c r="B1029" s="15" t="str">
        <f>IFERROR(__xludf.DUMMYFUNCTION("IFERROR(INDEX(FILTER('RE Portfolio'!B$2:B2000,'RE Portfolio'!D$2:D2000=""BUY""), INT((ROW()-2)/amortYears)+1), )
"),"")</f>
        <v/>
      </c>
      <c r="C1029" s="15" t="str">
        <f>IFERROR(__xludf.DUMMYFUNCTION("IFERROR(INDEX(FILTER('RE Portfolio'!G$2:G2000,'RE Portfolio'!D$2:D2000=""BUY""), INT((ROW()-2)/amortYears)+1), )
"),"")</f>
        <v/>
      </c>
      <c r="D1029" s="15">
        <f>MOD(ROW()-2, amortYears)+1</f>
        <v>2</v>
      </c>
      <c r="E1029" s="15" t="str">
        <f t="shared" si="1"/>
        <v/>
      </c>
      <c r="F1029" s="16">
        <f t="shared" si="2"/>
        <v>0</v>
      </c>
      <c r="G1029" s="16">
        <f>IF(D1029&lt;=mortTerm, -PMT(mortRate/12, mortTerm*12, C1029)*12, 0)
</f>
        <v>0</v>
      </c>
      <c r="H1029" s="16">
        <f>IF(D1029&lt;=mortTerm, G1029 - I1029, 0)
</f>
        <v>0</v>
      </c>
      <c r="I1029" s="16">
        <f>IF(D1029&lt;=mortTerm, F1029 - J1029, 0)
</f>
        <v>0</v>
      </c>
      <c r="J1029" s="16">
        <f>IF(D1029&lt;=mortTerm,
   F1029*(1+mortRate/12)^12 - (-PMT(mortRate/12, mortTerm*12, C1029))*(((1+mortRate/12)^12 - 1)/(mortRate/12)),
   0
)
</f>
        <v>0</v>
      </c>
      <c r="K1029" s="13" t="str">
        <f>IFERROR(__xludf.DUMMYFUNCTION("IF(A1029="""","""",
   IF(F1029&gt;0,
      INDEX(FILTER('RE Portfolio'!L$2:L2000,'RE Portfolio'!D$2:D2000=""BUY""), INT((ROW()-2)/amortYears)+1) - G1029,
      INDEX(FILTER('RE Portfolio'!L$2:L2000,'RE Portfolio'!D$2:D2000=""BUY""), INT((ROW()-2)/amortYears"&amp;")+1)
   )
)
"),"")</f>
        <v/>
      </c>
      <c r="L1029" s="15" t="str">
        <f>IFERROR(__xludf.DUMMYFUNCTION("IF(A1029="""","""",
  INDEX(FILTER('RE Portfolio'!C$2:C2000,'RE Portfolio'!D$2:D2000=""BUY""), INT((ROW()-2)/amortYears)+1)
  * (1 + VALUE(Assumptions!$B$11))^(D1029-1)
)
"),"")</f>
        <v/>
      </c>
    </row>
    <row r="1030">
      <c r="A1030" s="15" t="str">
        <f>IFERROR(__xludf.DUMMYFUNCTION("IFERROR(INDEX(FILTER('RE Portfolio'!A$2:A2000,'RE Portfolio'!D$2:D2000=""BUY""), INT((ROW()-2)/amortYears)+1), )
"),"")</f>
        <v/>
      </c>
      <c r="B1030" s="15" t="str">
        <f>IFERROR(__xludf.DUMMYFUNCTION("IFERROR(INDEX(FILTER('RE Portfolio'!B$2:B2000,'RE Portfolio'!D$2:D2000=""BUY""), INT((ROW()-2)/amortYears)+1), )
"),"")</f>
        <v/>
      </c>
      <c r="C1030" s="15" t="str">
        <f>IFERROR(__xludf.DUMMYFUNCTION("IFERROR(INDEX(FILTER('RE Portfolio'!G$2:G2000,'RE Portfolio'!D$2:D2000=""BUY""), INT((ROW()-2)/amortYears)+1), )
"),"")</f>
        <v/>
      </c>
      <c r="D1030" s="15">
        <f>MOD(ROW()-2, amortYears)+1</f>
        <v>3</v>
      </c>
      <c r="E1030" s="15" t="str">
        <f t="shared" si="1"/>
        <v/>
      </c>
      <c r="F1030" s="16">
        <f t="shared" si="2"/>
        <v>0</v>
      </c>
      <c r="G1030" s="16">
        <f>IF(D1030&lt;=mortTerm, -PMT(mortRate/12, mortTerm*12, C1030)*12, 0)
</f>
        <v>0</v>
      </c>
      <c r="H1030" s="16">
        <f>IF(D1030&lt;=mortTerm, G1030 - I1030, 0)
</f>
        <v>0</v>
      </c>
      <c r="I1030" s="16">
        <f>IF(D1030&lt;=mortTerm, F1030 - J1030, 0)
</f>
        <v>0</v>
      </c>
      <c r="J1030" s="16">
        <f>IF(D1030&lt;=mortTerm,
   F1030*(1+mortRate/12)^12 - (-PMT(mortRate/12, mortTerm*12, C1030))*(((1+mortRate/12)^12 - 1)/(mortRate/12)),
   0
)
</f>
        <v>0</v>
      </c>
      <c r="K1030" s="13" t="str">
        <f>IFERROR(__xludf.DUMMYFUNCTION("IF(A1030="""","""",
   IF(F1030&gt;0,
      INDEX(FILTER('RE Portfolio'!L$2:L2000,'RE Portfolio'!D$2:D2000=""BUY""), INT((ROW()-2)/amortYears)+1) - G1030,
      INDEX(FILTER('RE Portfolio'!L$2:L2000,'RE Portfolio'!D$2:D2000=""BUY""), INT((ROW()-2)/amortYears"&amp;")+1)
   )
)
"),"")</f>
        <v/>
      </c>
      <c r="L1030" s="15" t="str">
        <f>IFERROR(__xludf.DUMMYFUNCTION("IF(A1030="""","""",
  INDEX(FILTER('RE Portfolio'!C$2:C2000,'RE Portfolio'!D$2:D2000=""BUY""), INT((ROW()-2)/amortYears)+1)
  * (1 + VALUE(Assumptions!$B$11))^(D1030-1)
)
"),"")</f>
        <v/>
      </c>
    </row>
    <row r="1031">
      <c r="A1031" s="15" t="str">
        <f>IFERROR(__xludf.DUMMYFUNCTION("IFERROR(INDEX(FILTER('RE Portfolio'!A$2:A2000,'RE Portfolio'!D$2:D2000=""BUY""), INT((ROW()-2)/amortYears)+1), )
"),"")</f>
        <v/>
      </c>
      <c r="B1031" s="15" t="str">
        <f>IFERROR(__xludf.DUMMYFUNCTION("IFERROR(INDEX(FILTER('RE Portfolio'!B$2:B2000,'RE Portfolio'!D$2:D2000=""BUY""), INT((ROW()-2)/amortYears)+1), )
"),"")</f>
        <v/>
      </c>
      <c r="C1031" s="15" t="str">
        <f>IFERROR(__xludf.DUMMYFUNCTION("IFERROR(INDEX(FILTER('RE Portfolio'!G$2:G2000,'RE Portfolio'!D$2:D2000=""BUY""), INT((ROW()-2)/amortYears)+1), )
"),"")</f>
        <v/>
      </c>
      <c r="D1031" s="15">
        <f>MOD(ROW()-2, amortYears)+1</f>
        <v>4</v>
      </c>
      <c r="E1031" s="15" t="str">
        <f t="shared" si="1"/>
        <v/>
      </c>
      <c r="F1031" s="16">
        <f t="shared" si="2"/>
        <v>0</v>
      </c>
      <c r="G1031" s="16">
        <f>IF(D1031&lt;=mortTerm, -PMT(mortRate/12, mortTerm*12, C1031)*12, 0)
</f>
        <v>0</v>
      </c>
      <c r="H1031" s="16">
        <f>IF(D1031&lt;=mortTerm, G1031 - I1031, 0)
</f>
        <v>0</v>
      </c>
      <c r="I1031" s="16">
        <f>IF(D1031&lt;=mortTerm, F1031 - J1031, 0)
</f>
        <v>0</v>
      </c>
      <c r="J1031" s="16">
        <f>IF(D1031&lt;=mortTerm,
   F1031*(1+mortRate/12)^12 - (-PMT(mortRate/12, mortTerm*12, C1031))*(((1+mortRate/12)^12 - 1)/(mortRate/12)),
   0
)
</f>
        <v>0</v>
      </c>
      <c r="K1031" s="13" t="str">
        <f>IFERROR(__xludf.DUMMYFUNCTION("IF(A1031="""","""",
   IF(F1031&gt;0,
      INDEX(FILTER('RE Portfolio'!L$2:L2000,'RE Portfolio'!D$2:D2000=""BUY""), INT((ROW()-2)/amortYears)+1) - G1031,
      INDEX(FILTER('RE Portfolio'!L$2:L2000,'RE Portfolio'!D$2:D2000=""BUY""), INT((ROW()-2)/amortYears"&amp;")+1)
   )
)
"),"")</f>
        <v/>
      </c>
      <c r="L1031" s="15" t="str">
        <f>IFERROR(__xludf.DUMMYFUNCTION("IF(A1031="""","""",
  INDEX(FILTER('RE Portfolio'!C$2:C2000,'RE Portfolio'!D$2:D2000=""BUY""), INT((ROW()-2)/amortYears)+1)
  * (1 + VALUE(Assumptions!$B$11))^(D1031-1)
)
"),"")</f>
        <v/>
      </c>
    </row>
    <row r="1032">
      <c r="A1032" s="15" t="str">
        <f>IFERROR(__xludf.DUMMYFUNCTION("IFERROR(INDEX(FILTER('RE Portfolio'!A$2:A2000,'RE Portfolio'!D$2:D2000=""BUY""), INT((ROW()-2)/amortYears)+1), )
"),"")</f>
        <v/>
      </c>
      <c r="B1032" s="15" t="str">
        <f>IFERROR(__xludf.DUMMYFUNCTION("IFERROR(INDEX(FILTER('RE Portfolio'!B$2:B2000,'RE Portfolio'!D$2:D2000=""BUY""), INT((ROW()-2)/amortYears)+1), )
"),"")</f>
        <v/>
      </c>
      <c r="C1032" s="15" t="str">
        <f>IFERROR(__xludf.DUMMYFUNCTION("IFERROR(INDEX(FILTER('RE Portfolio'!G$2:G2000,'RE Portfolio'!D$2:D2000=""BUY""), INT((ROW()-2)/amortYears)+1), )
"),"")</f>
        <v/>
      </c>
      <c r="D1032" s="15">
        <f>MOD(ROW()-2, amortYears)+1</f>
        <v>5</v>
      </c>
      <c r="E1032" s="15" t="str">
        <f t="shared" si="1"/>
        <v/>
      </c>
      <c r="F1032" s="16">
        <f t="shared" si="2"/>
        <v>0</v>
      </c>
      <c r="G1032" s="16">
        <f>IF(D1032&lt;=mortTerm, -PMT(mortRate/12, mortTerm*12, C1032)*12, 0)
</f>
        <v>0</v>
      </c>
      <c r="H1032" s="16">
        <f>IF(D1032&lt;=mortTerm, G1032 - I1032, 0)
</f>
        <v>0</v>
      </c>
      <c r="I1032" s="16">
        <f>IF(D1032&lt;=mortTerm, F1032 - J1032, 0)
</f>
        <v>0</v>
      </c>
      <c r="J1032" s="16">
        <f>IF(D1032&lt;=mortTerm,
   F1032*(1+mortRate/12)^12 - (-PMT(mortRate/12, mortTerm*12, C1032))*(((1+mortRate/12)^12 - 1)/(mortRate/12)),
   0
)
</f>
        <v>0</v>
      </c>
      <c r="K1032" s="13" t="str">
        <f>IFERROR(__xludf.DUMMYFUNCTION("IF(A1032="""","""",
   IF(F1032&gt;0,
      INDEX(FILTER('RE Portfolio'!L$2:L2000,'RE Portfolio'!D$2:D2000=""BUY""), INT((ROW()-2)/amortYears)+1) - G1032,
      INDEX(FILTER('RE Portfolio'!L$2:L2000,'RE Portfolio'!D$2:D2000=""BUY""), INT((ROW()-2)/amortYears"&amp;")+1)
   )
)
"),"")</f>
        <v/>
      </c>
      <c r="L1032" s="15" t="str">
        <f>IFERROR(__xludf.DUMMYFUNCTION("IF(A1032="""","""",
  INDEX(FILTER('RE Portfolio'!C$2:C2000,'RE Portfolio'!D$2:D2000=""BUY""), INT((ROW()-2)/amortYears)+1)
  * (1 + VALUE(Assumptions!$B$11))^(D1032-1)
)
"),"")</f>
        <v/>
      </c>
    </row>
    <row r="1033">
      <c r="A1033" s="15" t="str">
        <f>IFERROR(__xludf.DUMMYFUNCTION("IFERROR(INDEX(FILTER('RE Portfolio'!A$2:A2000,'RE Portfolio'!D$2:D2000=""BUY""), INT((ROW()-2)/amortYears)+1), )
"),"")</f>
        <v/>
      </c>
      <c r="B1033" s="15" t="str">
        <f>IFERROR(__xludf.DUMMYFUNCTION("IFERROR(INDEX(FILTER('RE Portfolio'!B$2:B2000,'RE Portfolio'!D$2:D2000=""BUY""), INT((ROW()-2)/amortYears)+1), )
"),"")</f>
        <v/>
      </c>
      <c r="C1033" s="15" t="str">
        <f>IFERROR(__xludf.DUMMYFUNCTION("IFERROR(INDEX(FILTER('RE Portfolio'!G$2:G2000,'RE Portfolio'!D$2:D2000=""BUY""), INT((ROW()-2)/amortYears)+1), )
"),"")</f>
        <v/>
      </c>
      <c r="D1033" s="15">
        <f>MOD(ROW()-2, amortYears)+1</f>
        <v>6</v>
      </c>
      <c r="E1033" s="15" t="str">
        <f t="shared" si="1"/>
        <v/>
      </c>
      <c r="F1033" s="16">
        <f t="shared" si="2"/>
        <v>0</v>
      </c>
      <c r="G1033" s="16">
        <f>IF(D1033&lt;=mortTerm, -PMT(mortRate/12, mortTerm*12, C1033)*12, 0)
</f>
        <v>0</v>
      </c>
      <c r="H1033" s="16">
        <f>IF(D1033&lt;=mortTerm, G1033 - I1033, 0)
</f>
        <v>0</v>
      </c>
      <c r="I1033" s="16">
        <f>IF(D1033&lt;=mortTerm, F1033 - J1033, 0)
</f>
        <v>0</v>
      </c>
      <c r="J1033" s="16">
        <f>IF(D1033&lt;=mortTerm,
   F1033*(1+mortRate/12)^12 - (-PMT(mortRate/12, mortTerm*12, C1033))*(((1+mortRate/12)^12 - 1)/(mortRate/12)),
   0
)
</f>
        <v>0</v>
      </c>
      <c r="K1033" s="13" t="str">
        <f>IFERROR(__xludf.DUMMYFUNCTION("IF(A1033="""","""",
   IF(F1033&gt;0,
      INDEX(FILTER('RE Portfolio'!L$2:L2000,'RE Portfolio'!D$2:D2000=""BUY""), INT((ROW()-2)/amortYears)+1) - G1033,
      INDEX(FILTER('RE Portfolio'!L$2:L2000,'RE Portfolio'!D$2:D2000=""BUY""), INT((ROW()-2)/amortYears"&amp;")+1)
   )
)
"),"")</f>
        <v/>
      </c>
      <c r="L1033" s="15" t="str">
        <f>IFERROR(__xludf.DUMMYFUNCTION("IF(A1033="""","""",
  INDEX(FILTER('RE Portfolio'!C$2:C2000,'RE Portfolio'!D$2:D2000=""BUY""), INT((ROW()-2)/amortYears)+1)
  * (1 + VALUE(Assumptions!$B$11))^(D1033-1)
)
"),"")</f>
        <v/>
      </c>
    </row>
    <row r="1034">
      <c r="A1034" s="15" t="str">
        <f>IFERROR(__xludf.DUMMYFUNCTION("IFERROR(INDEX(FILTER('RE Portfolio'!A$2:A2000,'RE Portfolio'!D$2:D2000=""BUY""), INT((ROW()-2)/amortYears)+1), )
"),"")</f>
        <v/>
      </c>
      <c r="B1034" s="15" t="str">
        <f>IFERROR(__xludf.DUMMYFUNCTION("IFERROR(INDEX(FILTER('RE Portfolio'!B$2:B2000,'RE Portfolio'!D$2:D2000=""BUY""), INT((ROW()-2)/amortYears)+1), )
"),"")</f>
        <v/>
      </c>
      <c r="C1034" s="15" t="str">
        <f>IFERROR(__xludf.DUMMYFUNCTION("IFERROR(INDEX(FILTER('RE Portfolio'!G$2:G2000,'RE Portfolio'!D$2:D2000=""BUY""), INT((ROW()-2)/amortYears)+1), )
"),"")</f>
        <v/>
      </c>
      <c r="D1034" s="15">
        <f>MOD(ROW()-2, amortYears)+1</f>
        <v>7</v>
      </c>
      <c r="E1034" s="15" t="str">
        <f t="shared" si="1"/>
        <v/>
      </c>
      <c r="F1034" s="16">
        <f t="shared" si="2"/>
        <v>0</v>
      </c>
      <c r="G1034" s="16">
        <f>IF(D1034&lt;=mortTerm, -PMT(mortRate/12, mortTerm*12, C1034)*12, 0)
</f>
        <v>0</v>
      </c>
      <c r="H1034" s="16">
        <f>IF(D1034&lt;=mortTerm, G1034 - I1034, 0)
</f>
        <v>0</v>
      </c>
      <c r="I1034" s="16">
        <f>IF(D1034&lt;=mortTerm, F1034 - J1034, 0)
</f>
        <v>0</v>
      </c>
      <c r="J1034" s="16">
        <f>IF(D1034&lt;=mortTerm,
   F1034*(1+mortRate/12)^12 - (-PMT(mortRate/12, mortTerm*12, C1034))*(((1+mortRate/12)^12 - 1)/(mortRate/12)),
   0
)
</f>
        <v>0</v>
      </c>
      <c r="K1034" s="13" t="str">
        <f>IFERROR(__xludf.DUMMYFUNCTION("IF(A1034="""","""",
   IF(F1034&gt;0,
      INDEX(FILTER('RE Portfolio'!L$2:L2000,'RE Portfolio'!D$2:D2000=""BUY""), INT((ROW()-2)/amortYears)+1) - G1034,
      INDEX(FILTER('RE Portfolio'!L$2:L2000,'RE Portfolio'!D$2:D2000=""BUY""), INT((ROW()-2)/amortYears"&amp;")+1)
   )
)
"),"")</f>
        <v/>
      </c>
      <c r="L1034" s="15" t="str">
        <f>IFERROR(__xludf.DUMMYFUNCTION("IF(A1034="""","""",
  INDEX(FILTER('RE Portfolio'!C$2:C2000,'RE Portfolio'!D$2:D2000=""BUY""), INT((ROW()-2)/amortYears)+1)
  * (1 + VALUE(Assumptions!$B$11))^(D1034-1)
)
"),"")</f>
        <v/>
      </c>
    </row>
    <row r="1035">
      <c r="A1035" s="15" t="str">
        <f>IFERROR(__xludf.DUMMYFUNCTION("IFERROR(INDEX(FILTER('RE Portfolio'!A$2:A2000,'RE Portfolio'!D$2:D2000=""BUY""), INT((ROW()-2)/amortYears)+1), )
"),"")</f>
        <v/>
      </c>
      <c r="B1035" s="15" t="str">
        <f>IFERROR(__xludf.DUMMYFUNCTION("IFERROR(INDEX(FILTER('RE Portfolio'!B$2:B2000,'RE Portfolio'!D$2:D2000=""BUY""), INT((ROW()-2)/amortYears)+1), )
"),"")</f>
        <v/>
      </c>
      <c r="C1035" s="15" t="str">
        <f>IFERROR(__xludf.DUMMYFUNCTION("IFERROR(INDEX(FILTER('RE Portfolio'!G$2:G2000,'RE Portfolio'!D$2:D2000=""BUY""), INT((ROW()-2)/amortYears)+1), )
"),"")</f>
        <v/>
      </c>
      <c r="D1035" s="15">
        <f>MOD(ROW()-2, amortYears)+1</f>
        <v>8</v>
      </c>
      <c r="E1035" s="15" t="str">
        <f t="shared" si="1"/>
        <v/>
      </c>
      <c r="F1035" s="16">
        <f t="shared" si="2"/>
        <v>0</v>
      </c>
      <c r="G1035" s="16">
        <f>IF(D1035&lt;=mortTerm, -PMT(mortRate/12, mortTerm*12, C1035)*12, 0)
</f>
        <v>0</v>
      </c>
      <c r="H1035" s="16">
        <f>IF(D1035&lt;=mortTerm, G1035 - I1035, 0)
</f>
        <v>0</v>
      </c>
      <c r="I1035" s="16">
        <f>IF(D1035&lt;=mortTerm, F1035 - J1035, 0)
</f>
        <v>0</v>
      </c>
      <c r="J1035" s="16">
        <f>IF(D1035&lt;=mortTerm,
   F1035*(1+mortRate/12)^12 - (-PMT(mortRate/12, mortTerm*12, C1035))*(((1+mortRate/12)^12 - 1)/(mortRate/12)),
   0
)
</f>
        <v>0</v>
      </c>
      <c r="K1035" s="13" t="str">
        <f>IFERROR(__xludf.DUMMYFUNCTION("IF(A1035="""","""",
   IF(F1035&gt;0,
      INDEX(FILTER('RE Portfolio'!L$2:L2000,'RE Portfolio'!D$2:D2000=""BUY""), INT((ROW()-2)/amortYears)+1) - G1035,
      INDEX(FILTER('RE Portfolio'!L$2:L2000,'RE Portfolio'!D$2:D2000=""BUY""), INT((ROW()-2)/amortYears"&amp;")+1)
   )
)
"),"")</f>
        <v/>
      </c>
      <c r="L1035" s="15" t="str">
        <f>IFERROR(__xludf.DUMMYFUNCTION("IF(A1035="""","""",
  INDEX(FILTER('RE Portfolio'!C$2:C2000,'RE Portfolio'!D$2:D2000=""BUY""), INT((ROW()-2)/amortYears)+1)
  * (1 + VALUE(Assumptions!$B$11))^(D1035-1)
)
"),"")</f>
        <v/>
      </c>
    </row>
    <row r="1036">
      <c r="A1036" s="15" t="str">
        <f>IFERROR(__xludf.DUMMYFUNCTION("IFERROR(INDEX(FILTER('RE Portfolio'!A$2:A2000,'RE Portfolio'!D$2:D2000=""BUY""), INT((ROW()-2)/amortYears)+1), )
"),"")</f>
        <v/>
      </c>
      <c r="B1036" s="15" t="str">
        <f>IFERROR(__xludf.DUMMYFUNCTION("IFERROR(INDEX(FILTER('RE Portfolio'!B$2:B2000,'RE Portfolio'!D$2:D2000=""BUY""), INT((ROW()-2)/amortYears)+1), )
"),"")</f>
        <v/>
      </c>
      <c r="C1036" s="15" t="str">
        <f>IFERROR(__xludf.DUMMYFUNCTION("IFERROR(INDEX(FILTER('RE Portfolio'!G$2:G2000,'RE Portfolio'!D$2:D2000=""BUY""), INT((ROW()-2)/amortYears)+1), )
"),"")</f>
        <v/>
      </c>
      <c r="D1036" s="15">
        <f>MOD(ROW()-2, amortYears)+1</f>
        <v>9</v>
      </c>
      <c r="E1036" s="15" t="str">
        <f t="shared" si="1"/>
        <v/>
      </c>
      <c r="F1036" s="16">
        <f t="shared" si="2"/>
        <v>0</v>
      </c>
      <c r="G1036" s="16">
        <f>IF(D1036&lt;=mortTerm, -PMT(mortRate/12, mortTerm*12, C1036)*12, 0)
</f>
        <v>0</v>
      </c>
      <c r="H1036" s="16">
        <f>IF(D1036&lt;=mortTerm, G1036 - I1036, 0)
</f>
        <v>0</v>
      </c>
      <c r="I1036" s="16">
        <f>IF(D1036&lt;=mortTerm, F1036 - J1036, 0)
</f>
        <v>0</v>
      </c>
      <c r="J1036" s="16">
        <f>IF(D1036&lt;=mortTerm,
   F1036*(1+mortRate/12)^12 - (-PMT(mortRate/12, mortTerm*12, C1036))*(((1+mortRate/12)^12 - 1)/(mortRate/12)),
   0
)
</f>
        <v>0</v>
      </c>
      <c r="K1036" s="13" t="str">
        <f>IFERROR(__xludf.DUMMYFUNCTION("IF(A1036="""","""",
   IF(F1036&gt;0,
      INDEX(FILTER('RE Portfolio'!L$2:L2000,'RE Portfolio'!D$2:D2000=""BUY""), INT((ROW()-2)/amortYears)+1) - G1036,
      INDEX(FILTER('RE Portfolio'!L$2:L2000,'RE Portfolio'!D$2:D2000=""BUY""), INT((ROW()-2)/amortYears"&amp;")+1)
   )
)
"),"")</f>
        <v/>
      </c>
      <c r="L1036" s="15" t="str">
        <f>IFERROR(__xludf.DUMMYFUNCTION("IF(A1036="""","""",
  INDEX(FILTER('RE Portfolio'!C$2:C2000,'RE Portfolio'!D$2:D2000=""BUY""), INT((ROW()-2)/amortYears)+1)
  * (1 + VALUE(Assumptions!$B$11))^(D1036-1)
)
"),"")</f>
        <v/>
      </c>
    </row>
    <row r="1037">
      <c r="A1037" s="15" t="str">
        <f>IFERROR(__xludf.DUMMYFUNCTION("IFERROR(INDEX(FILTER('RE Portfolio'!A$2:A2000,'RE Portfolio'!D$2:D2000=""BUY""), INT((ROW()-2)/amortYears)+1), )
"),"")</f>
        <v/>
      </c>
      <c r="B1037" s="15" t="str">
        <f>IFERROR(__xludf.DUMMYFUNCTION("IFERROR(INDEX(FILTER('RE Portfolio'!B$2:B2000,'RE Portfolio'!D$2:D2000=""BUY""), INT((ROW()-2)/amortYears)+1), )
"),"")</f>
        <v/>
      </c>
      <c r="C1037" s="15" t="str">
        <f>IFERROR(__xludf.DUMMYFUNCTION("IFERROR(INDEX(FILTER('RE Portfolio'!G$2:G2000,'RE Portfolio'!D$2:D2000=""BUY""), INT((ROW()-2)/amortYears)+1), )
"),"")</f>
        <v/>
      </c>
      <c r="D1037" s="15">
        <f>MOD(ROW()-2, amortYears)+1</f>
        <v>10</v>
      </c>
      <c r="E1037" s="15" t="str">
        <f t="shared" si="1"/>
        <v/>
      </c>
      <c r="F1037" s="16">
        <f t="shared" si="2"/>
        <v>0</v>
      </c>
      <c r="G1037" s="16">
        <f>IF(D1037&lt;=mortTerm, -PMT(mortRate/12, mortTerm*12, C1037)*12, 0)
</f>
        <v>0</v>
      </c>
      <c r="H1037" s="16">
        <f>IF(D1037&lt;=mortTerm, G1037 - I1037, 0)
</f>
        <v>0</v>
      </c>
      <c r="I1037" s="16">
        <f>IF(D1037&lt;=mortTerm, F1037 - J1037, 0)
</f>
        <v>0</v>
      </c>
      <c r="J1037" s="16">
        <f>IF(D1037&lt;=mortTerm,
   F1037*(1+mortRate/12)^12 - (-PMT(mortRate/12, mortTerm*12, C1037))*(((1+mortRate/12)^12 - 1)/(mortRate/12)),
   0
)
</f>
        <v>0</v>
      </c>
      <c r="K1037" s="13" t="str">
        <f>IFERROR(__xludf.DUMMYFUNCTION("IF(A1037="""","""",
   IF(F1037&gt;0,
      INDEX(FILTER('RE Portfolio'!L$2:L2000,'RE Portfolio'!D$2:D2000=""BUY""), INT((ROW()-2)/amortYears)+1) - G1037,
      INDEX(FILTER('RE Portfolio'!L$2:L2000,'RE Portfolio'!D$2:D2000=""BUY""), INT((ROW()-2)/amortYears"&amp;")+1)
   )
)
"),"")</f>
        <v/>
      </c>
      <c r="L1037" s="15" t="str">
        <f>IFERROR(__xludf.DUMMYFUNCTION("IF(A1037="""","""",
  INDEX(FILTER('RE Portfolio'!C$2:C2000,'RE Portfolio'!D$2:D2000=""BUY""), INT((ROW()-2)/amortYears)+1)
  * (1 + VALUE(Assumptions!$B$11))^(D1037-1)
)
"),"")</f>
        <v/>
      </c>
    </row>
    <row r="1038">
      <c r="A1038" s="15" t="str">
        <f>IFERROR(__xludf.DUMMYFUNCTION("IFERROR(INDEX(FILTER('RE Portfolio'!A$2:A2000,'RE Portfolio'!D$2:D2000=""BUY""), INT((ROW()-2)/amortYears)+1), )
"),"")</f>
        <v/>
      </c>
      <c r="B1038" s="15" t="str">
        <f>IFERROR(__xludf.DUMMYFUNCTION("IFERROR(INDEX(FILTER('RE Portfolio'!B$2:B2000,'RE Portfolio'!D$2:D2000=""BUY""), INT((ROW()-2)/amortYears)+1), )
"),"")</f>
        <v/>
      </c>
      <c r="C1038" s="15" t="str">
        <f>IFERROR(__xludf.DUMMYFUNCTION("IFERROR(INDEX(FILTER('RE Portfolio'!G$2:G2000,'RE Portfolio'!D$2:D2000=""BUY""), INT((ROW()-2)/amortYears)+1), )
"),"")</f>
        <v/>
      </c>
      <c r="D1038" s="15">
        <f>MOD(ROW()-2, amortYears)+1</f>
        <v>11</v>
      </c>
      <c r="E1038" s="15" t="str">
        <f t="shared" si="1"/>
        <v/>
      </c>
      <c r="F1038" s="16">
        <f t="shared" si="2"/>
        <v>0</v>
      </c>
      <c r="G1038" s="16">
        <f>IF(D1038&lt;=mortTerm, -PMT(mortRate/12, mortTerm*12, C1038)*12, 0)
</f>
        <v>0</v>
      </c>
      <c r="H1038" s="16">
        <f>IF(D1038&lt;=mortTerm, G1038 - I1038, 0)
</f>
        <v>0</v>
      </c>
      <c r="I1038" s="16">
        <f>IF(D1038&lt;=mortTerm, F1038 - J1038, 0)
</f>
        <v>0</v>
      </c>
      <c r="J1038" s="16">
        <f>IF(D1038&lt;=mortTerm,
   F1038*(1+mortRate/12)^12 - (-PMT(mortRate/12, mortTerm*12, C1038))*(((1+mortRate/12)^12 - 1)/(mortRate/12)),
   0
)
</f>
        <v>0</v>
      </c>
      <c r="K1038" s="13" t="str">
        <f>IFERROR(__xludf.DUMMYFUNCTION("IF(A1038="""","""",
   IF(F1038&gt;0,
      INDEX(FILTER('RE Portfolio'!L$2:L2000,'RE Portfolio'!D$2:D2000=""BUY""), INT((ROW()-2)/amortYears)+1) - G1038,
      INDEX(FILTER('RE Portfolio'!L$2:L2000,'RE Portfolio'!D$2:D2000=""BUY""), INT((ROW()-2)/amortYears"&amp;")+1)
   )
)
"),"")</f>
        <v/>
      </c>
      <c r="L1038" s="15" t="str">
        <f>IFERROR(__xludf.DUMMYFUNCTION("IF(A1038="""","""",
  INDEX(FILTER('RE Portfolio'!C$2:C2000,'RE Portfolio'!D$2:D2000=""BUY""), INT((ROW()-2)/amortYears)+1)
  * (1 + VALUE(Assumptions!$B$11))^(D1038-1)
)
"),"")</f>
        <v/>
      </c>
    </row>
    <row r="1039">
      <c r="A1039" s="15" t="str">
        <f>IFERROR(__xludf.DUMMYFUNCTION("IFERROR(INDEX(FILTER('RE Portfolio'!A$2:A2000,'RE Portfolio'!D$2:D2000=""BUY""), INT((ROW()-2)/amortYears)+1), )
"),"")</f>
        <v/>
      </c>
      <c r="B1039" s="15" t="str">
        <f>IFERROR(__xludf.DUMMYFUNCTION("IFERROR(INDEX(FILTER('RE Portfolio'!B$2:B2000,'RE Portfolio'!D$2:D2000=""BUY""), INT((ROW()-2)/amortYears)+1), )
"),"")</f>
        <v/>
      </c>
      <c r="C1039" s="15" t="str">
        <f>IFERROR(__xludf.DUMMYFUNCTION("IFERROR(INDEX(FILTER('RE Portfolio'!G$2:G2000,'RE Portfolio'!D$2:D2000=""BUY""), INT((ROW()-2)/amortYears)+1), )
"),"")</f>
        <v/>
      </c>
      <c r="D1039" s="15">
        <f>MOD(ROW()-2, amortYears)+1</f>
        <v>12</v>
      </c>
      <c r="E1039" s="15" t="str">
        <f t="shared" si="1"/>
        <v/>
      </c>
      <c r="F1039" s="16">
        <f t="shared" si="2"/>
        <v>0</v>
      </c>
      <c r="G1039" s="16">
        <f>IF(D1039&lt;=mortTerm, -PMT(mortRate/12, mortTerm*12, C1039)*12, 0)
</f>
        <v>0</v>
      </c>
      <c r="H1039" s="16">
        <f>IF(D1039&lt;=mortTerm, G1039 - I1039, 0)
</f>
        <v>0</v>
      </c>
      <c r="I1039" s="16">
        <f>IF(D1039&lt;=mortTerm, F1039 - J1039, 0)
</f>
        <v>0</v>
      </c>
      <c r="J1039" s="16">
        <f>IF(D1039&lt;=mortTerm,
   F1039*(1+mortRate/12)^12 - (-PMT(mortRate/12, mortTerm*12, C1039))*(((1+mortRate/12)^12 - 1)/(mortRate/12)),
   0
)
</f>
        <v>0</v>
      </c>
      <c r="K1039" s="13" t="str">
        <f>IFERROR(__xludf.DUMMYFUNCTION("IF(A1039="""","""",
   IF(F1039&gt;0,
      INDEX(FILTER('RE Portfolio'!L$2:L2000,'RE Portfolio'!D$2:D2000=""BUY""), INT((ROW()-2)/amortYears)+1) - G1039,
      INDEX(FILTER('RE Portfolio'!L$2:L2000,'RE Portfolio'!D$2:D2000=""BUY""), INT((ROW()-2)/amortYears"&amp;")+1)
   )
)
"),"")</f>
        <v/>
      </c>
      <c r="L1039" s="15" t="str">
        <f>IFERROR(__xludf.DUMMYFUNCTION("IF(A1039="""","""",
  INDEX(FILTER('RE Portfolio'!C$2:C2000,'RE Portfolio'!D$2:D2000=""BUY""), INT((ROW()-2)/amortYears)+1)
  * (1 + VALUE(Assumptions!$B$11))^(D1039-1)
)
"),"")</f>
        <v/>
      </c>
    </row>
    <row r="1040">
      <c r="A1040" s="15" t="str">
        <f>IFERROR(__xludf.DUMMYFUNCTION("IFERROR(INDEX(FILTER('RE Portfolio'!A$2:A2000,'RE Portfolio'!D$2:D2000=""BUY""), INT((ROW()-2)/amortYears)+1), )
"),"")</f>
        <v/>
      </c>
      <c r="B1040" s="15" t="str">
        <f>IFERROR(__xludf.DUMMYFUNCTION("IFERROR(INDEX(FILTER('RE Portfolio'!B$2:B2000,'RE Portfolio'!D$2:D2000=""BUY""), INT((ROW()-2)/amortYears)+1), )
"),"")</f>
        <v/>
      </c>
      <c r="C1040" s="15" t="str">
        <f>IFERROR(__xludf.DUMMYFUNCTION("IFERROR(INDEX(FILTER('RE Portfolio'!G$2:G2000,'RE Portfolio'!D$2:D2000=""BUY""), INT((ROW()-2)/amortYears)+1), )
"),"")</f>
        <v/>
      </c>
      <c r="D1040" s="15">
        <f>MOD(ROW()-2, amortYears)+1</f>
        <v>13</v>
      </c>
      <c r="E1040" s="15" t="str">
        <f t="shared" si="1"/>
        <v/>
      </c>
      <c r="F1040" s="16">
        <f t="shared" si="2"/>
        <v>0</v>
      </c>
      <c r="G1040" s="16">
        <f>IF(D1040&lt;=mortTerm, -PMT(mortRate/12, mortTerm*12, C1040)*12, 0)
</f>
        <v>0</v>
      </c>
      <c r="H1040" s="16">
        <f>IF(D1040&lt;=mortTerm, G1040 - I1040, 0)
</f>
        <v>0</v>
      </c>
      <c r="I1040" s="16">
        <f>IF(D1040&lt;=mortTerm, F1040 - J1040, 0)
</f>
        <v>0</v>
      </c>
      <c r="J1040" s="16">
        <f>IF(D1040&lt;=mortTerm,
   F1040*(1+mortRate/12)^12 - (-PMT(mortRate/12, mortTerm*12, C1040))*(((1+mortRate/12)^12 - 1)/(mortRate/12)),
   0
)
</f>
        <v>0</v>
      </c>
      <c r="K1040" s="13" t="str">
        <f>IFERROR(__xludf.DUMMYFUNCTION("IF(A1040="""","""",
   IF(F1040&gt;0,
      INDEX(FILTER('RE Portfolio'!L$2:L2000,'RE Portfolio'!D$2:D2000=""BUY""), INT((ROW()-2)/amortYears)+1) - G1040,
      INDEX(FILTER('RE Portfolio'!L$2:L2000,'RE Portfolio'!D$2:D2000=""BUY""), INT((ROW()-2)/amortYears"&amp;")+1)
   )
)
"),"")</f>
        <v/>
      </c>
      <c r="L1040" s="15" t="str">
        <f>IFERROR(__xludf.DUMMYFUNCTION("IF(A1040="""","""",
  INDEX(FILTER('RE Portfolio'!C$2:C2000,'RE Portfolio'!D$2:D2000=""BUY""), INT((ROW()-2)/amortYears)+1)
  * (1 + VALUE(Assumptions!$B$11))^(D1040-1)
)
"),"")</f>
        <v/>
      </c>
    </row>
    <row r="1041">
      <c r="A1041" s="15" t="str">
        <f>IFERROR(__xludf.DUMMYFUNCTION("IFERROR(INDEX(FILTER('RE Portfolio'!A$2:A2000,'RE Portfolio'!D$2:D2000=""BUY""), INT((ROW()-2)/amortYears)+1), )
"),"")</f>
        <v/>
      </c>
      <c r="B1041" s="15" t="str">
        <f>IFERROR(__xludf.DUMMYFUNCTION("IFERROR(INDEX(FILTER('RE Portfolio'!B$2:B2000,'RE Portfolio'!D$2:D2000=""BUY""), INT((ROW()-2)/amortYears)+1), )
"),"")</f>
        <v/>
      </c>
      <c r="C1041" s="15" t="str">
        <f>IFERROR(__xludf.DUMMYFUNCTION("IFERROR(INDEX(FILTER('RE Portfolio'!G$2:G2000,'RE Portfolio'!D$2:D2000=""BUY""), INT((ROW()-2)/amortYears)+1), )
"),"")</f>
        <v/>
      </c>
      <c r="D1041" s="15">
        <f>MOD(ROW()-2, amortYears)+1</f>
        <v>14</v>
      </c>
      <c r="E1041" s="15" t="str">
        <f t="shared" si="1"/>
        <v/>
      </c>
      <c r="F1041" s="16">
        <f t="shared" si="2"/>
        <v>0</v>
      </c>
      <c r="G1041" s="16">
        <f>IF(D1041&lt;=mortTerm, -PMT(mortRate/12, mortTerm*12, C1041)*12, 0)
</f>
        <v>0</v>
      </c>
      <c r="H1041" s="16">
        <f>IF(D1041&lt;=mortTerm, G1041 - I1041, 0)
</f>
        <v>0</v>
      </c>
      <c r="I1041" s="16">
        <f>IF(D1041&lt;=mortTerm, F1041 - J1041, 0)
</f>
        <v>0</v>
      </c>
      <c r="J1041" s="16">
        <f>IF(D1041&lt;=mortTerm,
   F1041*(1+mortRate/12)^12 - (-PMT(mortRate/12, mortTerm*12, C1041))*(((1+mortRate/12)^12 - 1)/(mortRate/12)),
   0
)
</f>
        <v>0</v>
      </c>
      <c r="K1041" s="13" t="str">
        <f>IFERROR(__xludf.DUMMYFUNCTION("IF(A1041="""","""",
   IF(F1041&gt;0,
      INDEX(FILTER('RE Portfolio'!L$2:L2000,'RE Portfolio'!D$2:D2000=""BUY""), INT((ROW()-2)/amortYears)+1) - G1041,
      INDEX(FILTER('RE Portfolio'!L$2:L2000,'RE Portfolio'!D$2:D2000=""BUY""), INT((ROW()-2)/amortYears"&amp;")+1)
   )
)
"),"")</f>
        <v/>
      </c>
      <c r="L1041" s="15" t="str">
        <f>IFERROR(__xludf.DUMMYFUNCTION("IF(A1041="""","""",
  INDEX(FILTER('RE Portfolio'!C$2:C2000,'RE Portfolio'!D$2:D2000=""BUY""), INT((ROW()-2)/amortYears)+1)
  * (1 + VALUE(Assumptions!$B$11))^(D1041-1)
)
"),"")</f>
        <v/>
      </c>
    </row>
    <row r="1042">
      <c r="A1042" s="15" t="str">
        <f>IFERROR(__xludf.DUMMYFUNCTION("IFERROR(INDEX(FILTER('RE Portfolio'!A$2:A2000,'RE Portfolio'!D$2:D2000=""BUY""), INT((ROW()-2)/amortYears)+1), )
"),"")</f>
        <v/>
      </c>
      <c r="B1042" s="15" t="str">
        <f>IFERROR(__xludf.DUMMYFUNCTION("IFERROR(INDEX(FILTER('RE Portfolio'!B$2:B2000,'RE Portfolio'!D$2:D2000=""BUY""), INT((ROW()-2)/amortYears)+1), )
"),"")</f>
        <v/>
      </c>
      <c r="C1042" s="15" t="str">
        <f>IFERROR(__xludf.DUMMYFUNCTION("IFERROR(INDEX(FILTER('RE Portfolio'!G$2:G2000,'RE Portfolio'!D$2:D2000=""BUY""), INT((ROW()-2)/amortYears)+1), )
"),"")</f>
        <v/>
      </c>
      <c r="D1042" s="15">
        <f>MOD(ROW()-2, amortYears)+1</f>
        <v>15</v>
      </c>
      <c r="E1042" s="15" t="str">
        <f t="shared" si="1"/>
        <v/>
      </c>
      <c r="F1042" s="16">
        <f t="shared" si="2"/>
        <v>0</v>
      </c>
      <c r="G1042" s="16">
        <f>IF(D1042&lt;=mortTerm, -PMT(mortRate/12, mortTerm*12, C1042)*12, 0)
</f>
        <v>0</v>
      </c>
      <c r="H1042" s="16">
        <f>IF(D1042&lt;=mortTerm, G1042 - I1042, 0)
</f>
        <v>0</v>
      </c>
      <c r="I1042" s="16">
        <f>IF(D1042&lt;=mortTerm, F1042 - J1042, 0)
</f>
        <v>0</v>
      </c>
      <c r="J1042" s="16">
        <f>IF(D1042&lt;=mortTerm,
   F1042*(1+mortRate/12)^12 - (-PMT(mortRate/12, mortTerm*12, C1042))*(((1+mortRate/12)^12 - 1)/(mortRate/12)),
   0
)
</f>
        <v>0</v>
      </c>
      <c r="K1042" s="13" t="str">
        <f>IFERROR(__xludf.DUMMYFUNCTION("IF(A1042="""","""",
   IF(F1042&gt;0,
      INDEX(FILTER('RE Portfolio'!L$2:L2000,'RE Portfolio'!D$2:D2000=""BUY""), INT((ROW()-2)/amortYears)+1) - G1042,
      INDEX(FILTER('RE Portfolio'!L$2:L2000,'RE Portfolio'!D$2:D2000=""BUY""), INT((ROW()-2)/amortYears"&amp;")+1)
   )
)
"),"")</f>
        <v/>
      </c>
      <c r="L1042" s="15" t="str">
        <f>IFERROR(__xludf.DUMMYFUNCTION("IF(A1042="""","""",
  INDEX(FILTER('RE Portfolio'!C$2:C2000,'RE Portfolio'!D$2:D2000=""BUY""), INT((ROW()-2)/amortYears)+1)
  * (1 + VALUE(Assumptions!$B$11))^(D1042-1)
)
"),"")</f>
        <v/>
      </c>
    </row>
    <row r="1043">
      <c r="A1043" s="15" t="str">
        <f>IFERROR(__xludf.DUMMYFUNCTION("IFERROR(INDEX(FILTER('RE Portfolio'!A$2:A2000,'RE Portfolio'!D$2:D2000=""BUY""), INT((ROW()-2)/amortYears)+1), )
"),"")</f>
        <v/>
      </c>
      <c r="B1043" s="15" t="str">
        <f>IFERROR(__xludf.DUMMYFUNCTION("IFERROR(INDEX(FILTER('RE Portfolio'!B$2:B2000,'RE Portfolio'!D$2:D2000=""BUY""), INT((ROW()-2)/amortYears)+1), )
"),"")</f>
        <v/>
      </c>
      <c r="C1043" s="15" t="str">
        <f>IFERROR(__xludf.DUMMYFUNCTION("IFERROR(INDEX(FILTER('RE Portfolio'!G$2:G2000,'RE Portfolio'!D$2:D2000=""BUY""), INT((ROW()-2)/amortYears)+1), )
"),"")</f>
        <v/>
      </c>
      <c r="D1043" s="15">
        <f>MOD(ROW()-2, amortYears)+1</f>
        <v>16</v>
      </c>
      <c r="E1043" s="15" t="str">
        <f t="shared" si="1"/>
        <v/>
      </c>
      <c r="F1043" s="16">
        <f t="shared" si="2"/>
        <v>0</v>
      </c>
      <c r="G1043" s="16">
        <f>IF(D1043&lt;=mortTerm, -PMT(mortRate/12, mortTerm*12, C1043)*12, 0)
</f>
        <v>0</v>
      </c>
      <c r="H1043" s="16">
        <f>IF(D1043&lt;=mortTerm, G1043 - I1043, 0)
</f>
        <v>0</v>
      </c>
      <c r="I1043" s="16">
        <f>IF(D1043&lt;=mortTerm, F1043 - J1043, 0)
</f>
        <v>0</v>
      </c>
      <c r="J1043" s="16">
        <f>IF(D1043&lt;=mortTerm,
   F1043*(1+mortRate/12)^12 - (-PMT(mortRate/12, mortTerm*12, C1043))*(((1+mortRate/12)^12 - 1)/(mortRate/12)),
   0
)
</f>
        <v>0</v>
      </c>
      <c r="K1043" s="13" t="str">
        <f>IFERROR(__xludf.DUMMYFUNCTION("IF(A1043="""","""",
   IF(F1043&gt;0,
      INDEX(FILTER('RE Portfolio'!L$2:L2000,'RE Portfolio'!D$2:D2000=""BUY""), INT((ROW()-2)/amortYears)+1) - G1043,
      INDEX(FILTER('RE Portfolio'!L$2:L2000,'RE Portfolio'!D$2:D2000=""BUY""), INT((ROW()-2)/amortYears"&amp;")+1)
   )
)
"),"")</f>
        <v/>
      </c>
      <c r="L1043" s="15" t="str">
        <f>IFERROR(__xludf.DUMMYFUNCTION("IF(A1043="""","""",
  INDEX(FILTER('RE Portfolio'!C$2:C2000,'RE Portfolio'!D$2:D2000=""BUY""), INT((ROW()-2)/amortYears)+1)
  * (1 + VALUE(Assumptions!$B$11))^(D1043-1)
)
"),"")</f>
        <v/>
      </c>
    </row>
    <row r="1044">
      <c r="A1044" s="15" t="str">
        <f>IFERROR(__xludf.DUMMYFUNCTION("IFERROR(INDEX(FILTER('RE Portfolio'!A$2:A2000,'RE Portfolio'!D$2:D2000=""BUY""), INT((ROW()-2)/amortYears)+1), )
"),"")</f>
        <v/>
      </c>
      <c r="B1044" s="15" t="str">
        <f>IFERROR(__xludf.DUMMYFUNCTION("IFERROR(INDEX(FILTER('RE Portfolio'!B$2:B2000,'RE Portfolio'!D$2:D2000=""BUY""), INT((ROW()-2)/amortYears)+1), )
"),"")</f>
        <v/>
      </c>
      <c r="C1044" s="15" t="str">
        <f>IFERROR(__xludf.DUMMYFUNCTION("IFERROR(INDEX(FILTER('RE Portfolio'!G$2:G2000,'RE Portfolio'!D$2:D2000=""BUY""), INT((ROW()-2)/amortYears)+1), )
"),"")</f>
        <v/>
      </c>
      <c r="D1044" s="15">
        <f>MOD(ROW()-2, amortYears)+1</f>
        <v>17</v>
      </c>
      <c r="E1044" s="15" t="str">
        <f t="shared" si="1"/>
        <v/>
      </c>
      <c r="F1044" s="16">
        <f t="shared" si="2"/>
        <v>0</v>
      </c>
      <c r="G1044" s="16">
        <f>IF(D1044&lt;=mortTerm, -PMT(mortRate/12, mortTerm*12, C1044)*12, 0)
</f>
        <v>0</v>
      </c>
      <c r="H1044" s="16">
        <f>IF(D1044&lt;=mortTerm, G1044 - I1044, 0)
</f>
        <v>0</v>
      </c>
      <c r="I1044" s="16">
        <f>IF(D1044&lt;=mortTerm, F1044 - J1044, 0)
</f>
        <v>0</v>
      </c>
      <c r="J1044" s="16">
        <f>IF(D1044&lt;=mortTerm,
   F1044*(1+mortRate/12)^12 - (-PMT(mortRate/12, mortTerm*12, C1044))*(((1+mortRate/12)^12 - 1)/(mortRate/12)),
   0
)
</f>
        <v>0</v>
      </c>
      <c r="K1044" s="13" t="str">
        <f>IFERROR(__xludf.DUMMYFUNCTION("IF(A1044="""","""",
   IF(F1044&gt;0,
      INDEX(FILTER('RE Portfolio'!L$2:L2000,'RE Portfolio'!D$2:D2000=""BUY""), INT((ROW()-2)/amortYears)+1) - G1044,
      INDEX(FILTER('RE Portfolio'!L$2:L2000,'RE Portfolio'!D$2:D2000=""BUY""), INT((ROW()-2)/amortYears"&amp;")+1)
   )
)
"),"")</f>
        <v/>
      </c>
      <c r="L1044" s="15" t="str">
        <f>IFERROR(__xludf.DUMMYFUNCTION("IF(A1044="""","""",
  INDEX(FILTER('RE Portfolio'!C$2:C2000,'RE Portfolio'!D$2:D2000=""BUY""), INT((ROW()-2)/amortYears)+1)
  * (1 + VALUE(Assumptions!$B$11))^(D1044-1)
)
"),"")</f>
        <v/>
      </c>
    </row>
    <row r="1045">
      <c r="A1045" s="15" t="str">
        <f>IFERROR(__xludf.DUMMYFUNCTION("IFERROR(INDEX(FILTER('RE Portfolio'!A$2:A2000,'RE Portfolio'!D$2:D2000=""BUY""), INT((ROW()-2)/amortYears)+1), )
"),"")</f>
        <v/>
      </c>
      <c r="B1045" s="15" t="str">
        <f>IFERROR(__xludf.DUMMYFUNCTION("IFERROR(INDEX(FILTER('RE Portfolio'!B$2:B2000,'RE Portfolio'!D$2:D2000=""BUY""), INT((ROW()-2)/amortYears)+1), )
"),"")</f>
        <v/>
      </c>
      <c r="C1045" s="15" t="str">
        <f>IFERROR(__xludf.DUMMYFUNCTION("IFERROR(INDEX(FILTER('RE Portfolio'!G$2:G2000,'RE Portfolio'!D$2:D2000=""BUY""), INT((ROW()-2)/amortYears)+1), )
"),"")</f>
        <v/>
      </c>
      <c r="D1045" s="15">
        <f>MOD(ROW()-2, amortYears)+1</f>
        <v>18</v>
      </c>
      <c r="E1045" s="15" t="str">
        <f t="shared" si="1"/>
        <v/>
      </c>
      <c r="F1045" s="16">
        <f t="shared" si="2"/>
        <v>0</v>
      </c>
      <c r="G1045" s="16">
        <f>IF(D1045&lt;=mortTerm, -PMT(mortRate/12, mortTerm*12, C1045)*12, 0)
</f>
        <v>0</v>
      </c>
      <c r="H1045" s="16">
        <f>IF(D1045&lt;=mortTerm, G1045 - I1045, 0)
</f>
        <v>0</v>
      </c>
      <c r="I1045" s="16">
        <f>IF(D1045&lt;=mortTerm, F1045 - J1045, 0)
</f>
        <v>0</v>
      </c>
      <c r="J1045" s="16">
        <f>IF(D1045&lt;=mortTerm,
   F1045*(1+mortRate/12)^12 - (-PMT(mortRate/12, mortTerm*12, C1045))*(((1+mortRate/12)^12 - 1)/(mortRate/12)),
   0
)
</f>
        <v>0</v>
      </c>
      <c r="K1045" s="13" t="str">
        <f>IFERROR(__xludf.DUMMYFUNCTION("IF(A1045="""","""",
   IF(F1045&gt;0,
      INDEX(FILTER('RE Portfolio'!L$2:L2000,'RE Portfolio'!D$2:D2000=""BUY""), INT((ROW()-2)/amortYears)+1) - G1045,
      INDEX(FILTER('RE Portfolio'!L$2:L2000,'RE Portfolio'!D$2:D2000=""BUY""), INT((ROW()-2)/amortYears"&amp;")+1)
   )
)
"),"")</f>
        <v/>
      </c>
      <c r="L1045" s="15" t="str">
        <f>IFERROR(__xludf.DUMMYFUNCTION("IF(A1045="""","""",
  INDEX(FILTER('RE Portfolio'!C$2:C2000,'RE Portfolio'!D$2:D2000=""BUY""), INT((ROW()-2)/amortYears)+1)
  * (1 + VALUE(Assumptions!$B$11))^(D1045-1)
)
"),"")</f>
        <v/>
      </c>
    </row>
    <row r="1046">
      <c r="A1046" s="15" t="str">
        <f>IFERROR(__xludf.DUMMYFUNCTION("IFERROR(INDEX(FILTER('RE Portfolio'!A$2:A2000,'RE Portfolio'!D$2:D2000=""BUY""), INT((ROW()-2)/amortYears)+1), )
"),"")</f>
        <v/>
      </c>
      <c r="B1046" s="15" t="str">
        <f>IFERROR(__xludf.DUMMYFUNCTION("IFERROR(INDEX(FILTER('RE Portfolio'!B$2:B2000,'RE Portfolio'!D$2:D2000=""BUY""), INT((ROW()-2)/amortYears)+1), )
"),"")</f>
        <v/>
      </c>
      <c r="C1046" s="15" t="str">
        <f>IFERROR(__xludf.DUMMYFUNCTION("IFERROR(INDEX(FILTER('RE Portfolio'!G$2:G2000,'RE Portfolio'!D$2:D2000=""BUY""), INT((ROW()-2)/amortYears)+1), )
"),"")</f>
        <v/>
      </c>
      <c r="D1046" s="15">
        <f>MOD(ROW()-2, amortYears)+1</f>
        <v>19</v>
      </c>
      <c r="E1046" s="15" t="str">
        <f t="shared" si="1"/>
        <v/>
      </c>
      <c r="F1046" s="16">
        <f t="shared" si="2"/>
        <v>0</v>
      </c>
      <c r="G1046" s="16">
        <f>IF(D1046&lt;=mortTerm, -PMT(mortRate/12, mortTerm*12, C1046)*12, 0)
</f>
        <v>0</v>
      </c>
      <c r="H1046" s="16">
        <f>IF(D1046&lt;=mortTerm, G1046 - I1046, 0)
</f>
        <v>0</v>
      </c>
      <c r="I1046" s="16">
        <f>IF(D1046&lt;=mortTerm, F1046 - J1046, 0)
</f>
        <v>0</v>
      </c>
      <c r="J1046" s="16">
        <f>IF(D1046&lt;=mortTerm,
   F1046*(1+mortRate/12)^12 - (-PMT(mortRate/12, mortTerm*12, C1046))*(((1+mortRate/12)^12 - 1)/(mortRate/12)),
   0
)
</f>
        <v>0</v>
      </c>
      <c r="K1046" s="13" t="str">
        <f>IFERROR(__xludf.DUMMYFUNCTION("IF(A1046="""","""",
   IF(F1046&gt;0,
      INDEX(FILTER('RE Portfolio'!L$2:L2000,'RE Portfolio'!D$2:D2000=""BUY""), INT((ROW()-2)/amortYears)+1) - G1046,
      INDEX(FILTER('RE Portfolio'!L$2:L2000,'RE Portfolio'!D$2:D2000=""BUY""), INT((ROW()-2)/amortYears"&amp;")+1)
   )
)
"),"")</f>
        <v/>
      </c>
      <c r="L1046" s="15" t="str">
        <f>IFERROR(__xludf.DUMMYFUNCTION("IF(A1046="""","""",
  INDEX(FILTER('RE Portfolio'!C$2:C2000,'RE Portfolio'!D$2:D2000=""BUY""), INT((ROW()-2)/amortYears)+1)
  * (1 + VALUE(Assumptions!$B$11))^(D1046-1)
)
"),"")</f>
        <v/>
      </c>
    </row>
    <row r="1047">
      <c r="A1047" s="15" t="str">
        <f>IFERROR(__xludf.DUMMYFUNCTION("IFERROR(INDEX(FILTER('RE Portfolio'!A$2:A2000,'RE Portfolio'!D$2:D2000=""BUY""), INT((ROW()-2)/amortYears)+1), )
"),"")</f>
        <v/>
      </c>
      <c r="B1047" s="15" t="str">
        <f>IFERROR(__xludf.DUMMYFUNCTION("IFERROR(INDEX(FILTER('RE Portfolio'!B$2:B2000,'RE Portfolio'!D$2:D2000=""BUY""), INT((ROW()-2)/amortYears)+1), )
"),"")</f>
        <v/>
      </c>
      <c r="C1047" s="15" t="str">
        <f>IFERROR(__xludf.DUMMYFUNCTION("IFERROR(INDEX(FILTER('RE Portfolio'!G$2:G2000,'RE Portfolio'!D$2:D2000=""BUY""), INT((ROW()-2)/amortYears)+1), )
"),"")</f>
        <v/>
      </c>
      <c r="D1047" s="15">
        <f>MOD(ROW()-2, amortYears)+1</f>
        <v>20</v>
      </c>
      <c r="E1047" s="15" t="str">
        <f t="shared" si="1"/>
        <v/>
      </c>
      <c r="F1047" s="16">
        <f t="shared" si="2"/>
        <v>0</v>
      </c>
      <c r="G1047" s="16">
        <f>IF(D1047&lt;=mortTerm, -PMT(mortRate/12, mortTerm*12, C1047)*12, 0)
</f>
        <v>0</v>
      </c>
      <c r="H1047" s="16">
        <f>IF(D1047&lt;=mortTerm, G1047 - I1047, 0)
</f>
        <v>0</v>
      </c>
      <c r="I1047" s="16">
        <f>IF(D1047&lt;=mortTerm, F1047 - J1047, 0)
</f>
        <v>0</v>
      </c>
      <c r="J1047" s="16">
        <f>IF(D1047&lt;=mortTerm,
   F1047*(1+mortRate/12)^12 - (-PMT(mortRate/12, mortTerm*12, C1047))*(((1+mortRate/12)^12 - 1)/(mortRate/12)),
   0
)
</f>
        <v>0</v>
      </c>
      <c r="K1047" s="13" t="str">
        <f>IFERROR(__xludf.DUMMYFUNCTION("IF(A1047="""","""",
   IF(F1047&gt;0,
      INDEX(FILTER('RE Portfolio'!L$2:L2000,'RE Portfolio'!D$2:D2000=""BUY""), INT((ROW()-2)/amortYears)+1) - G1047,
      INDEX(FILTER('RE Portfolio'!L$2:L2000,'RE Portfolio'!D$2:D2000=""BUY""), INT((ROW()-2)/amortYears"&amp;")+1)
   )
)
"),"")</f>
        <v/>
      </c>
      <c r="L1047" s="15" t="str">
        <f>IFERROR(__xludf.DUMMYFUNCTION("IF(A1047="""","""",
  INDEX(FILTER('RE Portfolio'!C$2:C2000,'RE Portfolio'!D$2:D2000=""BUY""), INT((ROW()-2)/amortYears)+1)
  * (1 + VALUE(Assumptions!$B$11))^(D1047-1)
)
"),"")</f>
        <v/>
      </c>
    </row>
    <row r="1048">
      <c r="A1048" s="15" t="str">
        <f>IFERROR(__xludf.DUMMYFUNCTION("IFERROR(INDEX(FILTER('RE Portfolio'!A$2:A2000,'RE Portfolio'!D$2:D2000=""BUY""), INT((ROW()-2)/amortYears)+1), )
"),"")</f>
        <v/>
      </c>
      <c r="B1048" s="15" t="str">
        <f>IFERROR(__xludf.DUMMYFUNCTION("IFERROR(INDEX(FILTER('RE Portfolio'!B$2:B2000,'RE Portfolio'!D$2:D2000=""BUY""), INT((ROW()-2)/amortYears)+1), )
"),"")</f>
        <v/>
      </c>
      <c r="C1048" s="15" t="str">
        <f>IFERROR(__xludf.DUMMYFUNCTION("IFERROR(INDEX(FILTER('RE Portfolio'!G$2:G2000,'RE Portfolio'!D$2:D2000=""BUY""), INT((ROW()-2)/amortYears)+1), )
"),"")</f>
        <v/>
      </c>
      <c r="D1048" s="15">
        <f>MOD(ROW()-2, amortYears)+1</f>
        <v>21</v>
      </c>
      <c r="E1048" s="15" t="str">
        <f t="shared" si="1"/>
        <v/>
      </c>
      <c r="F1048" s="16">
        <f t="shared" si="2"/>
        <v>0</v>
      </c>
      <c r="G1048" s="16">
        <f>IF(D1048&lt;=mortTerm, -PMT(mortRate/12, mortTerm*12, C1048)*12, 0)
</f>
        <v>0</v>
      </c>
      <c r="H1048" s="16">
        <f>IF(D1048&lt;=mortTerm, G1048 - I1048, 0)
</f>
        <v>0</v>
      </c>
      <c r="I1048" s="16">
        <f>IF(D1048&lt;=mortTerm, F1048 - J1048, 0)
</f>
        <v>0</v>
      </c>
      <c r="J1048" s="16">
        <f>IF(D1048&lt;=mortTerm,
   F1048*(1+mortRate/12)^12 - (-PMT(mortRate/12, mortTerm*12, C1048))*(((1+mortRate/12)^12 - 1)/(mortRate/12)),
   0
)
</f>
        <v>0</v>
      </c>
      <c r="K1048" s="13" t="str">
        <f>IFERROR(__xludf.DUMMYFUNCTION("IF(A1048="""","""",
   IF(F1048&gt;0,
      INDEX(FILTER('RE Portfolio'!L$2:L2000,'RE Portfolio'!D$2:D2000=""BUY""), INT((ROW()-2)/amortYears)+1) - G1048,
      INDEX(FILTER('RE Portfolio'!L$2:L2000,'RE Portfolio'!D$2:D2000=""BUY""), INT((ROW()-2)/amortYears"&amp;")+1)
   )
)
"),"")</f>
        <v/>
      </c>
      <c r="L1048" s="15" t="str">
        <f>IFERROR(__xludf.DUMMYFUNCTION("IF(A1048="""","""",
  INDEX(FILTER('RE Portfolio'!C$2:C2000,'RE Portfolio'!D$2:D2000=""BUY""), INT((ROW()-2)/amortYears)+1)
  * (1 + VALUE(Assumptions!$B$11))^(D1048-1)
)
"),"")</f>
        <v/>
      </c>
    </row>
    <row r="1049">
      <c r="A1049" s="15" t="str">
        <f>IFERROR(__xludf.DUMMYFUNCTION("IFERROR(INDEX(FILTER('RE Portfolio'!A$2:A2000,'RE Portfolio'!D$2:D2000=""BUY""), INT((ROW()-2)/amortYears)+1), )
"),"")</f>
        <v/>
      </c>
      <c r="B1049" s="15" t="str">
        <f>IFERROR(__xludf.DUMMYFUNCTION("IFERROR(INDEX(FILTER('RE Portfolio'!B$2:B2000,'RE Portfolio'!D$2:D2000=""BUY""), INT((ROW()-2)/amortYears)+1), )
"),"")</f>
        <v/>
      </c>
      <c r="C1049" s="15" t="str">
        <f>IFERROR(__xludf.DUMMYFUNCTION("IFERROR(INDEX(FILTER('RE Portfolio'!G$2:G2000,'RE Portfolio'!D$2:D2000=""BUY""), INT((ROW()-2)/amortYears)+1), )
"),"")</f>
        <v/>
      </c>
      <c r="D1049" s="15">
        <f>MOD(ROW()-2, amortYears)+1</f>
        <v>22</v>
      </c>
      <c r="E1049" s="15" t="str">
        <f t="shared" si="1"/>
        <v/>
      </c>
      <c r="F1049" s="16">
        <f t="shared" si="2"/>
        <v>0</v>
      </c>
      <c r="G1049" s="16">
        <f>IF(D1049&lt;=mortTerm, -PMT(mortRate/12, mortTerm*12, C1049)*12, 0)
</f>
        <v>0</v>
      </c>
      <c r="H1049" s="16">
        <f>IF(D1049&lt;=mortTerm, G1049 - I1049, 0)
</f>
        <v>0</v>
      </c>
      <c r="I1049" s="16">
        <f>IF(D1049&lt;=mortTerm, F1049 - J1049, 0)
</f>
        <v>0</v>
      </c>
      <c r="J1049" s="16">
        <f>IF(D1049&lt;=mortTerm,
   F1049*(1+mortRate/12)^12 - (-PMT(mortRate/12, mortTerm*12, C1049))*(((1+mortRate/12)^12 - 1)/(mortRate/12)),
   0
)
</f>
        <v>0</v>
      </c>
      <c r="K1049" s="13" t="str">
        <f>IFERROR(__xludf.DUMMYFUNCTION("IF(A1049="""","""",
   IF(F1049&gt;0,
      INDEX(FILTER('RE Portfolio'!L$2:L2000,'RE Portfolio'!D$2:D2000=""BUY""), INT((ROW()-2)/amortYears)+1) - G1049,
      INDEX(FILTER('RE Portfolio'!L$2:L2000,'RE Portfolio'!D$2:D2000=""BUY""), INT((ROW()-2)/amortYears"&amp;")+1)
   )
)
"),"")</f>
        <v/>
      </c>
      <c r="L1049" s="15" t="str">
        <f>IFERROR(__xludf.DUMMYFUNCTION("IF(A1049="""","""",
  INDEX(FILTER('RE Portfolio'!C$2:C2000,'RE Portfolio'!D$2:D2000=""BUY""), INT((ROW()-2)/amortYears)+1)
  * (1 + VALUE(Assumptions!$B$11))^(D1049-1)
)
"),"")</f>
        <v/>
      </c>
    </row>
    <row r="1050">
      <c r="A1050" s="15" t="str">
        <f>IFERROR(__xludf.DUMMYFUNCTION("IFERROR(INDEX(FILTER('RE Portfolio'!A$2:A2000,'RE Portfolio'!D$2:D2000=""BUY""), INT((ROW()-2)/amortYears)+1), )
"),"")</f>
        <v/>
      </c>
      <c r="B1050" s="15" t="str">
        <f>IFERROR(__xludf.DUMMYFUNCTION("IFERROR(INDEX(FILTER('RE Portfolio'!B$2:B2000,'RE Portfolio'!D$2:D2000=""BUY""), INT((ROW()-2)/amortYears)+1), )
"),"")</f>
        <v/>
      </c>
      <c r="C1050" s="15" t="str">
        <f>IFERROR(__xludf.DUMMYFUNCTION("IFERROR(INDEX(FILTER('RE Portfolio'!G$2:G2000,'RE Portfolio'!D$2:D2000=""BUY""), INT((ROW()-2)/amortYears)+1), )
"),"")</f>
        <v/>
      </c>
      <c r="D1050" s="15">
        <f>MOD(ROW()-2, amortYears)+1</f>
        <v>23</v>
      </c>
      <c r="E1050" s="15" t="str">
        <f t="shared" si="1"/>
        <v/>
      </c>
      <c r="F1050" s="16">
        <f t="shared" si="2"/>
        <v>0</v>
      </c>
      <c r="G1050" s="16">
        <f>IF(D1050&lt;=mortTerm, -PMT(mortRate/12, mortTerm*12, C1050)*12, 0)
</f>
        <v>0</v>
      </c>
      <c r="H1050" s="16">
        <f>IF(D1050&lt;=mortTerm, G1050 - I1050, 0)
</f>
        <v>0</v>
      </c>
      <c r="I1050" s="16">
        <f>IF(D1050&lt;=mortTerm, F1050 - J1050, 0)
</f>
        <v>0</v>
      </c>
      <c r="J1050" s="16">
        <f>IF(D1050&lt;=mortTerm,
   F1050*(1+mortRate/12)^12 - (-PMT(mortRate/12, mortTerm*12, C1050))*(((1+mortRate/12)^12 - 1)/(mortRate/12)),
   0
)
</f>
        <v>0</v>
      </c>
      <c r="K1050" s="13" t="str">
        <f>IFERROR(__xludf.DUMMYFUNCTION("IF(A1050="""","""",
   IF(F1050&gt;0,
      INDEX(FILTER('RE Portfolio'!L$2:L2000,'RE Portfolio'!D$2:D2000=""BUY""), INT((ROW()-2)/amortYears)+1) - G1050,
      INDEX(FILTER('RE Portfolio'!L$2:L2000,'RE Portfolio'!D$2:D2000=""BUY""), INT((ROW()-2)/amortYears"&amp;")+1)
   )
)
"),"")</f>
        <v/>
      </c>
      <c r="L1050" s="15" t="str">
        <f>IFERROR(__xludf.DUMMYFUNCTION("IF(A1050="""","""",
  INDEX(FILTER('RE Portfolio'!C$2:C2000,'RE Portfolio'!D$2:D2000=""BUY""), INT((ROW()-2)/amortYears)+1)
  * (1 + VALUE(Assumptions!$B$11))^(D1050-1)
)
"),"")</f>
        <v/>
      </c>
    </row>
    <row r="1051">
      <c r="A1051" s="15" t="str">
        <f>IFERROR(__xludf.DUMMYFUNCTION("IFERROR(INDEX(FILTER('RE Portfolio'!A$2:A2000,'RE Portfolio'!D$2:D2000=""BUY""), INT((ROW()-2)/amortYears)+1), )
"),"")</f>
        <v/>
      </c>
      <c r="B1051" s="15" t="str">
        <f>IFERROR(__xludf.DUMMYFUNCTION("IFERROR(INDEX(FILTER('RE Portfolio'!B$2:B2000,'RE Portfolio'!D$2:D2000=""BUY""), INT((ROW()-2)/amortYears)+1), )
"),"")</f>
        <v/>
      </c>
      <c r="C1051" s="15" t="str">
        <f>IFERROR(__xludf.DUMMYFUNCTION("IFERROR(INDEX(FILTER('RE Portfolio'!G$2:G2000,'RE Portfolio'!D$2:D2000=""BUY""), INT((ROW()-2)/amortYears)+1), )
"),"")</f>
        <v/>
      </c>
      <c r="D1051" s="15">
        <f>MOD(ROW()-2, amortYears)+1</f>
        <v>24</v>
      </c>
      <c r="E1051" s="15" t="str">
        <f t="shared" si="1"/>
        <v/>
      </c>
      <c r="F1051" s="16">
        <f t="shared" si="2"/>
        <v>0</v>
      </c>
      <c r="G1051" s="16">
        <f>IF(D1051&lt;=mortTerm, -PMT(mortRate/12, mortTerm*12, C1051)*12, 0)
</f>
        <v>0</v>
      </c>
      <c r="H1051" s="16">
        <f>IF(D1051&lt;=mortTerm, G1051 - I1051, 0)
</f>
        <v>0</v>
      </c>
      <c r="I1051" s="16">
        <f>IF(D1051&lt;=mortTerm, F1051 - J1051, 0)
</f>
        <v>0</v>
      </c>
      <c r="J1051" s="16">
        <f>IF(D1051&lt;=mortTerm,
   F1051*(1+mortRate/12)^12 - (-PMT(mortRate/12, mortTerm*12, C1051))*(((1+mortRate/12)^12 - 1)/(mortRate/12)),
   0
)
</f>
        <v>0</v>
      </c>
      <c r="K1051" s="13" t="str">
        <f>IFERROR(__xludf.DUMMYFUNCTION("IF(A1051="""","""",
   IF(F1051&gt;0,
      INDEX(FILTER('RE Portfolio'!L$2:L2000,'RE Portfolio'!D$2:D2000=""BUY""), INT((ROW()-2)/amortYears)+1) - G1051,
      INDEX(FILTER('RE Portfolio'!L$2:L2000,'RE Portfolio'!D$2:D2000=""BUY""), INT((ROW()-2)/amortYears"&amp;")+1)
   )
)
"),"")</f>
        <v/>
      </c>
      <c r="L1051" s="15" t="str">
        <f>IFERROR(__xludf.DUMMYFUNCTION("IF(A1051="""","""",
  INDEX(FILTER('RE Portfolio'!C$2:C2000,'RE Portfolio'!D$2:D2000=""BUY""), INT((ROW()-2)/amortYears)+1)
  * (1 + VALUE(Assumptions!$B$11))^(D1051-1)
)
"),"")</f>
        <v/>
      </c>
    </row>
    <row r="1052">
      <c r="A1052" s="15" t="str">
        <f>IFERROR(__xludf.DUMMYFUNCTION("IFERROR(INDEX(FILTER('RE Portfolio'!A$2:A2000,'RE Portfolio'!D$2:D2000=""BUY""), INT((ROW()-2)/amortYears)+1), )
"),"")</f>
        <v/>
      </c>
      <c r="B1052" s="15" t="str">
        <f>IFERROR(__xludf.DUMMYFUNCTION("IFERROR(INDEX(FILTER('RE Portfolio'!B$2:B2000,'RE Portfolio'!D$2:D2000=""BUY""), INT((ROW()-2)/amortYears)+1), )
"),"")</f>
        <v/>
      </c>
      <c r="C1052" s="15" t="str">
        <f>IFERROR(__xludf.DUMMYFUNCTION("IFERROR(INDEX(FILTER('RE Portfolio'!G$2:G2000,'RE Portfolio'!D$2:D2000=""BUY""), INT((ROW()-2)/amortYears)+1), )
"),"")</f>
        <v/>
      </c>
      <c r="D1052" s="15">
        <f>MOD(ROW()-2, amortYears)+1</f>
        <v>25</v>
      </c>
      <c r="E1052" s="15" t="str">
        <f t="shared" si="1"/>
        <v/>
      </c>
      <c r="F1052" s="16">
        <f t="shared" si="2"/>
        <v>0</v>
      </c>
      <c r="G1052" s="16">
        <f>IF(D1052&lt;=mortTerm, -PMT(mortRate/12, mortTerm*12, C1052)*12, 0)
</f>
        <v>0</v>
      </c>
      <c r="H1052" s="16">
        <f>IF(D1052&lt;=mortTerm, G1052 - I1052, 0)
</f>
        <v>0</v>
      </c>
      <c r="I1052" s="16">
        <f>IF(D1052&lt;=mortTerm, F1052 - J1052, 0)
</f>
        <v>0</v>
      </c>
      <c r="J1052" s="16">
        <f>IF(D1052&lt;=mortTerm,
   F1052*(1+mortRate/12)^12 - (-PMT(mortRate/12, mortTerm*12, C1052))*(((1+mortRate/12)^12 - 1)/(mortRate/12)),
   0
)
</f>
        <v>0</v>
      </c>
      <c r="K1052" s="13" t="str">
        <f>IFERROR(__xludf.DUMMYFUNCTION("IF(A1052="""","""",
   IF(F1052&gt;0,
      INDEX(FILTER('RE Portfolio'!L$2:L2000,'RE Portfolio'!D$2:D2000=""BUY""), INT((ROW()-2)/amortYears)+1) - G1052,
      INDEX(FILTER('RE Portfolio'!L$2:L2000,'RE Portfolio'!D$2:D2000=""BUY""), INT((ROW()-2)/amortYears"&amp;")+1)
   )
)
"),"")</f>
        <v/>
      </c>
      <c r="L1052" s="15" t="str">
        <f>IFERROR(__xludf.DUMMYFUNCTION("IF(A1052="""","""",
  INDEX(FILTER('RE Portfolio'!C$2:C2000,'RE Portfolio'!D$2:D2000=""BUY""), INT((ROW()-2)/amortYears)+1)
  * (1 + VALUE(Assumptions!$B$11))^(D1052-1)
)
"),"")</f>
        <v/>
      </c>
    </row>
    <row r="1053">
      <c r="A1053" s="15" t="str">
        <f>IFERROR(__xludf.DUMMYFUNCTION("IFERROR(INDEX(FILTER('RE Portfolio'!A$2:A2000,'RE Portfolio'!D$2:D2000=""BUY""), INT((ROW()-2)/amortYears)+1), )
"),"")</f>
        <v/>
      </c>
      <c r="B1053" s="15" t="str">
        <f>IFERROR(__xludf.DUMMYFUNCTION("IFERROR(INDEX(FILTER('RE Portfolio'!B$2:B2000,'RE Portfolio'!D$2:D2000=""BUY""), INT((ROW()-2)/amortYears)+1), )
"),"")</f>
        <v/>
      </c>
      <c r="C1053" s="15" t="str">
        <f>IFERROR(__xludf.DUMMYFUNCTION("IFERROR(INDEX(FILTER('RE Portfolio'!G$2:G2000,'RE Portfolio'!D$2:D2000=""BUY""), INT((ROW()-2)/amortYears)+1), )
"),"")</f>
        <v/>
      </c>
      <c r="D1053" s="15">
        <f>MOD(ROW()-2, amortYears)+1</f>
        <v>26</v>
      </c>
      <c r="E1053" s="15" t="str">
        <f t="shared" si="1"/>
        <v/>
      </c>
      <c r="F1053" s="16">
        <f t="shared" si="2"/>
        <v>0</v>
      </c>
      <c r="G1053" s="16">
        <f>IF(D1053&lt;=mortTerm, -PMT(mortRate/12, mortTerm*12, C1053)*12, 0)
</f>
        <v>0</v>
      </c>
      <c r="H1053" s="16">
        <f>IF(D1053&lt;=mortTerm, G1053 - I1053, 0)
</f>
        <v>0</v>
      </c>
      <c r="I1053" s="16">
        <f>IF(D1053&lt;=mortTerm, F1053 - J1053, 0)
</f>
        <v>0</v>
      </c>
      <c r="J1053" s="16">
        <f>IF(D1053&lt;=mortTerm,
   F1053*(1+mortRate/12)^12 - (-PMT(mortRate/12, mortTerm*12, C1053))*(((1+mortRate/12)^12 - 1)/(mortRate/12)),
   0
)
</f>
        <v>0</v>
      </c>
      <c r="K1053" s="13" t="str">
        <f>IFERROR(__xludf.DUMMYFUNCTION("IF(A1053="""","""",
   IF(F1053&gt;0,
      INDEX(FILTER('RE Portfolio'!L$2:L2000,'RE Portfolio'!D$2:D2000=""BUY""), INT((ROW()-2)/amortYears)+1) - G1053,
      INDEX(FILTER('RE Portfolio'!L$2:L2000,'RE Portfolio'!D$2:D2000=""BUY""), INT((ROW()-2)/amortYears"&amp;")+1)
   )
)
"),"")</f>
        <v/>
      </c>
      <c r="L1053" s="15" t="str">
        <f>IFERROR(__xludf.DUMMYFUNCTION("IF(A1053="""","""",
  INDEX(FILTER('RE Portfolio'!C$2:C2000,'RE Portfolio'!D$2:D2000=""BUY""), INT((ROW()-2)/amortYears)+1)
  * (1 + VALUE(Assumptions!$B$11))^(D1053-1)
)
"),"")</f>
        <v/>
      </c>
    </row>
    <row r="1054">
      <c r="A1054" s="15" t="str">
        <f>IFERROR(__xludf.DUMMYFUNCTION("IFERROR(INDEX(FILTER('RE Portfolio'!A$2:A2000,'RE Portfolio'!D$2:D2000=""BUY""), INT((ROW()-2)/amortYears)+1), )
"),"")</f>
        <v/>
      </c>
      <c r="B1054" s="15" t="str">
        <f>IFERROR(__xludf.DUMMYFUNCTION("IFERROR(INDEX(FILTER('RE Portfolio'!B$2:B2000,'RE Portfolio'!D$2:D2000=""BUY""), INT((ROW()-2)/amortYears)+1), )
"),"")</f>
        <v/>
      </c>
      <c r="C1054" s="15" t="str">
        <f>IFERROR(__xludf.DUMMYFUNCTION("IFERROR(INDEX(FILTER('RE Portfolio'!G$2:G2000,'RE Portfolio'!D$2:D2000=""BUY""), INT((ROW()-2)/amortYears)+1), )
"),"")</f>
        <v/>
      </c>
      <c r="D1054" s="15">
        <f>MOD(ROW()-2, amortYears)+1</f>
        <v>27</v>
      </c>
      <c r="E1054" s="15" t="str">
        <f t="shared" si="1"/>
        <v/>
      </c>
      <c r="F1054" s="16">
        <f t="shared" si="2"/>
        <v>0</v>
      </c>
      <c r="G1054" s="16">
        <f>IF(D1054&lt;=mortTerm, -PMT(mortRate/12, mortTerm*12, C1054)*12, 0)
</f>
        <v>0</v>
      </c>
      <c r="H1054" s="16">
        <f>IF(D1054&lt;=mortTerm, G1054 - I1054, 0)
</f>
        <v>0</v>
      </c>
      <c r="I1054" s="16">
        <f>IF(D1054&lt;=mortTerm, F1054 - J1054, 0)
</f>
        <v>0</v>
      </c>
      <c r="J1054" s="16">
        <f>IF(D1054&lt;=mortTerm,
   F1054*(1+mortRate/12)^12 - (-PMT(mortRate/12, mortTerm*12, C1054))*(((1+mortRate/12)^12 - 1)/(mortRate/12)),
   0
)
</f>
        <v>0</v>
      </c>
      <c r="K1054" s="13" t="str">
        <f>IFERROR(__xludf.DUMMYFUNCTION("IF(A1054="""","""",
   IF(F1054&gt;0,
      INDEX(FILTER('RE Portfolio'!L$2:L2000,'RE Portfolio'!D$2:D2000=""BUY""), INT((ROW()-2)/amortYears)+1) - G1054,
      INDEX(FILTER('RE Portfolio'!L$2:L2000,'RE Portfolio'!D$2:D2000=""BUY""), INT((ROW()-2)/amortYears"&amp;")+1)
   )
)
"),"")</f>
        <v/>
      </c>
      <c r="L1054" s="15" t="str">
        <f>IFERROR(__xludf.DUMMYFUNCTION("IF(A1054="""","""",
  INDEX(FILTER('RE Portfolio'!C$2:C2000,'RE Portfolio'!D$2:D2000=""BUY""), INT((ROW()-2)/amortYears)+1)
  * (1 + VALUE(Assumptions!$B$11))^(D1054-1)
)
"),"")</f>
        <v/>
      </c>
    </row>
    <row r="1055">
      <c r="A1055" s="15" t="str">
        <f>IFERROR(__xludf.DUMMYFUNCTION("IFERROR(INDEX(FILTER('RE Portfolio'!A$2:A2000,'RE Portfolio'!D$2:D2000=""BUY""), INT((ROW()-2)/amortYears)+1), )
"),"")</f>
        <v/>
      </c>
      <c r="B1055" s="15" t="str">
        <f>IFERROR(__xludf.DUMMYFUNCTION("IFERROR(INDEX(FILTER('RE Portfolio'!B$2:B2000,'RE Portfolio'!D$2:D2000=""BUY""), INT((ROW()-2)/amortYears)+1), )
"),"")</f>
        <v/>
      </c>
      <c r="C1055" s="15" t="str">
        <f>IFERROR(__xludf.DUMMYFUNCTION("IFERROR(INDEX(FILTER('RE Portfolio'!G$2:G2000,'RE Portfolio'!D$2:D2000=""BUY""), INT((ROW()-2)/amortYears)+1), )
"),"")</f>
        <v/>
      </c>
      <c r="D1055" s="15">
        <f>MOD(ROW()-2, amortYears)+1</f>
        <v>28</v>
      </c>
      <c r="E1055" s="15" t="str">
        <f t="shared" si="1"/>
        <v/>
      </c>
      <c r="F1055" s="16">
        <f t="shared" si="2"/>
        <v>0</v>
      </c>
      <c r="G1055" s="16">
        <f>IF(D1055&lt;=mortTerm, -PMT(mortRate/12, mortTerm*12, C1055)*12, 0)
</f>
        <v>0</v>
      </c>
      <c r="H1055" s="16">
        <f>IF(D1055&lt;=mortTerm, G1055 - I1055, 0)
</f>
        <v>0</v>
      </c>
      <c r="I1055" s="16">
        <f>IF(D1055&lt;=mortTerm, F1055 - J1055, 0)
</f>
        <v>0</v>
      </c>
      <c r="J1055" s="16">
        <f>IF(D1055&lt;=mortTerm,
   F1055*(1+mortRate/12)^12 - (-PMT(mortRate/12, mortTerm*12, C1055))*(((1+mortRate/12)^12 - 1)/(mortRate/12)),
   0
)
</f>
        <v>0</v>
      </c>
      <c r="K1055" s="13" t="str">
        <f>IFERROR(__xludf.DUMMYFUNCTION("IF(A1055="""","""",
   IF(F1055&gt;0,
      INDEX(FILTER('RE Portfolio'!L$2:L2000,'RE Portfolio'!D$2:D2000=""BUY""), INT((ROW()-2)/amortYears)+1) - G1055,
      INDEX(FILTER('RE Portfolio'!L$2:L2000,'RE Portfolio'!D$2:D2000=""BUY""), INT((ROW()-2)/amortYears"&amp;")+1)
   )
)
"),"")</f>
        <v/>
      </c>
      <c r="L1055" s="15" t="str">
        <f>IFERROR(__xludf.DUMMYFUNCTION("IF(A1055="""","""",
  INDEX(FILTER('RE Portfolio'!C$2:C2000,'RE Portfolio'!D$2:D2000=""BUY""), INT((ROW()-2)/amortYears)+1)
  * (1 + VALUE(Assumptions!$B$11))^(D1055-1)
)
"),"")</f>
        <v/>
      </c>
    </row>
    <row r="1056">
      <c r="A1056" s="15" t="str">
        <f>IFERROR(__xludf.DUMMYFUNCTION("IFERROR(INDEX(FILTER('RE Portfolio'!A$2:A2000,'RE Portfolio'!D$2:D2000=""BUY""), INT((ROW()-2)/amortYears)+1), )
"),"")</f>
        <v/>
      </c>
      <c r="B1056" s="15" t="str">
        <f>IFERROR(__xludf.DUMMYFUNCTION("IFERROR(INDEX(FILTER('RE Portfolio'!B$2:B2000,'RE Portfolio'!D$2:D2000=""BUY""), INT((ROW()-2)/amortYears)+1), )
"),"")</f>
        <v/>
      </c>
      <c r="C1056" s="15" t="str">
        <f>IFERROR(__xludf.DUMMYFUNCTION("IFERROR(INDEX(FILTER('RE Portfolio'!G$2:G2000,'RE Portfolio'!D$2:D2000=""BUY""), INT((ROW()-2)/amortYears)+1), )
"),"")</f>
        <v/>
      </c>
      <c r="D1056" s="15">
        <f>MOD(ROW()-2, amortYears)+1</f>
        <v>29</v>
      </c>
      <c r="E1056" s="15" t="str">
        <f t="shared" si="1"/>
        <v/>
      </c>
      <c r="F1056" s="16">
        <f t="shared" si="2"/>
        <v>0</v>
      </c>
      <c r="G1056" s="16">
        <f>IF(D1056&lt;=mortTerm, -PMT(mortRate/12, mortTerm*12, C1056)*12, 0)
</f>
        <v>0</v>
      </c>
      <c r="H1056" s="16">
        <f>IF(D1056&lt;=mortTerm, G1056 - I1056, 0)
</f>
        <v>0</v>
      </c>
      <c r="I1056" s="16">
        <f>IF(D1056&lt;=mortTerm, F1056 - J1056, 0)
</f>
        <v>0</v>
      </c>
      <c r="J1056" s="16">
        <f>IF(D1056&lt;=mortTerm,
   F1056*(1+mortRate/12)^12 - (-PMT(mortRate/12, mortTerm*12, C1056))*(((1+mortRate/12)^12 - 1)/(mortRate/12)),
   0
)
</f>
        <v>0</v>
      </c>
      <c r="K1056" s="13" t="str">
        <f>IFERROR(__xludf.DUMMYFUNCTION("IF(A1056="""","""",
   IF(F1056&gt;0,
      INDEX(FILTER('RE Portfolio'!L$2:L2000,'RE Portfolio'!D$2:D2000=""BUY""), INT((ROW()-2)/amortYears)+1) - G1056,
      INDEX(FILTER('RE Portfolio'!L$2:L2000,'RE Portfolio'!D$2:D2000=""BUY""), INT((ROW()-2)/amortYears"&amp;")+1)
   )
)
"),"")</f>
        <v/>
      </c>
      <c r="L1056" s="15" t="str">
        <f>IFERROR(__xludf.DUMMYFUNCTION("IF(A1056="""","""",
  INDEX(FILTER('RE Portfolio'!C$2:C2000,'RE Portfolio'!D$2:D2000=""BUY""), INT((ROW()-2)/amortYears)+1)
  * (1 + VALUE(Assumptions!$B$11))^(D1056-1)
)
"),"")</f>
        <v/>
      </c>
    </row>
    <row r="1057">
      <c r="A1057" s="15" t="str">
        <f>IFERROR(__xludf.DUMMYFUNCTION("IFERROR(INDEX(FILTER('RE Portfolio'!A$2:A2000,'RE Portfolio'!D$2:D2000=""BUY""), INT((ROW()-2)/amortYears)+1), )
"),"")</f>
        <v/>
      </c>
      <c r="B1057" s="15" t="str">
        <f>IFERROR(__xludf.DUMMYFUNCTION("IFERROR(INDEX(FILTER('RE Portfolio'!B$2:B2000,'RE Portfolio'!D$2:D2000=""BUY""), INT((ROW()-2)/amortYears)+1), )
"),"")</f>
        <v/>
      </c>
      <c r="C1057" s="15" t="str">
        <f>IFERROR(__xludf.DUMMYFUNCTION("IFERROR(INDEX(FILTER('RE Portfolio'!G$2:G2000,'RE Portfolio'!D$2:D2000=""BUY""), INT((ROW()-2)/amortYears)+1), )
"),"")</f>
        <v/>
      </c>
      <c r="D1057" s="15">
        <f>MOD(ROW()-2, amortYears)+1</f>
        <v>30</v>
      </c>
      <c r="E1057" s="15" t="str">
        <f t="shared" si="1"/>
        <v/>
      </c>
      <c r="F1057" s="16">
        <f t="shared" si="2"/>
        <v>0</v>
      </c>
      <c r="G1057" s="16">
        <f>IF(D1057&lt;=mortTerm, -PMT(mortRate/12, mortTerm*12, C1057)*12, 0)
</f>
        <v>0</v>
      </c>
      <c r="H1057" s="16">
        <f>IF(D1057&lt;=mortTerm, G1057 - I1057, 0)
</f>
        <v>0</v>
      </c>
      <c r="I1057" s="16">
        <f>IF(D1057&lt;=mortTerm, F1057 - J1057, 0)
</f>
        <v>0</v>
      </c>
      <c r="J1057" s="16">
        <f>IF(D1057&lt;=mortTerm,
   F1057*(1+mortRate/12)^12 - (-PMT(mortRate/12, mortTerm*12, C1057))*(((1+mortRate/12)^12 - 1)/(mortRate/12)),
   0
)
</f>
        <v>0</v>
      </c>
      <c r="K1057" s="13" t="str">
        <f>IFERROR(__xludf.DUMMYFUNCTION("IF(A1057="""","""",
   IF(F1057&gt;0,
      INDEX(FILTER('RE Portfolio'!L$2:L2000,'RE Portfolio'!D$2:D2000=""BUY""), INT((ROW()-2)/amortYears)+1) - G1057,
      INDEX(FILTER('RE Portfolio'!L$2:L2000,'RE Portfolio'!D$2:D2000=""BUY""), INT((ROW()-2)/amortYears"&amp;")+1)
   )
)
"),"")</f>
        <v/>
      </c>
      <c r="L1057" s="15" t="str">
        <f>IFERROR(__xludf.DUMMYFUNCTION("IF(A1057="""","""",
  INDEX(FILTER('RE Portfolio'!C$2:C2000,'RE Portfolio'!D$2:D2000=""BUY""), INT((ROW()-2)/amortYears)+1)
  * (1 + VALUE(Assumptions!$B$11))^(D1057-1)
)
"),"")</f>
        <v/>
      </c>
    </row>
    <row r="1058">
      <c r="A1058" s="15" t="str">
        <f>IFERROR(__xludf.DUMMYFUNCTION("IFERROR(INDEX(FILTER('RE Portfolio'!A$2:A2000,'RE Portfolio'!D$2:D2000=""BUY""), INT((ROW()-2)/amortYears)+1), )
"),"")</f>
        <v/>
      </c>
      <c r="B1058" s="15" t="str">
        <f>IFERROR(__xludf.DUMMYFUNCTION("IFERROR(INDEX(FILTER('RE Portfolio'!B$2:B2000,'RE Portfolio'!D$2:D2000=""BUY""), INT((ROW()-2)/amortYears)+1), )
"),"")</f>
        <v/>
      </c>
      <c r="C1058" s="15" t="str">
        <f>IFERROR(__xludf.DUMMYFUNCTION("IFERROR(INDEX(FILTER('RE Portfolio'!G$2:G2000,'RE Portfolio'!D$2:D2000=""BUY""), INT((ROW()-2)/amortYears)+1), )
"),"")</f>
        <v/>
      </c>
      <c r="D1058" s="15">
        <f>MOD(ROW()-2, amortYears)+1</f>
        <v>31</v>
      </c>
      <c r="E1058" s="15" t="str">
        <f t="shared" si="1"/>
        <v/>
      </c>
      <c r="F1058" s="16">
        <f t="shared" si="2"/>
        <v>0</v>
      </c>
      <c r="G1058" s="15">
        <f>IF(D1058&lt;=mortTerm, -PMT(mortRate/12, mortTerm*12, C1058)*12, 0)
</f>
        <v>0</v>
      </c>
      <c r="H1058" s="15">
        <f>IF(D1058&lt;=mortTerm, G1058 - I1058, 0)
</f>
        <v>0</v>
      </c>
      <c r="I1058" s="15">
        <f>IF(D1058&lt;=mortTerm, F1058 - J1058, 0)
</f>
        <v>0</v>
      </c>
      <c r="J1058" s="15">
        <f>IF(D1058&lt;=mortTerm,
   F1058*(1+mortRate/12)^12 - (-PMT(mortRate/12, mortTerm*12, C1058))*(((1+mortRate/12)^12 - 1)/(mortRate/12)),
   0
)
</f>
        <v>0</v>
      </c>
      <c r="K1058" s="13" t="str">
        <f>IFERROR(__xludf.DUMMYFUNCTION("IF(A1058="""","""",
   IF(F1058&gt;0,
      INDEX(FILTER('RE Portfolio'!L$2:L2000,'RE Portfolio'!D$2:D2000=""BUY""), INT((ROW()-2)/amortYears)+1) - G1058,
      INDEX(FILTER('RE Portfolio'!L$2:L2000,'RE Portfolio'!D$2:D2000=""BUY""), INT((ROW()-2)/amortYears"&amp;")+1)
   )
)
"),"")</f>
        <v/>
      </c>
      <c r="L1058" s="15" t="str">
        <f>IFERROR(__xludf.DUMMYFUNCTION("IF(A1058="""","""",
  INDEX(FILTER('RE Portfolio'!C$2:C2000,'RE Portfolio'!D$2:D2000=""BUY""), INT((ROW()-2)/amortYears)+1)
  * (1 + VALUE(Assumptions!$B$11))^(D1058-1)
)
"),"")</f>
        <v/>
      </c>
    </row>
    <row r="1059">
      <c r="A1059" s="15" t="str">
        <f>IFERROR(__xludf.DUMMYFUNCTION("IFERROR(INDEX(FILTER('RE Portfolio'!A$2:A2000,'RE Portfolio'!D$2:D2000=""BUY""), INT((ROW()-2)/amortYears)+1), )
"),"")</f>
        <v/>
      </c>
      <c r="B1059" s="15" t="str">
        <f>IFERROR(__xludf.DUMMYFUNCTION("IFERROR(INDEX(FILTER('RE Portfolio'!B$2:B2000,'RE Portfolio'!D$2:D2000=""BUY""), INT((ROW()-2)/amortYears)+1), )
"),"")</f>
        <v/>
      </c>
      <c r="C1059" s="15" t="str">
        <f>IFERROR(__xludf.DUMMYFUNCTION("IFERROR(INDEX(FILTER('RE Portfolio'!G$2:G2000,'RE Portfolio'!D$2:D2000=""BUY""), INT((ROW()-2)/amortYears)+1), )
"),"")</f>
        <v/>
      </c>
      <c r="D1059" s="15">
        <f>MOD(ROW()-2, amortYears)+1</f>
        <v>32</v>
      </c>
      <c r="E1059" s="15" t="str">
        <f t="shared" si="1"/>
        <v/>
      </c>
      <c r="F1059" s="15">
        <f t="shared" si="2"/>
        <v>0</v>
      </c>
      <c r="G1059" s="15">
        <f>IF(D1059&lt;=mortTerm, -PMT(mortRate/12, mortTerm*12, C1059)*12, 0)
</f>
        <v>0</v>
      </c>
      <c r="H1059" s="15">
        <f>IF(D1059&lt;=mortTerm, G1059 - I1059, 0)
</f>
        <v>0</v>
      </c>
      <c r="I1059" s="15">
        <f>IF(D1059&lt;=mortTerm, F1059 - J1059, 0)
</f>
        <v>0</v>
      </c>
      <c r="J1059" s="15">
        <f>IF(D1059&lt;=mortTerm,
   F1059*(1+mortRate/12)^12 - (-PMT(mortRate/12, mortTerm*12, C1059))*(((1+mortRate/12)^12 - 1)/(mortRate/12)),
   0
)
</f>
        <v>0</v>
      </c>
      <c r="K1059" s="13" t="str">
        <f>IFERROR(__xludf.DUMMYFUNCTION("IF(A1059="""","""",
   IF(F1059&gt;0,
      INDEX(FILTER('RE Portfolio'!L$2:L2000,'RE Portfolio'!D$2:D2000=""BUY""), INT((ROW()-2)/amortYears)+1) - G1059,
      INDEX(FILTER('RE Portfolio'!L$2:L2000,'RE Portfolio'!D$2:D2000=""BUY""), INT((ROW()-2)/amortYears"&amp;")+1)
   )
)
"),"")</f>
        <v/>
      </c>
      <c r="L1059" s="15" t="str">
        <f>IFERROR(__xludf.DUMMYFUNCTION("IF(A1059="""","""",
  INDEX(FILTER('RE Portfolio'!C$2:C2000,'RE Portfolio'!D$2:D2000=""BUY""), INT((ROW()-2)/amortYears)+1)
  * (1 + VALUE(Assumptions!$B$11))^(D1059-1)
)
"),"")</f>
        <v/>
      </c>
    </row>
    <row r="1060">
      <c r="A1060" s="15" t="str">
        <f>IFERROR(__xludf.DUMMYFUNCTION("IFERROR(INDEX(FILTER('RE Portfolio'!A$2:A2000,'RE Portfolio'!D$2:D2000=""BUY""), INT((ROW()-2)/amortYears)+1), )
"),"")</f>
        <v/>
      </c>
      <c r="B1060" s="15" t="str">
        <f>IFERROR(__xludf.DUMMYFUNCTION("IFERROR(INDEX(FILTER('RE Portfolio'!B$2:B2000,'RE Portfolio'!D$2:D2000=""BUY""), INT((ROW()-2)/amortYears)+1), )
"),"")</f>
        <v/>
      </c>
      <c r="C1060" s="15" t="str">
        <f>IFERROR(__xludf.DUMMYFUNCTION("IFERROR(INDEX(FILTER('RE Portfolio'!G$2:G2000,'RE Portfolio'!D$2:D2000=""BUY""), INT((ROW()-2)/amortYears)+1), )
"),"")</f>
        <v/>
      </c>
      <c r="D1060" s="15">
        <f>MOD(ROW()-2, amortYears)+1</f>
        <v>33</v>
      </c>
      <c r="E1060" s="15" t="str">
        <f t="shared" si="1"/>
        <v/>
      </c>
      <c r="F1060" s="15">
        <f t="shared" si="2"/>
        <v>0</v>
      </c>
      <c r="G1060" s="15">
        <f>IF(D1060&lt;=mortTerm, -PMT(mortRate/12, mortTerm*12, C1060)*12, 0)
</f>
        <v>0</v>
      </c>
      <c r="H1060" s="15">
        <f>IF(D1060&lt;=mortTerm, G1060 - I1060, 0)
</f>
        <v>0</v>
      </c>
      <c r="I1060" s="15">
        <f>IF(D1060&lt;=mortTerm, F1060 - J1060, 0)
</f>
        <v>0</v>
      </c>
      <c r="J1060" s="15">
        <f>IF(D1060&lt;=mortTerm,
   F1060*(1+mortRate/12)^12 - (-PMT(mortRate/12, mortTerm*12, C1060))*(((1+mortRate/12)^12 - 1)/(mortRate/12)),
   0
)
</f>
        <v>0</v>
      </c>
      <c r="K1060" s="13" t="str">
        <f>IFERROR(__xludf.DUMMYFUNCTION("IF(A1060="""","""",
   IF(F1060&gt;0,
      INDEX(FILTER('RE Portfolio'!L$2:L2000,'RE Portfolio'!D$2:D2000=""BUY""), INT((ROW()-2)/amortYears)+1) - G1060,
      INDEX(FILTER('RE Portfolio'!L$2:L2000,'RE Portfolio'!D$2:D2000=""BUY""), INT((ROW()-2)/amortYears"&amp;")+1)
   )
)
"),"")</f>
        <v/>
      </c>
      <c r="L1060" s="15" t="str">
        <f>IFERROR(__xludf.DUMMYFUNCTION("IF(A1060="""","""",
  INDEX(FILTER('RE Portfolio'!C$2:C2000,'RE Portfolio'!D$2:D2000=""BUY""), INT((ROW()-2)/amortYears)+1)
  * (1 + VALUE(Assumptions!$B$11))^(D1060-1)
)
"),"")</f>
        <v/>
      </c>
    </row>
    <row r="1061">
      <c r="A1061" s="15" t="str">
        <f>IFERROR(__xludf.DUMMYFUNCTION("IFERROR(INDEX(FILTER('RE Portfolio'!A$2:A2000,'RE Portfolio'!D$2:D2000=""BUY""), INT((ROW()-2)/amortYears)+1), )
"),"")</f>
        <v/>
      </c>
      <c r="B1061" s="15" t="str">
        <f>IFERROR(__xludf.DUMMYFUNCTION("IFERROR(INDEX(FILTER('RE Portfolio'!B$2:B2000,'RE Portfolio'!D$2:D2000=""BUY""), INT((ROW()-2)/amortYears)+1), )
"),"")</f>
        <v/>
      </c>
      <c r="C1061" s="15" t="str">
        <f>IFERROR(__xludf.DUMMYFUNCTION("IFERROR(INDEX(FILTER('RE Portfolio'!G$2:G2000,'RE Portfolio'!D$2:D2000=""BUY""), INT((ROW()-2)/amortYears)+1), )
"),"")</f>
        <v/>
      </c>
      <c r="D1061" s="15">
        <f>MOD(ROW()-2, amortYears)+1</f>
        <v>34</v>
      </c>
      <c r="E1061" s="15" t="str">
        <f t="shared" si="1"/>
        <v/>
      </c>
      <c r="F1061" s="15">
        <f t="shared" si="2"/>
        <v>0</v>
      </c>
      <c r="G1061" s="15">
        <f>IF(D1061&lt;=mortTerm, -PMT(mortRate/12, mortTerm*12, C1061)*12, 0)
</f>
        <v>0</v>
      </c>
      <c r="H1061" s="15">
        <f>IF(D1061&lt;=mortTerm, G1061 - I1061, 0)
</f>
        <v>0</v>
      </c>
      <c r="I1061" s="15">
        <f>IF(D1061&lt;=mortTerm, F1061 - J1061, 0)
</f>
        <v>0</v>
      </c>
      <c r="J1061" s="15">
        <f>IF(D1061&lt;=mortTerm,
   F1061*(1+mortRate/12)^12 - (-PMT(mortRate/12, mortTerm*12, C1061))*(((1+mortRate/12)^12 - 1)/(mortRate/12)),
   0
)
</f>
        <v>0</v>
      </c>
      <c r="K1061" s="13" t="str">
        <f>IFERROR(__xludf.DUMMYFUNCTION("IF(A1061="""","""",
   IF(F1061&gt;0,
      INDEX(FILTER('RE Portfolio'!L$2:L2000,'RE Portfolio'!D$2:D2000=""BUY""), INT((ROW()-2)/amortYears)+1) - G1061,
      INDEX(FILTER('RE Portfolio'!L$2:L2000,'RE Portfolio'!D$2:D2000=""BUY""), INT((ROW()-2)/amortYears"&amp;")+1)
   )
)
"),"")</f>
        <v/>
      </c>
      <c r="L1061" s="15" t="str">
        <f>IFERROR(__xludf.DUMMYFUNCTION("IF(A1061="""","""",
  INDEX(FILTER('RE Portfolio'!C$2:C2000,'RE Portfolio'!D$2:D2000=""BUY""), INT((ROW()-2)/amortYears)+1)
  * (1 + VALUE(Assumptions!$B$11))^(D1061-1)
)
"),"")</f>
        <v/>
      </c>
    </row>
    <row r="1062">
      <c r="A1062" s="15" t="str">
        <f>IFERROR(__xludf.DUMMYFUNCTION("IFERROR(INDEX(FILTER('RE Portfolio'!A$2:A2000,'RE Portfolio'!D$2:D2000=""BUY""), INT((ROW()-2)/amortYears)+1), )
"),"")</f>
        <v/>
      </c>
      <c r="B1062" s="15" t="str">
        <f>IFERROR(__xludf.DUMMYFUNCTION("IFERROR(INDEX(FILTER('RE Portfolio'!B$2:B2000,'RE Portfolio'!D$2:D2000=""BUY""), INT((ROW()-2)/amortYears)+1), )
"),"")</f>
        <v/>
      </c>
      <c r="C1062" s="15" t="str">
        <f>IFERROR(__xludf.DUMMYFUNCTION("IFERROR(INDEX(FILTER('RE Portfolio'!G$2:G2000,'RE Portfolio'!D$2:D2000=""BUY""), INT((ROW()-2)/amortYears)+1), )
"),"")</f>
        <v/>
      </c>
      <c r="D1062" s="15">
        <f>MOD(ROW()-2, amortYears)+1</f>
        <v>35</v>
      </c>
      <c r="E1062" s="15" t="str">
        <f t="shared" si="1"/>
        <v/>
      </c>
      <c r="F1062" s="15">
        <f t="shared" si="2"/>
        <v>0</v>
      </c>
      <c r="G1062" s="15">
        <f>IF(D1062&lt;=mortTerm, -PMT(mortRate/12, mortTerm*12, C1062)*12, 0)
</f>
        <v>0</v>
      </c>
      <c r="H1062" s="15">
        <f>IF(D1062&lt;=mortTerm, G1062 - I1062, 0)
</f>
        <v>0</v>
      </c>
      <c r="I1062" s="15">
        <f>IF(D1062&lt;=mortTerm, F1062 - J1062, 0)
</f>
        <v>0</v>
      </c>
      <c r="J1062" s="15">
        <f>IF(D1062&lt;=mortTerm,
   F1062*(1+mortRate/12)^12 - (-PMT(mortRate/12, mortTerm*12, C1062))*(((1+mortRate/12)^12 - 1)/(mortRate/12)),
   0
)
</f>
        <v>0</v>
      </c>
      <c r="K1062" s="13" t="str">
        <f>IFERROR(__xludf.DUMMYFUNCTION("IF(A1062="""","""",
   IF(F1062&gt;0,
      INDEX(FILTER('RE Portfolio'!L$2:L2000,'RE Portfolio'!D$2:D2000=""BUY""), INT((ROW()-2)/amortYears)+1) - G1062,
      INDEX(FILTER('RE Portfolio'!L$2:L2000,'RE Portfolio'!D$2:D2000=""BUY""), INT((ROW()-2)/amortYears"&amp;")+1)
   )
)
"),"")</f>
        <v/>
      </c>
      <c r="L1062" s="15" t="str">
        <f>IFERROR(__xludf.DUMMYFUNCTION("IF(A1062="""","""",
  INDEX(FILTER('RE Portfolio'!C$2:C2000,'RE Portfolio'!D$2:D2000=""BUY""), INT((ROW()-2)/amortYears)+1)
  * (1 + VALUE(Assumptions!$B$11))^(D1062-1)
)
"),"")</f>
        <v/>
      </c>
    </row>
    <row r="1063">
      <c r="A1063" s="15" t="str">
        <f>IFERROR(__xludf.DUMMYFUNCTION("IFERROR(INDEX(FILTER('RE Portfolio'!A$2:A2000,'RE Portfolio'!D$2:D2000=""BUY""), INT((ROW()-2)/amortYears)+1), )
"),"")</f>
        <v/>
      </c>
      <c r="B1063" s="15" t="str">
        <f>IFERROR(__xludf.DUMMYFUNCTION("IFERROR(INDEX(FILTER('RE Portfolio'!B$2:B2000,'RE Portfolio'!D$2:D2000=""BUY""), INT((ROW()-2)/amortYears)+1), )
"),"")</f>
        <v/>
      </c>
      <c r="C1063" s="15" t="str">
        <f>IFERROR(__xludf.DUMMYFUNCTION("IFERROR(INDEX(FILTER('RE Portfolio'!G$2:G2000,'RE Portfolio'!D$2:D2000=""BUY""), INT((ROW()-2)/amortYears)+1), )
"),"")</f>
        <v/>
      </c>
      <c r="D1063" s="15">
        <f>MOD(ROW()-2, amortYears)+1</f>
        <v>36</v>
      </c>
      <c r="E1063" s="15" t="str">
        <f t="shared" si="1"/>
        <v/>
      </c>
      <c r="F1063" s="15">
        <f t="shared" si="2"/>
        <v>0</v>
      </c>
      <c r="G1063" s="15">
        <f>IF(D1063&lt;=mortTerm, -PMT(mortRate/12, mortTerm*12, C1063)*12, 0)
</f>
        <v>0</v>
      </c>
      <c r="H1063" s="15">
        <f>IF(D1063&lt;=mortTerm, G1063 - I1063, 0)
</f>
        <v>0</v>
      </c>
      <c r="I1063" s="15">
        <f>IF(D1063&lt;=mortTerm, F1063 - J1063, 0)
</f>
        <v>0</v>
      </c>
      <c r="J1063" s="15">
        <f>IF(D1063&lt;=mortTerm,
   F1063*(1+mortRate/12)^12 - (-PMT(mortRate/12, mortTerm*12, C1063))*(((1+mortRate/12)^12 - 1)/(mortRate/12)),
   0
)
</f>
        <v>0</v>
      </c>
      <c r="K1063" s="13" t="str">
        <f>IFERROR(__xludf.DUMMYFUNCTION("IF(A1063="""","""",
   IF(F1063&gt;0,
      INDEX(FILTER('RE Portfolio'!L$2:L2000,'RE Portfolio'!D$2:D2000=""BUY""), INT((ROW()-2)/amortYears)+1) - G1063,
      INDEX(FILTER('RE Portfolio'!L$2:L2000,'RE Portfolio'!D$2:D2000=""BUY""), INT((ROW()-2)/amortYears"&amp;")+1)
   )
)
"),"")</f>
        <v/>
      </c>
      <c r="L1063" s="15" t="str">
        <f>IFERROR(__xludf.DUMMYFUNCTION("IF(A1063="""","""",
  INDEX(FILTER('RE Portfolio'!C$2:C2000,'RE Portfolio'!D$2:D2000=""BUY""), INT((ROW()-2)/amortYears)+1)
  * (1 + VALUE(Assumptions!$B$11))^(D1063-1)
)
"),"")</f>
        <v/>
      </c>
    </row>
    <row r="1064">
      <c r="A1064" s="15" t="str">
        <f>IFERROR(__xludf.DUMMYFUNCTION("IFERROR(INDEX(FILTER('RE Portfolio'!A$2:A2000,'RE Portfolio'!D$2:D2000=""BUY""), INT((ROW()-2)/amortYears)+1), )
"),"")</f>
        <v/>
      </c>
      <c r="B1064" s="15" t="str">
        <f>IFERROR(__xludf.DUMMYFUNCTION("IFERROR(INDEX(FILTER('RE Portfolio'!B$2:B2000,'RE Portfolio'!D$2:D2000=""BUY""), INT((ROW()-2)/amortYears)+1), )
"),"")</f>
        <v/>
      </c>
      <c r="C1064" s="15" t="str">
        <f>IFERROR(__xludf.DUMMYFUNCTION("IFERROR(INDEX(FILTER('RE Portfolio'!G$2:G2000,'RE Portfolio'!D$2:D2000=""BUY""), INT((ROW()-2)/amortYears)+1), )
"),"")</f>
        <v/>
      </c>
      <c r="D1064" s="15">
        <f>MOD(ROW()-2, amortYears)+1</f>
        <v>37</v>
      </c>
      <c r="E1064" s="15" t="str">
        <f t="shared" si="1"/>
        <v/>
      </c>
      <c r="F1064" s="15">
        <f t="shared" si="2"/>
        <v>0</v>
      </c>
      <c r="G1064" s="15">
        <f>IF(D1064&lt;=mortTerm, -PMT(mortRate/12, mortTerm*12, C1064)*12, 0)
</f>
        <v>0</v>
      </c>
      <c r="H1064" s="15">
        <f>IF(D1064&lt;=mortTerm, G1064 - I1064, 0)
</f>
        <v>0</v>
      </c>
      <c r="I1064" s="15">
        <f>IF(D1064&lt;=mortTerm, F1064 - J1064, 0)
</f>
        <v>0</v>
      </c>
      <c r="J1064" s="15">
        <f>IF(D1064&lt;=mortTerm,
   F1064*(1+mortRate/12)^12 - (-PMT(mortRate/12, mortTerm*12, C1064))*(((1+mortRate/12)^12 - 1)/(mortRate/12)),
   0
)
</f>
        <v>0</v>
      </c>
      <c r="K1064" s="13" t="str">
        <f>IFERROR(__xludf.DUMMYFUNCTION("IF(A1064="""","""",
   IF(F1064&gt;0,
      INDEX(FILTER('RE Portfolio'!L$2:L2000,'RE Portfolio'!D$2:D2000=""BUY""), INT((ROW()-2)/amortYears)+1) - G1064,
      INDEX(FILTER('RE Portfolio'!L$2:L2000,'RE Portfolio'!D$2:D2000=""BUY""), INT((ROW()-2)/amortYears"&amp;")+1)
   )
)
"),"")</f>
        <v/>
      </c>
      <c r="L1064" s="15" t="str">
        <f>IFERROR(__xludf.DUMMYFUNCTION("IF(A1064="""","""",
  INDEX(FILTER('RE Portfolio'!C$2:C2000,'RE Portfolio'!D$2:D2000=""BUY""), INT((ROW()-2)/amortYears)+1)
  * (1 + VALUE(Assumptions!$B$11))^(D1064-1)
)
"),"")</f>
        <v/>
      </c>
    </row>
    <row r="1065">
      <c r="A1065" s="15" t="str">
        <f>IFERROR(__xludf.DUMMYFUNCTION("IFERROR(INDEX(FILTER('RE Portfolio'!A$2:A2000,'RE Portfolio'!D$2:D2000=""BUY""), INT((ROW()-2)/amortYears)+1), )
"),"")</f>
        <v/>
      </c>
      <c r="B1065" s="15" t="str">
        <f>IFERROR(__xludf.DUMMYFUNCTION("IFERROR(INDEX(FILTER('RE Portfolio'!B$2:B2000,'RE Portfolio'!D$2:D2000=""BUY""), INT((ROW()-2)/amortYears)+1), )
"),"")</f>
        <v/>
      </c>
      <c r="C1065" s="15" t="str">
        <f>IFERROR(__xludf.DUMMYFUNCTION("IFERROR(INDEX(FILTER('RE Portfolio'!G$2:G2000,'RE Portfolio'!D$2:D2000=""BUY""), INT((ROW()-2)/amortYears)+1), )
"),"")</f>
        <v/>
      </c>
      <c r="D1065" s="15">
        <f>MOD(ROW()-2, amortYears)+1</f>
        <v>38</v>
      </c>
      <c r="E1065" s="15" t="str">
        <f t="shared" si="1"/>
        <v/>
      </c>
      <c r="F1065" s="15">
        <f t="shared" si="2"/>
        <v>0</v>
      </c>
      <c r="G1065" s="15">
        <f>IF(D1065&lt;=mortTerm, -PMT(mortRate/12, mortTerm*12, C1065)*12, 0)
</f>
        <v>0</v>
      </c>
      <c r="H1065" s="15">
        <f>IF(D1065&lt;=mortTerm, G1065 - I1065, 0)
</f>
        <v>0</v>
      </c>
      <c r="I1065" s="15">
        <f>IF(D1065&lt;=mortTerm, F1065 - J1065, 0)
</f>
        <v>0</v>
      </c>
      <c r="J1065" s="15">
        <f>IF(D1065&lt;=mortTerm,
   F1065*(1+mortRate/12)^12 - (-PMT(mortRate/12, mortTerm*12, C1065))*(((1+mortRate/12)^12 - 1)/(mortRate/12)),
   0
)
</f>
        <v>0</v>
      </c>
      <c r="K1065" s="13" t="str">
        <f>IFERROR(__xludf.DUMMYFUNCTION("IF(A1065="""","""",
   IF(F1065&gt;0,
      INDEX(FILTER('RE Portfolio'!L$2:L2000,'RE Portfolio'!D$2:D2000=""BUY""), INT((ROW()-2)/amortYears)+1) - G1065,
      INDEX(FILTER('RE Portfolio'!L$2:L2000,'RE Portfolio'!D$2:D2000=""BUY""), INT((ROW()-2)/amortYears"&amp;")+1)
   )
)
"),"")</f>
        <v/>
      </c>
      <c r="L1065" s="15" t="str">
        <f>IFERROR(__xludf.DUMMYFUNCTION("IF(A1065="""","""",
  INDEX(FILTER('RE Portfolio'!C$2:C2000,'RE Portfolio'!D$2:D2000=""BUY""), INT((ROW()-2)/amortYears)+1)
  * (1 + VALUE(Assumptions!$B$11))^(D1065-1)
)
"),"")</f>
        <v/>
      </c>
    </row>
    <row r="1066">
      <c r="A1066" s="15" t="str">
        <f>IFERROR(__xludf.DUMMYFUNCTION("IFERROR(INDEX(FILTER('RE Portfolio'!A$2:A2000,'RE Portfolio'!D$2:D2000=""BUY""), INT((ROW()-2)/amortYears)+1), )
"),"")</f>
        <v/>
      </c>
      <c r="B1066" s="15" t="str">
        <f>IFERROR(__xludf.DUMMYFUNCTION("IFERROR(INDEX(FILTER('RE Portfolio'!B$2:B2000,'RE Portfolio'!D$2:D2000=""BUY""), INT((ROW()-2)/amortYears)+1), )
"),"")</f>
        <v/>
      </c>
      <c r="C1066" s="15" t="str">
        <f>IFERROR(__xludf.DUMMYFUNCTION("IFERROR(INDEX(FILTER('RE Portfolio'!G$2:G2000,'RE Portfolio'!D$2:D2000=""BUY""), INT((ROW()-2)/amortYears)+1), )
"),"")</f>
        <v/>
      </c>
      <c r="D1066" s="15">
        <f>MOD(ROW()-2, amortYears)+1</f>
        <v>1</v>
      </c>
      <c r="E1066" s="15" t="str">
        <f t="shared" si="1"/>
        <v/>
      </c>
      <c r="F1066" s="15" t="str">
        <f t="shared" si="2"/>
        <v/>
      </c>
      <c r="G1066" s="16">
        <f>IF(D1066&lt;=mortTerm, -PMT(mortRate/12, mortTerm*12, C1066)*12, 0)
</f>
        <v>0</v>
      </c>
      <c r="H1066" s="16">
        <f>IF(D1066&lt;=mortTerm, G1066 - I1066, 0)
</f>
        <v>0</v>
      </c>
      <c r="I1066" s="16">
        <f>IF(D1066&lt;=mortTerm, F1066 - J1066, 0)
</f>
        <v>0</v>
      </c>
      <c r="J1066" s="16">
        <f>IF(D1066&lt;=mortTerm,
   F1066*(1+mortRate/12)^12 - (-PMT(mortRate/12, mortTerm*12, C1066))*(((1+mortRate/12)^12 - 1)/(mortRate/12)),
   0
)
</f>
        <v>0</v>
      </c>
      <c r="K1066" s="13" t="str">
        <f>IFERROR(__xludf.DUMMYFUNCTION("IF(A1066="""","""",
   IF(F1066&gt;0,
      INDEX(FILTER('RE Portfolio'!L$2:L2000,'RE Portfolio'!D$2:D2000=""BUY""), INT((ROW()-2)/amortYears)+1) - G1066,
      INDEX(FILTER('RE Portfolio'!L$2:L2000,'RE Portfolio'!D$2:D2000=""BUY""), INT((ROW()-2)/amortYears"&amp;")+1)
   )
)
"),"")</f>
        <v/>
      </c>
      <c r="L1066" s="15" t="str">
        <f>IFERROR(__xludf.DUMMYFUNCTION("IF(A1066="""","""",
  INDEX(FILTER('RE Portfolio'!C$2:C2000,'RE Portfolio'!D$2:D2000=""BUY""), INT((ROW()-2)/amortYears)+1)
  * (1 + VALUE(Assumptions!$B$11))^(D1066-1)
)
"),"")</f>
        <v/>
      </c>
    </row>
    <row r="1067">
      <c r="A1067" s="15" t="str">
        <f>IFERROR(__xludf.DUMMYFUNCTION("IFERROR(INDEX(FILTER('RE Portfolio'!A$2:A2000,'RE Portfolio'!D$2:D2000=""BUY""), INT((ROW()-2)/amortYears)+1), )
"),"")</f>
        <v/>
      </c>
      <c r="B1067" s="15" t="str">
        <f>IFERROR(__xludf.DUMMYFUNCTION("IFERROR(INDEX(FILTER('RE Portfolio'!B$2:B2000,'RE Portfolio'!D$2:D2000=""BUY""), INT((ROW()-2)/amortYears)+1), )
"),"")</f>
        <v/>
      </c>
      <c r="C1067" s="15" t="str">
        <f>IFERROR(__xludf.DUMMYFUNCTION("IFERROR(INDEX(FILTER('RE Portfolio'!G$2:G2000,'RE Portfolio'!D$2:D2000=""BUY""), INT((ROW()-2)/amortYears)+1), )
"),"")</f>
        <v/>
      </c>
      <c r="D1067" s="15">
        <f>MOD(ROW()-2, amortYears)+1</f>
        <v>2</v>
      </c>
      <c r="E1067" s="15" t="str">
        <f t="shared" si="1"/>
        <v/>
      </c>
      <c r="F1067" s="16">
        <f t="shared" si="2"/>
        <v>0</v>
      </c>
      <c r="G1067" s="16">
        <f>IF(D1067&lt;=mortTerm, -PMT(mortRate/12, mortTerm*12, C1067)*12, 0)
</f>
        <v>0</v>
      </c>
      <c r="H1067" s="16">
        <f>IF(D1067&lt;=mortTerm, G1067 - I1067, 0)
</f>
        <v>0</v>
      </c>
      <c r="I1067" s="16">
        <f>IF(D1067&lt;=mortTerm, F1067 - J1067, 0)
</f>
        <v>0</v>
      </c>
      <c r="J1067" s="16">
        <f>IF(D1067&lt;=mortTerm,
   F1067*(1+mortRate/12)^12 - (-PMT(mortRate/12, mortTerm*12, C1067))*(((1+mortRate/12)^12 - 1)/(mortRate/12)),
   0
)
</f>
        <v>0</v>
      </c>
      <c r="K1067" s="13" t="str">
        <f>IFERROR(__xludf.DUMMYFUNCTION("IF(A1067="""","""",
   IF(F1067&gt;0,
      INDEX(FILTER('RE Portfolio'!L$2:L2000,'RE Portfolio'!D$2:D2000=""BUY""), INT((ROW()-2)/amortYears)+1) - G1067,
      INDEX(FILTER('RE Portfolio'!L$2:L2000,'RE Portfolio'!D$2:D2000=""BUY""), INT((ROW()-2)/amortYears"&amp;")+1)
   )
)
"),"")</f>
        <v/>
      </c>
      <c r="L1067" s="15" t="str">
        <f>IFERROR(__xludf.DUMMYFUNCTION("IF(A1067="""","""",
  INDEX(FILTER('RE Portfolio'!C$2:C2000,'RE Portfolio'!D$2:D2000=""BUY""), INT((ROW()-2)/amortYears)+1)
  * (1 + VALUE(Assumptions!$B$11))^(D1067-1)
)
"),"")</f>
        <v/>
      </c>
    </row>
    <row r="1068">
      <c r="A1068" s="15" t="str">
        <f>IFERROR(__xludf.DUMMYFUNCTION("IFERROR(INDEX(FILTER('RE Portfolio'!A$2:A2000,'RE Portfolio'!D$2:D2000=""BUY""), INT((ROW()-2)/amortYears)+1), )
"),"")</f>
        <v/>
      </c>
      <c r="B1068" s="15" t="str">
        <f>IFERROR(__xludf.DUMMYFUNCTION("IFERROR(INDEX(FILTER('RE Portfolio'!B$2:B2000,'RE Portfolio'!D$2:D2000=""BUY""), INT((ROW()-2)/amortYears)+1), )
"),"")</f>
        <v/>
      </c>
      <c r="C1068" s="15" t="str">
        <f>IFERROR(__xludf.DUMMYFUNCTION("IFERROR(INDEX(FILTER('RE Portfolio'!G$2:G2000,'RE Portfolio'!D$2:D2000=""BUY""), INT((ROW()-2)/amortYears)+1), )
"),"")</f>
        <v/>
      </c>
      <c r="D1068" s="15">
        <f>MOD(ROW()-2, amortYears)+1</f>
        <v>3</v>
      </c>
      <c r="E1068" s="15" t="str">
        <f t="shared" si="1"/>
        <v/>
      </c>
      <c r="F1068" s="16">
        <f t="shared" si="2"/>
        <v>0</v>
      </c>
      <c r="G1068" s="16">
        <f>IF(D1068&lt;=mortTerm, -PMT(mortRate/12, mortTerm*12, C1068)*12, 0)
</f>
        <v>0</v>
      </c>
      <c r="H1068" s="16">
        <f>IF(D1068&lt;=mortTerm, G1068 - I1068, 0)
</f>
        <v>0</v>
      </c>
      <c r="I1068" s="16">
        <f>IF(D1068&lt;=mortTerm, F1068 - J1068, 0)
</f>
        <v>0</v>
      </c>
      <c r="J1068" s="16">
        <f>IF(D1068&lt;=mortTerm,
   F1068*(1+mortRate/12)^12 - (-PMT(mortRate/12, mortTerm*12, C1068))*(((1+mortRate/12)^12 - 1)/(mortRate/12)),
   0
)
</f>
        <v>0</v>
      </c>
      <c r="K1068" s="13" t="str">
        <f>IFERROR(__xludf.DUMMYFUNCTION("IF(A1068="""","""",
   IF(F1068&gt;0,
      INDEX(FILTER('RE Portfolio'!L$2:L2000,'RE Portfolio'!D$2:D2000=""BUY""), INT((ROW()-2)/amortYears)+1) - G1068,
      INDEX(FILTER('RE Portfolio'!L$2:L2000,'RE Portfolio'!D$2:D2000=""BUY""), INT((ROW()-2)/amortYears"&amp;")+1)
   )
)
"),"")</f>
        <v/>
      </c>
      <c r="L1068" s="15" t="str">
        <f>IFERROR(__xludf.DUMMYFUNCTION("IF(A1068="""","""",
  INDEX(FILTER('RE Portfolio'!C$2:C2000,'RE Portfolio'!D$2:D2000=""BUY""), INT((ROW()-2)/amortYears)+1)
  * (1 + VALUE(Assumptions!$B$11))^(D1068-1)
)
"),"")</f>
        <v/>
      </c>
    </row>
    <row r="1069">
      <c r="A1069" s="15" t="str">
        <f>IFERROR(__xludf.DUMMYFUNCTION("IFERROR(INDEX(FILTER('RE Portfolio'!A$2:A2000,'RE Portfolio'!D$2:D2000=""BUY""), INT((ROW()-2)/amortYears)+1), )
"),"")</f>
        <v/>
      </c>
      <c r="B1069" s="15" t="str">
        <f>IFERROR(__xludf.DUMMYFUNCTION("IFERROR(INDEX(FILTER('RE Portfolio'!B$2:B2000,'RE Portfolio'!D$2:D2000=""BUY""), INT((ROW()-2)/amortYears)+1), )
"),"")</f>
        <v/>
      </c>
      <c r="C1069" s="15" t="str">
        <f>IFERROR(__xludf.DUMMYFUNCTION("IFERROR(INDEX(FILTER('RE Portfolio'!G$2:G2000,'RE Portfolio'!D$2:D2000=""BUY""), INT((ROW()-2)/amortYears)+1), )
"),"")</f>
        <v/>
      </c>
      <c r="D1069" s="15">
        <f>MOD(ROW()-2, amortYears)+1</f>
        <v>4</v>
      </c>
      <c r="E1069" s="15" t="str">
        <f t="shared" si="1"/>
        <v/>
      </c>
      <c r="F1069" s="16">
        <f t="shared" si="2"/>
        <v>0</v>
      </c>
      <c r="G1069" s="16">
        <f>IF(D1069&lt;=mortTerm, -PMT(mortRate/12, mortTerm*12, C1069)*12, 0)
</f>
        <v>0</v>
      </c>
      <c r="H1069" s="16">
        <f>IF(D1069&lt;=mortTerm, G1069 - I1069, 0)
</f>
        <v>0</v>
      </c>
      <c r="I1069" s="16">
        <f>IF(D1069&lt;=mortTerm, F1069 - J1069, 0)
</f>
        <v>0</v>
      </c>
      <c r="J1069" s="16">
        <f>IF(D1069&lt;=mortTerm,
   F1069*(1+mortRate/12)^12 - (-PMT(mortRate/12, mortTerm*12, C1069))*(((1+mortRate/12)^12 - 1)/(mortRate/12)),
   0
)
</f>
        <v>0</v>
      </c>
      <c r="K1069" s="13" t="str">
        <f>IFERROR(__xludf.DUMMYFUNCTION("IF(A1069="""","""",
   IF(F1069&gt;0,
      INDEX(FILTER('RE Portfolio'!L$2:L2000,'RE Portfolio'!D$2:D2000=""BUY""), INT((ROW()-2)/amortYears)+1) - G1069,
      INDEX(FILTER('RE Portfolio'!L$2:L2000,'RE Portfolio'!D$2:D2000=""BUY""), INT((ROW()-2)/amortYears"&amp;")+1)
   )
)
"),"")</f>
        <v/>
      </c>
      <c r="L1069" s="15" t="str">
        <f>IFERROR(__xludf.DUMMYFUNCTION("IF(A1069="""","""",
  INDEX(FILTER('RE Portfolio'!C$2:C2000,'RE Portfolio'!D$2:D2000=""BUY""), INT((ROW()-2)/amortYears)+1)
  * (1 + VALUE(Assumptions!$B$11))^(D1069-1)
)
"),"")</f>
        <v/>
      </c>
    </row>
    <row r="1070">
      <c r="A1070" s="15" t="str">
        <f>IFERROR(__xludf.DUMMYFUNCTION("IFERROR(INDEX(FILTER('RE Portfolio'!A$2:A2000,'RE Portfolio'!D$2:D2000=""BUY""), INT((ROW()-2)/amortYears)+1), )
"),"")</f>
        <v/>
      </c>
      <c r="B1070" s="15" t="str">
        <f>IFERROR(__xludf.DUMMYFUNCTION("IFERROR(INDEX(FILTER('RE Portfolio'!B$2:B2000,'RE Portfolio'!D$2:D2000=""BUY""), INT((ROW()-2)/amortYears)+1), )
"),"")</f>
        <v/>
      </c>
      <c r="C1070" s="15" t="str">
        <f>IFERROR(__xludf.DUMMYFUNCTION("IFERROR(INDEX(FILTER('RE Portfolio'!G$2:G2000,'RE Portfolio'!D$2:D2000=""BUY""), INT((ROW()-2)/amortYears)+1), )
"),"")</f>
        <v/>
      </c>
      <c r="D1070" s="15">
        <f>MOD(ROW()-2, amortYears)+1</f>
        <v>5</v>
      </c>
      <c r="E1070" s="15" t="str">
        <f t="shared" si="1"/>
        <v/>
      </c>
      <c r="F1070" s="16">
        <f t="shared" si="2"/>
        <v>0</v>
      </c>
      <c r="G1070" s="16">
        <f>IF(D1070&lt;=mortTerm, -PMT(mortRate/12, mortTerm*12, C1070)*12, 0)
</f>
        <v>0</v>
      </c>
      <c r="H1070" s="16">
        <f>IF(D1070&lt;=mortTerm, G1070 - I1070, 0)
</f>
        <v>0</v>
      </c>
      <c r="I1070" s="16">
        <f>IF(D1070&lt;=mortTerm, F1070 - J1070, 0)
</f>
        <v>0</v>
      </c>
      <c r="J1070" s="16">
        <f>IF(D1070&lt;=mortTerm,
   F1070*(1+mortRate/12)^12 - (-PMT(mortRate/12, mortTerm*12, C1070))*(((1+mortRate/12)^12 - 1)/(mortRate/12)),
   0
)
</f>
        <v>0</v>
      </c>
      <c r="K1070" s="13" t="str">
        <f>IFERROR(__xludf.DUMMYFUNCTION("IF(A1070="""","""",
   IF(F1070&gt;0,
      INDEX(FILTER('RE Portfolio'!L$2:L2000,'RE Portfolio'!D$2:D2000=""BUY""), INT((ROW()-2)/amortYears)+1) - G1070,
      INDEX(FILTER('RE Portfolio'!L$2:L2000,'RE Portfolio'!D$2:D2000=""BUY""), INT((ROW()-2)/amortYears"&amp;")+1)
   )
)
"),"")</f>
        <v/>
      </c>
      <c r="L1070" s="15" t="str">
        <f>IFERROR(__xludf.DUMMYFUNCTION("IF(A1070="""","""",
  INDEX(FILTER('RE Portfolio'!C$2:C2000,'RE Portfolio'!D$2:D2000=""BUY""), INT((ROW()-2)/amortYears)+1)
  * (1 + VALUE(Assumptions!$B$11))^(D1070-1)
)
"),"")</f>
        <v/>
      </c>
    </row>
    <row r="1071">
      <c r="A1071" s="15" t="str">
        <f>IFERROR(__xludf.DUMMYFUNCTION("IFERROR(INDEX(FILTER('RE Portfolio'!A$2:A2000,'RE Portfolio'!D$2:D2000=""BUY""), INT((ROW()-2)/amortYears)+1), )
"),"")</f>
        <v/>
      </c>
      <c r="B1071" s="15" t="str">
        <f>IFERROR(__xludf.DUMMYFUNCTION("IFERROR(INDEX(FILTER('RE Portfolio'!B$2:B2000,'RE Portfolio'!D$2:D2000=""BUY""), INT((ROW()-2)/amortYears)+1), )
"),"")</f>
        <v/>
      </c>
      <c r="C1071" s="15" t="str">
        <f>IFERROR(__xludf.DUMMYFUNCTION("IFERROR(INDEX(FILTER('RE Portfolio'!G$2:G2000,'RE Portfolio'!D$2:D2000=""BUY""), INT((ROW()-2)/amortYears)+1), )
"),"")</f>
        <v/>
      </c>
      <c r="D1071" s="15">
        <f>MOD(ROW()-2, amortYears)+1</f>
        <v>6</v>
      </c>
      <c r="E1071" s="15" t="str">
        <f t="shared" si="1"/>
        <v/>
      </c>
      <c r="F1071" s="16">
        <f t="shared" si="2"/>
        <v>0</v>
      </c>
      <c r="G1071" s="16">
        <f>IF(D1071&lt;=mortTerm, -PMT(mortRate/12, mortTerm*12, C1071)*12, 0)
</f>
        <v>0</v>
      </c>
      <c r="H1071" s="16">
        <f>IF(D1071&lt;=mortTerm, G1071 - I1071, 0)
</f>
        <v>0</v>
      </c>
      <c r="I1071" s="16">
        <f>IF(D1071&lt;=mortTerm, F1071 - J1071, 0)
</f>
        <v>0</v>
      </c>
      <c r="J1071" s="16">
        <f>IF(D1071&lt;=mortTerm,
   F1071*(1+mortRate/12)^12 - (-PMT(mortRate/12, mortTerm*12, C1071))*(((1+mortRate/12)^12 - 1)/(mortRate/12)),
   0
)
</f>
        <v>0</v>
      </c>
      <c r="K1071" s="13" t="str">
        <f>IFERROR(__xludf.DUMMYFUNCTION("IF(A1071="""","""",
   IF(F1071&gt;0,
      INDEX(FILTER('RE Portfolio'!L$2:L2000,'RE Portfolio'!D$2:D2000=""BUY""), INT((ROW()-2)/amortYears)+1) - G1071,
      INDEX(FILTER('RE Portfolio'!L$2:L2000,'RE Portfolio'!D$2:D2000=""BUY""), INT((ROW()-2)/amortYears"&amp;")+1)
   )
)
"),"")</f>
        <v/>
      </c>
      <c r="L1071" s="15" t="str">
        <f>IFERROR(__xludf.DUMMYFUNCTION("IF(A1071="""","""",
  INDEX(FILTER('RE Portfolio'!C$2:C2000,'RE Portfolio'!D$2:D2000=""BUY""), INT((ROW()-2)/amortYears)+1)
  * (1 + VALUE(Assumptions!$B$11))^(D1071-1)
)
"),"")</f>
        <v/>
      </c>
    </row>
    <row r="1072">
      <c r="A1072" s="15" t="str">
        <f>IFERROR(__xludf.DUMMYFUNCTION("IFERROR(INDEX(FILTER('RE Portfolio'!A$2:A2000,'RE Portfolio'!D$2:D2000=""BUY""), INT((ROW()-2)/amortYears)+1), )
"),"")</f>
        <v/>
      </c>
      <c r="B1072" s="15" t="str">
        <f>IFERROR(__xludf.DUMMYFUNCTION("IFERROR(INDEX(FILTER('RE Portfolio'!B$2:B2000,'RE Portfolio'!D$2:D2000=""BUY""), INT((ROW()-2)/amortYears)+1), )
"),"")</f>
        <v/>
      </c>
      <c r="C1072" s="15" t="str">
        <f>IFERROR(__xludf.DUMMYFUNCTION("IFERROR(INDEX(FILTER('RE Portfolio'!G$2:G2000,'RE Portfolio'!D$2:D2000=""BUY""), INT((ROW()-2)/amortYears)+1), )
"),"")</f>
        <v/>
      </c>
      <c r="D1072" s="15">
        <f>MOD(ROW()-2, amortYears)+1</f>
        <v>7</v>
      </c>
      <c r="E1072" s="15" t="str">
        <f t="shared" si="1"/>
        <v/>
      </c>
      <c r="F1072" s="16">
        <f t="shared" si="2"/>
        <v>0</v>
      </c>
      <c r="G1072" s="16">
        <f>IF(D1072&lt;=mortTerm, -PMT(mortRate/12, mortTerm*12, C1072)*12, 0)
</f>
        <v>0</v>
      </c>
      <c r="H1072" s="16">
        <f>IF(D1072&lt;=mortTerm, G1072 - I1072, 0)
</f>
        <v>0</v>
      </c>
      <c r="I1072" s="16">
        <f>IF(D1072&lt;=mortTerm, F1072 - J1072, 0)
</f>
        <v>0</v>
      </c>
      <c r="J1072" s="16">
        <f>IF(D1072&lt;=mortTerm,
   F1072*(1+mortRate/12)^12 - (-PMT(mortRate/12, mortTerm*12, C1072))*(((1+mortRate/12)^12 - 1)/(mortRate/12)),
   0
)
</f>
        <v>0</v>
      </c>
      <c r="K1072" s="13" t="str">
        <f>IFERROR(__xludf.DUMMYFUNCTION("IF(A1072="""","""",
   IF(F1072&gt;0,
      INDEX(FILTER('RE Portfolio'!L$2:L2000,'RE Portfolio'!D$2:D2000=""BUY""), INT((ROW()-2)/amortYears)+1) - G1072,
      INDEX(FILTER('RE Portfolio'!L$2:L2000,'RE Portfolio'!D$2:D2000=""BUY""), INT((ROW()-2)/amortYears"&amp;")+1)
   )
)
"),"")</f>
        <v/>
      </c>
      <c r="L1072" s="15" t="str">
        <f>IFERROR(__xludf.DUMMYFUNCTION("IF(A1072="""","""",
  INDEX(FILTER('RE Portfolio'!C$2:C2000,'RE Portfolio'!D$2:D2000=""BUY""), INT((ROW()-2)/amortYears)+1)
  * (1 + VALUE(Assumptions!$B$11))^(D1072-1)
)
"),"")</f>
        <v/>
      </c>
    </row>
    <row r="1073">
      <c r="A1073" s="15" t="str">
        <f>IFERROR(__xludf.DUMMYFUNCTION("IFERROR(INDEX(FILTER('RE Portfolio'!A$2:A2000,'RE Portfolio'!D$2:D2000=""BUY""), INT((ROW()-2)/amortYears)+1), )
"),"")</f>
        <v/>
      </c>
      <c r="B1073" s="15" t="str">
        <f>IFERROR(__xludf.DUMMYFUNCTION("IFERROR(INDEX(FILTER('RE Portfolio'!B$2:B2000,'RE Portfolio'!D$2:D2000=""BUY""), INT((ROW()-2)/amortYears)+1), )
"),"")</f>
        <v/>
      </c>
      <c r="C1073" s="15" t="str">
        <f>IFERROR(__xludf.DUMMYFUNCTION("IFERROR(INDEX(FILTER('RE Portfolio'!G$2:G2000,'RE Portfolio'!D$2:D2000=""BUY""), INT((ROW()-2)/amortYears)+1), )
"),"")</f>
        <v/>
      </c>
      <c r="D1073" s="15">
        <f>MOD(ROW()-2, amortYears)+1</f>
        <v>8</v>
      </c>
      <c r="E1073" s="15" t="str">
        <f t="shared" si="1"/>
        <v/>
      </c>
      <c r="F1073" s="16">
        <f t="shared" si="2"/>
        <v>0</v>
      </c>
      <c r="G1073" s="16">
        <f>IF(D1073&lt;=mortTerm, -PMT(mortRate/12, mortTerm*12, C1073)*12, 0)
</f>
        <v>0</v>
      </c>
      <c r="H1073" s="16">
        <f>IF(D1073&lt;=mortTerm, G1073 - I1073, 0)
</f>
        <v>0</v>
      </c>
      <c r="I1073" s="16">
        <f>IF(D1073&lt;=mortTerm, F1073 - J1073, 0)
</f>
        <v>0</v>
      </c>
      <c r="J1073" s="16">
        <f>IF(D1073&lt;=mortTerm,
   F1073*(1+mortRate/12)^12 - (-PMT(mortRate/12, mortTerm*12, C1073))*(((1+mortRate/12)^12 - 1)/(mortRate/12)),
   0
)
</f>
        <v>0</v>
      </c>
      <c r="K1073" s="13" t="str">
        <f>IFERROR(__xludf.DUMMYFUNCTION("IF(A1073="""","""",
   IF(F1073&gt;0,
      INDEX(FILTER('RE Portfolio'!L$2:L2000,'RE Portfolio'!D$2:D2000=""BUY""), INT((ROW()-2)/amortYears)+1) - G1073,
      INDEX(FILTER('RE Portfolio'!L$2:L2000,'RE Portfolio'!D$2:D2000=""BUY""), INT((ROW()-2)/amortYears"&amp;")+1)
   )
)
"),"")</f>
        <v/>
      </c>
      <c r="L1073" s="15" t="str">
        <f>IFERROR(__xludf.DUMMYFUNCTION("IF(A1073="""","""",
  INDEX(FILTER('RE Portfolio'!C$2:C2000,'RE Portfolio'!D$2:D2000=""BUY""), INT((ROW()-2)/amortYears)+1)
  * (1 + VALUE(Assumptions!$B$11))^(D1073-1)
)
"),"")</f>
        <v/>
      </c>
    </row>
    <row r="1074">
      <c r="A1074" s="15" t="str">
        <f>IFERROR(__xludf.DUMMYFUNCTION("IFERROR(INDEX(FILTER('RE Portfolio'!A$2:A2000,'RE Portfolio'!D$2:D2000=""BUY""), INT((ROW()-2)/amortYears)+1), )
"),"")</f>
        <v/>
      </c>
      <c r="B1074" s="15" t="str">
        <f>IFERROR(__xludf.DUMMYFUNCTION("IFERROR(INDEX(FILTER('RE Portfolio'!B$2:B2000,'RE Portfolio'!D$2:D2000=""BUY""), INT((ROW()-2)/amortYears)+1), )
"),"")</f>
        <v/>
      </c>
      <c r="C1074" s="15" t="str">
        <f>IFERROR(__xludf.DUMMYFUNCTION("IFERROR(INDEX(FILTER('RE Portfolio'!G$2:G2000,'RE Portfolio'!D$2:D2000=""BUY""), INT((ROW()-2)/amortYears)+1), )
"),"")</f>
        <v/>
      </c>
      <c r="D1074" s="15">
        <f>MOD(ROW()-2, amortYears)+1</f>
        <v>9</v>
      </c>
      <c r="E1074" s="15" t="str">
        <f t="shared" si="1"/>
        <v/>
      </c>
      <c r="F1074" s="16">
        <f t="shared" si="2"/>
        <v>0</v>
      </c>
      <c r="G1074" s="16">
        <f>IF(D1074&lt;=mortTerm, -PMT(mortRate/12, mortTerm*12, C1074)*12, 0)
</f>
        <v>0</v>
      </c>
      <c r="H1074" s="16">
        <f>IF(D1074&lt;=mortTerm, G1074 - I1074, 0)
</f>
        <v>0</v>
      </c>
      <c r="I1074" s="16">
        <f>IF(D1074&lt;=mortTerm, F1074 - J1074, 0)
</f>
        <v>0</v>
      </c>
      <c r="J1074" s="16">
        <f>IF(D1074&lt;=mortTerm,
   F1074*(1+mortRate/12)^12 - (-PMT(mortRate/12, mortTerm*12, C1074))*(((1+mortRate/12)^12 - 1)/(mortRate/12)),
   0
)
</f>
        <v>0</v>
      </c>
      <c r="K1074" s="13" t="str">
        <f>IFERROR(__xludf.DUMMYFUNCTION("IF(A1074="""","""",
   IF(F1074&gt;0,
      INDEX(FILTER('RE Portfolio'!L$2:L2000,'RE Portfolio'!D$2:D2000=""BUY""), INT((ROW()-2)/amortYears)+1) - G1074,
      INDEX(FILTER('RE Portfolio'!L$2:L2000,'RE Portfolio'!D$2:D2000=""BUY""), INT((ROW()-2)/amortYears"&amp;")+1)
   )
)
"),"")</f>
        <v/>
      </c>
      <c r="L1074" s="15" t="str">
        <f>IFERROR(__xludf.DUMMYFUNCTION("IF(A1074="""","""",
  INDEX(FILTER('RE Portfolio'!C$2:C2000,'RE Portfolio'!D$2:D2000=""BUY""), INT((ROW()-2)/amortYears)+1)
  * (1 + VALUE(Assumptions!$B$11))^(D1074-1)
)
"),"")</f>
        <v/>
      </c>
    </row>
    <row r="1075">
      <c r="A1075" s="15" t="str">
        <f>IFERROR(__xludf.DUMMYFUNCTION("IFERROR(INDEX(FILTER('RE Portfolio'!A$2:A2000,'RE Portfolio'!D$2:D2000=""BUY""), INT((ROW()-2)/amortYears)+1), )
"),"")</f>
        <v/>
      </c>
      <c r="B1075" s="15" t="str">
        <f>IFERROR(__xludf.DUMMYFUNCTION("IFERROR(INDEX(FILTER('RE Portfolio'!B$2:B2000,'RE Portfolio'!D$2:D2000=""BUY""), INT((ROW()-2)/amortYears)+1), )
"),"")</f>
        <v/>
      </c>
      <c r="C1075" s="15" t="str">
        <f>IFERROR(__xludf.DUMMYFUNCTION("IFERROR(INDEX(FILTER('RE Portfolio'!G$2:G2000,'RE Portfolio'!D$2:D2000=""BUY""), INT((ROW()-2)/amortYears)+1), )
"),"")</f>
        <v/>
      </c>
      <c r="D1075" s="15">
        <f>MOD(ROW()-2, amortYears)+1</f>
        <v>10</v>
      </c>
      <c r="E1075" s="15" t="str">
        <f t="shared" si="1"/>
        <v/>
      </c>
      <c r="F1075" s="16">
        <f t="shared" si="2"/>
        <v>0</v>
      </c>
      <c r="G1075" s="16">
        <f>IF(D1075&lt;=mortTerm, -PMT(mortRate/12, mortTerm*12, C1075)*12, 0)
</f>
        <v>0</v>
      </c>
      <c r="H1075" s="16">
        <f>IF(D1075&lt;=mortTerm, G1075 - I1075, 0)
</f>
        <v>0</v>
      </c>
      <c r="I1075" s="16">
        <f>IF(D1075&lt;=mortTerm, F1075 - J1075, 0)
</f>
        <v>0</v>
      </c>
      <c r="J1075" s="16">
        <f>IF(D1075&lt;=mortTerm,
   F1075*(1+mortRate/12)^12 - (-PMT(mortRate/12, mortTerm*12, C1075))*(((1+mortRate/12)^12 - 1)/(mortRate/12)),
   0
)
</f>
        <v>0</v>
      </c>
      <c r="K1075" s="13" t="str">
        <f>IFERROR(__xludf.DUMMYFUNCTION("IF(A1075="""","""",
   IF(F1075&gt;0,
      INDEX(FILTER('RE Portfolio'!L$2:L2000,'RE Portfolio'!D$2:D2000=""BUY""), INT((ROW()-2)/amortYears)+1) - G1075,
      INDEX(FILTER('RE Portfolio'!L$2:L2000,'RE Portfolio'!D$2:D2000=""BUY""), INT((ROW()-2)/amortYears"&amp;")+1)
   )
)
"),"")</f>
        <v/>
      </c>
      <c r="L1075" s="15" t="str">
        <f>IFERROR(__xludf.DUMMYFUNCTION("IF(A1075="""","""",
  INDEX(FILTER('RE Portfolio'!C$2:C2000,'RE Portfolio'!D$2:D2000=""BUY""), INT((ROW()-2)/amortYears)+1)
  * (1 + VALUE(Assumptions!$B$11))^(D1075-1)
)
"),"")</f>
        <v/>
      </c>
    </row>
    <row r="1076">
      <c r="A1076" s="15" t="str">
        <f>IFERROR(__xludf.DUMMYFUNCTION("IFERROR(INDEX(FILTER('RE Portfolio'!A$2:A2000,'RE Portfolio'!D$2:D2000=""BUY""), INT((ROW()-2)/amortYears)+1), )
"),"")</f>
        <v/>
      </c>
      <c r="B1076" s="15" t="str">
        <f>IFERROR(__xludf.DUMMYFUNCTION("IFERROR(INDEX(FILTER('RE Portfolio'!B$2:B2000,'RE Portfolio'!D$2:D2000=""BUY""), INT((ROW()-2)/amortYears)+1), )
"),"")</f>
        <v/>
      </c>
      <c r="C1076" s="15" t="str">
        <f>IFERROR(__xludf.DUMMYFUNCTION("IFERROR(INDEX(FILTER('RE Portfolio'!G$2:G2000,'RE Portfolio'!D$2:D2000=""BUY""), INT((ROW()-2)/amortYears)+1), )
"),"")</f>
        <v/>
      </c>
      <c r="D1076" s="15">
        <f>MOD(ROW()-2, amortYears)+1</f>
        <v>11</v>
      </c>
      <c r="E1076" s="15" t="str">
        <f t="shared" si="1"/>
        <v/>
      </c>
      <c r="F1076" s="16">
        <f t="shared" si="2"/>
        <v>0</v>
      </c>
      <c r="G1076" s="16">
        <f>IF(D1076&lt;=mortTerm, -PMT(mortRate/12, mortTerm*12, C1076)*12, 0)
</f>
        <v>0</v>
      </c>
      <c r="H1076" s="16">
        <f>IF(D1076&lt;=mortTerm, G1076 - I1076, 0)
</f>
        <v>0</v>
      </c>
      <c r="I1076" s="16">
        <f>IF(D1076&lt;=mortTerm, F1076 - J1076, 0)
</f>
        <v>0</v>
      </c>
      <c r="J1076" s="16">
        <f>IF(D1076&lt;=mortTerm,
   F1076*(1+mortRate/12)^12 - (-PMT(mortRate/12, mortTerm*12, C1076))*(((1+mortRate/12)^12 - 1)/(mortRate/12)),
   0
)
</f>
        <v>0</v>
      </c>
      <c r="K1076" s="13" t="str">
        <f>IFERROR(__xludf.DUMMYFUNCTION("IF(A1076="""","""",
   IF(F1076&gt;0,
      INDEX(FILTER('RE Portfolio'!L$2:L2000,'RE Portfolio'!D$2:D2000=""BUY""), INT((ROW()-2)/amortYears)+1) - G1076,
      INDEX(FILTER('RE Portfolio'!L$2:L2000,'RE Portfolio'!D$2:D2000=""BUY""), INT((ROW()-2)/amortYears"&amp;")+1)
   )
)
"),"")</f>
        <v/>
      </c>
      <c r="L1076" s="15" t="str">
        <f>IFERROR(__xludf.DUMMYFUNCTION("IF(A1076="""","""",
  INDEX(FILTER('RE Portfolio'!C$2:C2000,'RE Portfolio'!D$2:D2000=""BUY""), INT((ROW()-2)/amortYears)+1)
  * (1 + VALUE(Assumptions!$B$11))^(D1076-1)
)
"),"")</f>
        <v/>
      </c>
    </row>
    <row r="1077">
      <c r="A1077" s="15" t="str">
        <f>IFERROR(__xludf.DUMMYFUNCTION("IFERROR(INDEX(FILTER('RE Portfolio'!A$2:A2000,'RE Portfolio'!D$2:D2000=""BUY""), INT((ROW()-2)/amortYears)+1), )
"),"")</f>
        <v/>
      </c>
      <c r="B1077" s="15" t="str">
        <f>IFERROR(__xludf.DUMMYFUNCTION("IFERROR(INDEX(FILTER('RE Portfolio'!B$2:B2000,'RE Portfolio'!D$2:D2000=""BUY""), INT((ROW()-2)/amortYears)+1), )
"),"")</f>
        <v/>
      </c>
      <c r="C1077" s="15" t="str">
        <f>IFERROR(__xludf.DUMMYFUNCTION("IFERROR(INDEX(FILTER('RE Portfolio'!G$2:G2000,'RE Portfolio'!D$2:D2000=""BUY""), INT((ROW()-2)/amortYears)+1), )
"),"")</f>
        <v/>
      </c>
      <c r="D1077" s="15">
        <f>MOD(ROW()-2, amortYears)+1</f>
        <v>12</v>
      </c>
      <c r="E1077" s="15" t="str">
        <f t="shared" si="1"/>
        <v/>
      </c>
      <c r="F1077" s="16">
        <f t="shared" si="2"/>
        <v>0</v>
      </c>
      <c r="G1077" s="16">
        <f>IF(D1077&lt;=mortTerm, -PMT(mortRate/12, mortTerm*12, C1077)*12, 0)
</f>
        <v>0</v>
      </c>
      <c r="H1077" s="16">
        <f>IF(D1077&lt;=mortTerm, G1077 - I1077, 0)
</f>
        <v>0</v>
      </c>
      <c r="I1077" s="16">
        <f>IF(D1077&lt;=mortTerm, F1077 - J1077, 0)
</f>
        <v>0</v>
      </c>
      <c r="J1077" s="16">
        <f>IF(D1077&lt;=mortTerm,
   F1077*(1+mortRate/12)^12 - (-PMT(mortRate/12, mortTerm*12, C1077))*(((1+mortRate/12)^12 - 1)/(mortRate/12)),
   0
)
</f>
        <v>0</v>
      </c>
      <c r="K1077" s="13" t="str">
        <f>IFERROR(__xludf.DUMMYFUNCTION("IF(A1077="""","""",
   IF(F1077&gt;0,
      INDEX(FILTER('RE Portfolio'!L$2:L2000,'RE Portfolio'!D$2:D2000=""BUY""), INT((ROW()-2)/amortYears)+1) - G1077,
      INDEX(FILTER('RE Portfolio'!L$2:L2000,'RE Portfolio'!D$2:D2000=""BUY""), INT((ROW()-2)/amortYears"&amp;")+1)
   )
)
"),"")</f>
        <v/>
      </c>
      <c r="L1077" s="15" t="str">
        <f>IFERROR(__xludf.DUMMYFUNCTION("IF(A1077="""","""",
  INDEX(FILTER('RE Portfolio'!C$2:C2000,'RE Portfolio'!D$2:D2000=""BUY""), INT((ROW()-2)/amortYears)+1)
  * (1 + VALUE(Assumptions!$B$11))^(D1077-1)
)
"),"")</f>
        <v/>
      </c>
    </row>
    <row r="1078">
      <c r="A1078" s="15" t="str">
        <f>IFERROR(__xludf.DUMMYFUNCTION("IFERROR(INDEX(FILTER('RE Portfolio'!A$2:A2000,'RE Portfolio'!D$2:D2000=""BUY""), INT((ROW()-2)/amortYears)+1), )
"),"")</f>
        <v/>
      </c>
      <c r="B1078" s="15" t="str">
        <f>IFERROR(__xludf.DUMMYFUNCTION("IFERROR(INDEX(FILTER('RE Portfolio'!B$2:B2000,'RE Portfolio'!D$2:D2000=""BUY""), INT((ROW()-2)/amortYears)+1), )
"),"")</f>
        <v/>
      </c>
      <c r="C1078" s="15" t="str">
        <f>IFERROR(__xludf.DUMMYFUNCTION("IFERROR(INDEX(FILTER('RE Portfolio'!G$2:G2000,'RE Portfolio'!D$2:D2000=""BUY""), INT((ROW()-2)/amortYears)+1), )
"),"")</f>
        <v/>
      </c>
      <c r="D1078" s="15">
        <f>MOD(ROW()-2, amortYears)+1</f>
        <v>13</v>
      </c>
      <c r="E1078" s="15" t="str">
        <f t="shared" si="1"/>
        <v/>
      </c>
      <c r="F1078" s="16">
        <f t="shared" si="2"/>
        <v>0</v>
      </c>
      <c r="G1078" s="16">
        <f>IF(D1078&lt;=mortTerm, -PMT(mortRate/12, mortTerm*12, C1078)*12, 0)
</f>
        <v>0</v>
      </c>
      <c r="H1078" s="16">
        <f>IF(D1078&lt;=mortTerm, G1078 - I1078, 0)
</f>
        <v>0</v>
      </c>
      <c r="I1078" s="16">
        <f>IF(D1078&lt;=mortTerm, F1078 - J1078, 0)
</f>
        <v>0</v>
      </c>
      <c r="J1078" s="16">
        <f>IF(D1078&lt;=mortTerm,
   F1078*(1+mortRate/12)^12 - (-PMT(mortRate/12, mortTerm*12, C1078))*(((1+mortRate/12)^12 - 1)/(mortRate/12)),
   0
)
</f>
        <v>0</v>
      </c>
      <c r="K1078" s="13" t="str">
        <f>IFERROR(__xludf.DUMMYFUNCTION("IF(A1078="""","""",
   IF(F1078&gt;0,
      INDEX(FILTER('RE Portfolio'!L$2:L2000,'RE Portfolio'!D$2:D2000=""BUY""), INT((ROW()-2)/amortYears)+1) - G1078,
      INDEX(FILTER('RE Portfolio'!L$2:L2000,'RE Portfolio'!D$2:D2000=""BUY""), INT((ROW()-2)/amortYears"&amp;")+1)
   )
)
"),"")</f>
        <v/>
      </c>
      <c r="L1078" s="15" t="str">
        <f>IFERROR(__xludf.DUMMYFUNCTION("IF(A1078="""","""",
  INDEX(FILTER('RE Portfolio'!C$2:C2000,'RE Portfolio'!D$2:D2000=""BUY""), INT((ROW()-2)/amortYears)+1)
  * (1 + VALUE(Assumptions!$B$11))^(D1078-1)
)
"),"")</f>
        <v/>
      </c>
    </row>
    <row r="1079">
      <c r="A1079" s="15" t="str">
        <f>IFERROR(__xludf.DUMMYFUNCTION("IFERROR(INDEX(FILTER('RE Portfolio'!A$2:A2000,'RE Portfolio'!D$2:D2000=""BUY""), INT((ROW()-2)/amortYears)+1), )
"),"")</f>
        <v/>
      </c>
      <c r="B1079" s="15" t="str">
        <f>IFERROR(__xludf.DUMMYFUNCTION("IFERROR(INDEX(FILTER('RE Portfolio'!B$2:B2000,'RE Portfolio'!D$2:D2000=""BUY""), INT((ROW()-2)/amortYears)+1), )
"),"")</f>
        <v/>
      </c>
      <c r="C1079" s="15" t="str">
        <f>IFERROR(__xludf.DUMMYFUNCTION("IFERROR(INDEX(FILTER('RE Portfolio'!G$2:G2000,'RE Portfolio'!D$2:D2000=""BUY""), INT((ROW()-2)/amortYears)+1), )
"),"")</f>
        <v/>
      </c>
      <c r="D1079" s="15">
        <f>MOD(ROW()-2, amortYears)+1</f>
        <v>14</v>
      </c>
      <c r="E1079" s="15" t="str">
        <f t="shared" si="1"/>
        <v/>
      </c>
      <c r="F1079" s="16">
        <f t="shared" si="2"/>
        <v>0</v>
      </c>
      <c r="G1079" s="16">
        <f>IF(D1079&lt;=mortTerm, -PMT(mortRate/12, mortTerm*12, C1079)*12, 0)
</f>
        <v>0</v>
      </c>
      <c r="H1079" s="16">
        <f>IF(D1079&lt;=mortTerm, G1079 - I1079, 0)
</f>
        <v>0</v>
      </c>
      <c r="I1079" s="16">
        <f>IF(D1079&lt;=mortTerm, F1079 - J1079, 0)
</f>
        <v>0</v>
      </c>
      <c r="J1079" s="16">
        <f>IF(D1079&lt;=mortTerm,
   F1079*(1+mortRate/12)^12 - (-PMT(mortRate/12, mortTerm*12, C1079))*(((1+mortRate/12)^12 - 1)/(mortRate/12)),
   0
)
</f>
        <v>0</v>
      </c>
      <c r="K1079" s="13" t="str">
        <f>IFERROR(__xludf.DUMMYFUNCTION("IF(A1079="""","""",
   IF(F1079&gt;0,
      INDEX(FILTER('RE Portfolio'!L$2:L2000,'RE Portfolio'!D$2:D2000=""BUY""), INT((ROW()-2)/amortYears)+1) - G1079,
      INDEX(FILTER('RE Portfolio'!L$2:L2000,'RE Portfolio'!D$2:D2000=""BUY""), INT((ROW()-2)/amortYears"&amp;")+1)
   )
)
"),"")</f>
        <v/>
      </c>
      <c r="L1079" s="15" t="str">
        <f>IFERROR(__xludf.DUMMYFUNCTION("IF(A1079="""","""",
  INDEX(FILTER('RE Portfolio'!C$2:C2000,'RE Portfolio'!D$2:D2000=""BUY""), INT((ROW()-2)/amortYears)+1)
  * (1 + VALUE(Assumptions!$B$11))^(D1079-1)
)
"),"")</f>
        <v/>
      </c>
    </row>
    <row r="1080">
      <c r="A1080" s="15" t="str">
        <f>IFERROR(__xludf.DUMMYFUNCTION("IFERROR(INDEX(FILTER('RE Portfolio'!A$2:A2000,'RE Portfolio'!D$2:D2000=""BUY""), INT((ROW()-2)/amortYears)+1), )
"),"")</f>
        <v/>
      </c>
      <c r="B1080" s="15" t="str">
        <f>IFERROR(__xludf.DUMMYFUNCTION("IFERROR(INDEX(FILTER('RE Portfolio'!B$2:B2000,'RE Portfolio'!D$2:D2000=""BUY""), INT((ROW()-2)/amortYears)+1), )
"),"")</f>
        <v/>
      </c>
      <c r="C1080" s="15" t="str">
        <f>IFERROR(__xludf.DUMMYFUNCTION("IFERROR(INDEX(FILTER('RE Portfolio'!G$2:G2000,'RE Portfolio'!D$2:D2000=""BUY""), INT((ROW()-2)/amortYears)+1), )
"),"")</f>
        <v/>
      </c>
      <c r="D1080" s="15">
        <f>MOD(ROW()-2, amortYears)+1</f>
        <v>15</v>
      </c>
      <c r="E1080" s="15" t="str">
        <f t="shared" si="1"/>
        <v/>
      </c>
      <c r="F1080" s="16">
        <f t="shared" si="2"/>
        <v>0</v>
      </c>
      <c r="G1080" s="16">
        <f>IF(D1080&lt;=mortTerm, -PMT(mortRate/12, mortTerm*12, C1080)*12, 0)
</f>
        <v>0</v>
      </c>
      <c r="H1080" s="16">
        <f>IF(D1080&lt;=mortTerm, G1080 - I1080, 0)
</f>
        <v>0</v>
      </c>
      <c r="I1080" s="16">
        <f>IF(D1080&lt;=mortTerm, F1080 - J1080, 0)
</f>
        <v>0</v>
      </c>
      <c r="J1080" s="16">
        <f>IF(D1080&lt;=mortTerm,
   F1080*(1+mortRate/12)^12 - (-PMT(mortRate/12, mortTerm*12, C1080))*(((1+mortRate/12)^12 - 1)/(mortRate/12)),
   0
)
</f>
        <v>0</v>
      </c>
      <c r="K1080" s="13" t="str">
        <f>IFERROR(__xludf.DUMMYFUNCTION("IF(A1080="""","""",
   IF(F1080&gt;0,
      INDEX(FILTER('RE Portfolio'!L$2:L2000,'RE Portfolio'!D$2:D2000=""BUY""), INT((ROW()-2)/amortYears)+1) - G1080,
      INDEX(FILTER('RE Portfolio'!L$2:L2000,'RE Portfolio'!D$2:D2000=""BUY""), INT((ROW()-2)/amortYears"&amp;")+1)
   )
)
"),"")</f>
        <v/>
      </c>
      <c r="L1080" s="15" t="str">
        <f>IFERROR(__xludf.DUMMYFUNCTION("IF(A1080="""","""",
  INDEX(FILTER('RE Portfolio'!C$2:C2000,'RE Portfolio'!D$2:D2000=""BUY""), INT((ROW()-2)/amortYears)+1)
  * (1 + VALUE(Assumptions!$B$11))^(D1080-1)
)
"),"")</f>
        <v/>
      </c>
    </row>
    <row r="1081">
      <c r="A1081" s="15" t="str">
        <f>IFERROR(__xludf.DUMMYFUNCTION("IFERROR(INDEX(FILTER('RE Portfolio'!A$2:A2000,'RE Portfolio'!D$2:D2000=""BUY""), INT((ROW()-2)/amortYears)+1), )
"),"")</f>
        <v/>
      </c>
      <c r="B1081" s="15" t="str">
        <f>IFERROR(__xludf.DUMMYFUNCTION("IFERROR(INDEX(FILTER('RE Portfolio'!B$2:B2000,'RE Portfolio'!D$2:D2000=""BUY""), INT((ROW()-2)/amortYears)+1), )
"),"")</f>
        <v/>
      </c>
      <c r="C1081" s="15" t="str">
        <f>IFERROR(__xludf.DUMMYFUNCTION("IFERROR(INDEX(FILTER('RE Portfolio'!G$2:G2000,'RE Portfolio'!D$2:D2000=""BUY""), INT((ROW()-2)/amortYears)+1), )
"),"")</f>
        <v/>
      </c>
      <c r="D1081" s="15">
        <f>MOD(ROW()-2, amortYears)+1</f>
        <v>16</v>
      </c>
      <c r="E1081" s="15" t="str">
        <f t="shared" si="1"/>
        <v/>
      </c>
      <c r="F1081" s="16">
        <f t="shared" si="2"/>
        <v>0</v>
      </c>
      <c r="G1081" s="16">
        <f>IF(D1081&lt;=mortTerm, -PMT(mortRate/12, mortTerm*12, C1081)*12, 0)
</f>
        <v>0</v>
      </c>
      <c r="H1081" s="16">
        <f>IF(D1081&lt;=mortTerm, G1081 - I1081, 0)
</f>
        <v>0</v>
      </c>
      <c r="I1081" s="16">
        <f>IF(D1081&lt;=mortTerm, F1081 - J1081, 0)
</f>
        <v>0</v>
      </c>
      <c r="J1081" s="16">
        <f>IF(D1081&lt;=mortTerm,
   F1081*(1+mortRate/12)^12 - (-PMT(mortRate/12, mortTerm*12, C1081))*(((1+mortRate/12)^12 - 1)/(mortRate/12)),
   0
)
</f>
        <v>0</v>
      </c>
      <c r="K1081" s="13" t="str">
        <f>IFERROR(__xludf.DUMMYFUNCTION("IF(A1081="""","""",
   IF(F1081&gt;0,
      INDEX(FILTER('RE Portfolio'!L$2:L2000,'RE Portfolio'!D$2:D2000=""BUY""), INT((ROW()-2)/amortYears)+1) - G1081,
      INDEX(FILTER('RE Portfolio'!L$2:L2000,'RE Portfolio'!D$2:D2000=""BUY""), INT((ROW()-2)/amortYears"&amp;")+1)
   )
)
"),"")</f>
        <v/>
      </c>
      <c r="L1081" s="15" t="str">
        <f>IFERROR(__xludf.DUMMYFUNCTION("IF(A1081="""","""",
  INDEX(FILTER('RE Portfolio'!C$2:C2000,'RE Portfolio'!D$2:D2000=""BUY""), INT((ROW()-2)/amortYears)+1)
  * (1 + VALUE(Assumptions!$B$11))^(D1081-1)
)
"),"")</f>
        <v/>
      </c>
    </row>
    <row r="1082">
      <c r="A1082" s="15" t="str">
        <f>IFERROR(__xludf.DUMMYFUNCTION("IFERROR(INDEX(FILTER('RE Portfolio'!A$2:A2000,'RE Portfolio'!D$2:D2000=""BUY""), INT((ROW()-2)/amortYears)+1), )
"),"")</f>
        <v/>
      </c>
      <c r="B1082" s="15" t="str">
        <f>IFERROR(__xludf.DUMMYFUNCTION("IFERROR(INDEX(FILTER('RE Portfolio'!B$2:B2000,'RE Portfolio'!D$2:D2000=""BUY""), INT((ROW()-2)/amortYears)+1), )
"),"")</f>
        <v/>
      </c>
      <c r="C1082" s="15" t="str">
        <f>IFERROR(__xludf.DUMMYFUNCTION("IFERROR(INDEX(FILTER('RE Portfolio'!G$2:G2000,'RE Portfolio'!D$2:D2000=""BUY""), INT((ROW()-2)/amortYears)+1), )
"),"")</f>
        <v/>
      </c>
      <c r="D1082" s="15">
        <f>MOD(ROW()-2, amortYears)+1</f>
        <v>17</v>
      </c>
      <c r="E1082" s="15" t="str">
        <f t="shared" si="1"/>
        <v/>
      </c>
      <c r="F1082" s="16">
        <f t="shared" si="2"/>
        <v>0</v>
      </c>
      <c r="G1082" s="16">
        <f>IF(D1082&lt;=mortTerm, -PMT(mortRate/12, mortTerm*12, C1082)*12, 0)
</f>
        <v>0</v>
      </c>
      <c r="H1082" s="16">
        <f>IF(D1082&lt;=mortTerm, G1082 - I1082, 0)
</f>
        <v>0</v>
      </c>
      <c r="I1082" s="16">
        <f>IF(D1082&lt;=mortTerm, F1082 - J1082, 0)
</f>
        <v>0</v>
      </c>
      <c r="J1082" s="16">
        <f>IF(D1082&lt;=mortTerm,
   F1082*(1+mortRate/12)^12 - (-PMT(mortRate/12, mortTerm*12, C1082))*(((1+mortRate/12)^12 - 1)/(mortRate/12)),
   0
)
</f>
        <v>0</v>
      </c>
      <c r="K1082" s="13" t="str">
        <f>IFERROR(__xludf.DUMMYFUNCTION("IF(A1082="""","""",
   IF(F1082&gt;0,
      INDEX(FILTER('RE Portfolio'!L$2:L2000,'RE Portfolio'!D$2:D2000=""BUY""), INT((ROW()-2)/amortYears)+1) - G1082,
      INDEX(FILTER('RE Portfolio'!L$2:L2000,'RE Portfolio'!D$2:D2000=""BUY""), INT((ROW()-2)/amortYears"&amp;")+1)
   )
)
"),"")</f>
        <v/>
      </c>
      <c r="L1082" s="15" t="str">
        <f>IFERROR(__xludf.DUMMYFUNCTION("IF(A1082="""","""",
  INDEX(FILTER('RE Portfolio'!C$2:C2000,'RE Portfolio'!D$2:D2000=""BUY""), INT((ROW()-2)/amortYears)+1)
  * (1 + VALUE(Assumptions!$B$11))^(D1082-1)
)
"),"")</f>
        <v/>
      </c>
    </row>
    <row r="1083">
      <c r="A1083" s="15" t="str">
        <f>IFERROR(__xludf.DUMMYFUNCTION("IFERROR(INDEX(FILTER('RE Portfolio'!A$2:A2000,'RE Portfolio'!D$2:D2000=""BUY""), INT((ROW()-2)/amortYears)+1), )
"),"")</f>
        <v/>
      </c>
      <c r="B1083" s="15" t="str">
        <f>IFERROR(__xludf.DUMMYFUNCTION("IFERROR(INDEX(FILTER('RE Portfolio'!B$2:B2000,'RE Portfolio'!D$2:D2000=""BUY""), INT((ROW()-2)/amortYears)+1), )
"),"")</f>
        <v/>
      </c>
      <c r="C1083" s="15" t="str">
        <f>IFERROR(__xludf.DUMMYFUNCTION("IFERROR(INDEX(FILTER('RE Portfolio'!G$2:G2000,'RE Portfolio'!D$2:D2000=""BUY""), INT((ROW()-2)/amortYears)+1), )
"),"")</f>
        <v/>
      </c>
      <c r="D1083" s="15">
        <f>MOD(ROW()-2, amortYears)+1</f>
        <v>18</v>
      </c>
      <c r="E1083" s="15" t="str">
        <f t="shared" si="1"/>
        <v/>
      </c>
      <c r="F1083" s="16">
        <f t="shared" si="2"/>
        <v>0</v>
      </c>
      <c r="G1083" s="16">
        <f>IF(D1083&lt;=mortTerm, -PMT(mortRate/12, mortTerm*12, C1083)*12, 0)
</f>
        <v>0</v>
      </c>
      <c r="H1083" s="16">
        <f>IF(D1083&lt;=mortTerm, G1083 - I1083, 0)
</f>
        <v>0</v>
      </c>
      <c r="I1083" s="16">
        <f>IF(D1083&lt;=mortTerm, F1083 - J1083, 0)
</f>
        <v>0</v>
      </c>
      <c r="J1083" s="16">
        <f>IF(D1083&lt;=mortTerm,
   F1083*(1+mortRate/12)^12 - (-PMT(mortRate/12, mortTerm*12, C1083))*(((1+mortRate/12)^12 - 1)/(mortRate/12)),
   0
)
</f>
        <v>0</v>
      </c>
      <c r="K1083" s="13" t="str">
        <f>IFERROR(__xludf.DUMMYFUNCTION("IF(A1083="""","""",
   IF(F1083&gt;0,
      INDEX(FILTER('RE Portfolio'!L$2:L2000,'RE Portfolio'!D$2:D2000=""BUY""), INT((ROW()-2)/amortYears)+1) - G1083,
      INDEX(FILTER('RE Portfolio'!L$2:L2000,'RE Portfolio'!D$2:D2000=""BUY""), INT((ROW()-2)/amortYears"&amp;")+1)
   )
)
"),"")</f>
        <v/>
      </c>
      <c r="L1083" s="15" t="str">
        <f>IFERROR(__xludf.DUMMYFUNCTION("IF(A1083="""","""",
  INDEX(FILTER('RE Portfolio'!C$2:C2000,'RE Portfolio'!D$2:D2000=""BUY""), INT((ROW()-2)/amortYears)+1)
  * (1 + VALUE(Assumptions!$B$11))^(D1083-1)
)
"),"")</f>
        <v/>
      </c>
    </row>
    <row r="1084">
      <c r="A1084" s="15" t="str">
        <f>IFERROR(__xludf.DUMMYFUNCTION("IFERROR(INDEX(FILTER('RE Portfolio'!A$2:A2000,'RE Portfolio'!D$2:D2000=""BUY""), INT((ROW()-2)/amortYears)+1), )
"),"")</f>
        <v/>
      </c>
      <c r="B1084" s="15" t="str">
        <f>IFERROR(__xludf.DUMMYFUNCTION("IFERROR(INDEX(FILTER('RE Portfolio'!B$2:B2000,'RE Portfolio'!D$2:D2000=""BUY""), INT((ROW()-2)/amortYears)+1), )
"),"")</f>
        <v/>
      </c>
      <c r="C1084" s="15" t="str">
        <f>IFERROR(__xludf.DUMMYFUNCTION("IFERROR(INDEX(FILTER('RE Portfolio'!G$2:G2000,'RE Portfolio'!D$2:D2000=""BUY""), INT((ROW()-2)/amortYears)+1), )
"),"")</f>
        <v/>
      </c>
      <c r="D1084" s="15">
        <f>MOD(ROW()-2, amortYears)+1</f>
        <v>19</v>
      </c>
      <c r="E1084" s="15" t="str">
        <f t="shared" si="1"/>
        <v/>
      </c>
      <c r="F1084" s="16">
        <f t="shared" si="2"/>
        <v>0</v>
      </c>
      <c r="G1084" s="16">
        <f>IF(D1084&lt;=mortTerm, -PMT(mortRate/12, mortTerm*12, C1084)*12, 0)
</f>
        <v>0</v>
      </c>
      <c r="H1084" s="16">
        <f>IF(D1084&lt;=mortTerm, G1084 - I1084, 0)
</f>
        <v>0</v>
      </c>
      <c r="I1084" s="16">
        <f>IF(D1084&lt;=mortTerm, F1084 - J1084, 0)
</f>
        <v>0</v>
      </c>
      <c r="J1084" s="16">
        <f>IF(D1084&lt;=mortTerm,
   F1084*(1+mortRate/12)^12 - (-PMT(mortRate/12, mortTerm*12, C1084))*(((1+mortRate/12)^12 - 1)/(mortRate/12)),
   0
)
</f>
        <v>0</v>
      </c>
      <c r="K1084" s="13" t="str">
        <f>IFERROR(__xludf.DUMMYFUNCTION("IF(A1084="""","""",
   IF(F1084&gt;0,
      INDEX(FILTER('RE Portfolio'!L$2:L2000,'RE Portfolio'!D$2:D2000=""BUY""), INT((ROW()-2)/amortYears)+1) - G1084,
      INDEX(FILTER('RE Portfolio'!L$2:L2000,'RE Portfolio'!D$2:D2000=""BUY""), INT((ROW()-2)/amortYears"&amp;")+1)
   )
)
"),"")</f>
        <v/>
      </c>
      <c r="L1084" s="15" t="str">
        <f>IFERROR(__xludf.DUMMYFUNCTION("IF(A1084="""","""",
  INDEX(FILTER('RE Portfolio'!C$2:C2000,'RE Portfolio'!D$2:D2000=""BUY""), INT((ROW()-2)/amortYears)+1)
  * (1 + VALUE(Assumptions!$B$11))^(D1084-1)
)
"),"")</f>
        <v/>
      </c>
    </row>
    <row r="1085">
      <c r="A1085" s="15" t="str">
        <f>IFERROR(__xludf.DUMMYFUNCTION("IFERROR(INDEX(FILTER('RE Portfolio'!A$2:A2000,'RE Portfolio'!D$2:D2000=""BUY""), INT((ROW()-2)/amortYears)+1), )
"),"")</f>
        <v/>
      </c>
      <c r="B1085" s="15" t="str">
        <f>IFERROR(__xludf.DUMMYFUNCTION("IFERROR(INDEX(FILTER('RE Portfolio'!B$2:B2000,'RE Portfolio'!D$2:D2000=""BUY""), INT((ROW()-2)/amortYears)+1), )
"),"")</f>
        <v/>
      </c>
      <c r="C1085" s="15" t="str">
        <f>IFERROR(__xludf.DUMMYFUNCTION("IFERROR(INDEX(FILTER('RE Portfolio'!G$2:G2000,'RE Portfolio'!D$2:D2000=""BUY""), INT((ROW()-2)/amortYears)+1), )
"),"")</f>
        <v/>
      </c>
      <c r="D1085" s="15">
        <f>MOD(ROW()-2, amortYears)+1</f>
        <v>20</v>
      </c>
      <c r="E1085" s="15" t="str">
        <f t="shared" si="1"/>
        <v/>
      </c>
      <c r="F1085" s="16">
        <f t="shared" si="2"/>
        <v>0</v>
      </c>
      <c r="G1085" s="16">
        <f>IF(D1085&lt;=mortTerm, -PMT(mortRate/12, mortTerm*12, C1085)*12, 0)
</f>
        <v>0</v>
      </c>
      <c r="H1085" s="16">
        <f>IF(D1085&lt;=mortTerm, G1085 - I1085, 0)
</f>
        <v>0</v>
      </c>
      <c r="I1085" s="16">
        <f>IF(D1085&lt;=mortTerm, F1085 - J1085, 0)
</f>
        <v>0</v>
      </c>
      <c r="J1085" s="16">
        <f>IF(D1085&lt;=mortTerm,
   F1085*(1+mortRate/12)^12 - (-PMT(mortRate/12, mortTerm*12, C1085))*(((1+mortRate/12)^12 - 1)/(mortRate/12)),
   0
)
</f>
        <v>0</v>
      </c>
      <c r="K1085" s="13" t="str">
        <f>IFERROR(__xludf.DUMMYFUNCTION("IF(A1085="""","""",
   IF(F1085&gt;0,
      INDEX(FILTER('RE Portfolio'!L$2:L2000,'RE Portfolio'!D$2:D2000=""BUY""), INT((ROW()-2)/amortYears)+1) - G1085,
      INDEX(FILTER('RE Portfolio'!L$2:L2000,'RE Portfolio'!D$2:D2000=""BUY""), INT((ROW()-2)/amortYears"&amp;")+1)
   )
)
"),"")</f>
        <v/>
      </c>
      <c r="L1085" s="15" t="str">
        <f>IFERROR(__xludf.DUMMYFUNCTION("IF(A1085="""","""",
  INDEX(FILTER('RE Portfolio'!C$2:C2000,'RE Portfolio'!D$2:D2000=""BUY""), INT((ROW()-2)/amortYears)+1)
  * (1 + VALUE(Assumptions!$B$11))^(D1085-1)
)
"),"")</f>
        <v/>
      </c>
    </row>
    <row r="1086">
      <c r="A1086" s="15" t="str">
        <f>IFERROR(__xludf.DUMMYFUNCTION("IFERROR(INDEX(FILTER('RE Portfolio'!A$2:A2000,'RE Portfolio'!D$2:D2000=""BUY""), INT((ROW()-2)/amortYears)+1), )
"),"")</f>
        <v/>
      </c>
      <c r="B1086" s="15" t="str">
        <f>IFERROR(__xludf.DUMMYFUNCTION("IFERROR(INDEX(FILTER('RE Portfolio'!B$2:B2000,'RE Portfolio'!D$2:D2000=""BUY""), INT((ROW()-2)/amortYears)+1), )
"),"")</f>
        <v/>
      </c>
      <c r="C1086" s="15" t="str">
        <f>IFERROR(__xludf.DUMMYFUNCTION("IFERROR(INDEX(FILTER('RE Portfolio'!G$2:G2000,'RE Portfolio'!D$2:D2000=""BUY""), INT((ROW()-2)/amortYears)+1), )
"),"")</f>
        <v/>
      </c>
      <c r="D1086" s="15">
        <f>MOD(ROW()-2, amortYears)+1</f>
        <v>21</v>
      </c>
      <c r="E1086" s="15" t="str">
        <f t="shared" si="1"/>
        <v/>
      </c>
      <c r="F1086" s="16">
        <f t="shared" si="2"/>
        <v>0</v>
      </c>
      <c r="G1086" s="16">
        <f>IF(D1086&lt;=mortTerm, -PMT(mortRate/12, mortTerm*12, C1086)*12, 0)
</f>
        <v>0</v>
      </c>
      <c r="H1086" s="16">
        <f>IF(D1086&lt;=mortTerm, G1086 - I1086, 0)
</f>
        <v>0</v>
      </c>
      <c r="I1086" s="16">
        <f>IF(D1086&lt;=mortTerm, F1086 - J1086, 0)
</f>
        <v>0</v>
      </c>
      <c r="J1086" s="16">
        <f>IF(D1086&lt;=mortTerm,
   F1086*(1+mortRate/12)^12 - (-PMT(mortRate/12, mortTerm*12, C1086))*(((1+mortRate/12)^12 - 1)/(mortRate/12)),
   0
)
</f>
        <v>0</v>
      </c>
      <c r="K1086" s="13" t="str">
        <f>IFERROR(__xludf.DUMMYFUNCTION("IF(A1086="""","""",
   IF(F1086&gt;0,
      INDEX(FILTER('RE Portfolio'!L$2:L2000,'RE Portfolio'!D$2:D2000=""BUY""), INT((ROW()-2)/amortYears)+1) - G1086,
      INDEX(FILTER('RE Portfolio'!L$2:L2000,'RE Portfolio'!D$2:D2000=""BUY""), INT((ROW()-2)/amortYears"&amp;")+1)
   )
)
"),"")</f>
        <v/>
      </c>
      <c r="L1086" s="15" t="str">
        <f>IFERROR(__xludf.DUMMYFUNCTION("IF(A1086="""","""",
  INDEX(FILTER('RE Portfolio'!C$2:C2000,'RE Portfolio'!D$2:D2000=""BUY""), INT((ROW()-2)/amortYears)+1)
  * (1 + VALUE(Assumptions!$B$11))^(D1086-1)
)
"),"")</f>
        <v/>
      </c>
    </row>
    <row r="1087">
      <c r="A1087" s="15" t="str">
        <f>IFERROR(__xludf.DUMMYFUNCTION("IFERROR(INDEX(FILTER('RE Portfolio'!A$2:A2000,'RE Portfolio'!D$2:D2000=""BUY""), INT((ROW()-2)/amortYears)+1), )
"),"")</f>
        <v/>
      </c>
      <c r="B1087" s="15" t="str">
        <f>IFERROR(__xludf.DUMMYFUNCTION("IFERROR(INDEX(FILTER('RE Portfolio'!B$2:B2000,'RE Portfolio'!D$2:D2000=""BUY""), INT((ROW()-2)/amortYears)+1), )
"),"")</f>
        <v/>
      </c>
      <c r="C1087" s="15" t="str">
        <f>IFERROR(__xludf.DUMMYFUNCTION("IFERROR(INDEX(FILTER('RE Portfolio'!G$2:G2000,'RE Portfolio'!D$2:D2000=""BUY""), INT((ROW()-2)/amortYears)+1), )
"),"")</f>
        <v/>
      </c>
      <c r="D1087" s="15">
        <f>MOD(ROW()-2, amortYears)+1</f>
        <v>22</v>
      </c>
      <c r="E1087" s="15" t="str">
        <f t="shared" si="1"/>
        <v/>
      </c>
      <c r="F1087" s="16">
        <f t="shared" si="2"/>
        <v>0</v>
      </c>
      <c r="G1087" s="16">
        <f>IF(D1087&lt;=mortTerm, -PMT(mortRate/12, mortTerm*12, C1087)*12, 0)
</f>
        <v>0</v>
      </c>
      <c r="H1087" s="16">
        <f>IF(D1087&lt;=mortTerm, G1087 - I1087, 0)
</f>
        <v>0</v>
      </c>
      <c r="I1087" s="16">
        <f>IF(D1087&lt;=mortTerm, F1087 - J1087, 0)
</f>
        <v>0</v>
      </c>
      <c r="J1087" s="16">
        <f>IF(D1087&lt;=mortTerm,
   F1087*(1+mortRate/12)^12 - (-PMT(mortRate/12, mortTerm*12, C1087))*(((1+mortRate/12)^12 - 1)/(mortRate/12)),
   0
)
</f>
        <v>0</v>
      </c>
      <c r="K1087" s="13" t="str">
        <f>IFERROR(__xludf.DUMMYFUNCTION("IF(A1087="""","""",
   IF(F1087&gt;0,
      INDEX(FILTER('RE Portfolio'!L$2:L2000,'RE Portfolio'!D$2:D2000=""BUY""), INT((ROW()-2)/amortYears)+1) - G1087,
      INDEX(FILTER('RE Portfolio'!L$2:L2000,'RE Portfolio'!D$2:D2000=""BUY""), INT((ROW()-2)/amortYears"&amp;")+1)
   )
)
"),"")</f>
        <v/>
      </c>
      <c r="L1087" s="15" t="str">
        <f>IFERROR(__xludf.DUMMYFUNCTION("IF(A1087="""","""",
  INDEX(FILTER('RE Portfolio'!C$2:C2000,'RE Portfolio'!D$2:D2000=""BUY""), INT((ROW()-2)/amortYears)+1)
  * (1 + VALUE(Assumptions!$B$11))^(D1087-1)
)
"),"")</f>
        <v/>
      </c>
    </row>
    <row r="1088">
      <c r="A1088" s="15" t="str">
        <f>IFERROR(__xludf.DUMMYFUNCTION("IFERROR(INDEX(FILTER('RE Portfolio'!A$2:A2000,'RE Portfolio'!D$2:D2000=""BUY""), INT((ROW()-2)/amortYears)+1), )
"),"")</f>
        <v/>
      </c>
      <c r="B1088" s="15" t="str">
        <f>IFERROR(__xludf.DUMMYFUNCTION("IFERROR(INDEX(FILTER('RE Portfolio'!B$2:B2000,'RE Portfolio'!D$2:D2000=""BUY""), INT((ROW()-2)/amortYears)+1), )
"),"")</f>
        <v/>
      </c>
      <c r="C1088" s="15" t="str">
        <f>IFERROR(__xludf.DUMMYFUNCTION("IFERROR(INDEX(FILTER('RE Portfolio'!G$2:G2000,'RE Portfolio'!D$2:D2000=""BUY""), INT((ROW()-2)/amortYears)+1), )
"),"")</f>
        <v/>
      </c>
      <c r="D1088" s="15">
        <f>MOD(ROW()-2, amortYears)+1</f>
        <v>23</v>
      </c>
      <c r="E1088" s="15" t="str">
        <f t="shared" si="1"/>
        <v/>
      </c>
      <c r="F1088" s="16">
        <f t="shared" si="2"/>
        <v>0</v>
      </c>
      <c r="G1088" s="16">
        <f>IF(D1088&lt;=mortTerm, -PMT(mortRate/12, mortTerm*12, C1088)*12, 0)
</f>
        <v>0</v>
      </c>
      <c r="H1088" s="16">
        <f>IF(D1088&lt;=mortTerm, G1088 - I1088, 0)
</f>
        <v>0</v>
      </c>
      <c r="I1088" s="16">
        <f>IF(D1088&lt;=mortTerm, F1088 - J1088, 0)
</f>
        <v>0</v>
      </c>
      <c r="J1088" s="16">
        <f>IF(D1088&lt;=mortTerm,
   F1088*(1+mortRate/12)^12 - (-PMT(mortRate/12, mortTerm*12, C1088))*(((1+mortRate/12)^12 - 1)/(mortRate/12)),
   0
)
</f>
        <v>0</v>
      </c>
      <c r="K1088" s="13" t="str">
        <f>IFERROR(__xludf.DUMMYFUNCTION("IF(A1088="""","""",
   IF(F1088&gt;0,
      INDEX(FILTER('RE Portfolio'!L$2:L2000,'RE Portfolio'!D$2:D2000=""BUY""), INT((ROW()-2)/amortYears)+1) - G1088,
      INDEX(FILTER('RE Portfolio'!L$2:L2000,'RE Portfolio'!D$2:D2000=""BUY""), INT((ROW()-2)/amortYears"&amp;")+1)
   )
)
"),"")</f>
        <v/>
      </c>
      <c r="L1088" s="15" t="str">
        <f>IFERROR(__xludf.DUMMYFUNCTION("IF(A1088="""","""",
  INDEX(FILTER('RE Portfolio'!C$2:C2000,'RE Portfolio'!D$2:D2000=""BUY""), INT((ROW()-2)/amortYears)+1)
  * (1 + VALUE(Assumptions!$B$11))^(D1088-1)
)
"),"")</f>
        <v/>
      </c>
    </row>
    <row r="1089">
      <c r="A1089" s="15" t="str">
        <f>IFERROR(__xludf.DUMMYFUNCTION("IFERROR(INDEX(FILTER('RE Portfolio'!A$2:A2000,'RE Portfolio'!D$2:D2000=""BUY""), INT((ROW()-2)/amortYears)+1), )
"),"")</f>
        <v/>
      </c>
      <c r="B1089" s="15" t="str">
        <f>IFERROR(__xludf.DUMMYFUNCTION("IFERROR(INDEX(FILTER('RE Portfolio'!B$2:B2000,'RE Portfolio'!D$2:D2000=""BUY""), INT((ROW()-2)/amortYears)+1), )
"),"")</f>
        <v/>
      </c>
      <c r="C1089" s="15" t="str">
        <f>IFERROR(__xludf.DUMMYFUNCTION("IFERROR(INDEX(FILTER('RE Portfolio'!G$2:G2000,'RE Portfolio'!D$2:D2000=""BUY""), INT((ROW()-2)/amortYears)+1), )
"),"")</f>
        <v/>
      </c>
      <c r="D1089" s="15">
        <f>MOD(ROW()-2, amortYears)+1</f>
        <v>24</v>
      </c>
      <c r="E1089" s="15" t="str">
        <f t="shared" si="1"/>
        <v/>
      </c>
      <c r="F1089" s="16">
        <f t="shared" si="2"/>
        <v>0</v>
      </c>
      <c r="G1089" s="16">
        <f>IF(D1089&lt;=mortTerm, -PMT(mortRate/12, mortTerm*12, C1089)*12, 0)
</f>
        <v>0</v>
      </c>
      <c r="H1089" s="16">
        <f>IF(D1089&lt;=mortTerm, G1089 - I1089, 0)
</f>
        <v>0</v>
      </c>
      <c r="I1089" s="16">
        <f>IF(D1089&lt;=mortTerm, F1089 - J1089, 0)
</f>
        <v>0</v>
      </c>
      <c r="J1089" s="16">
        <f>IF(D1089&lt;=mortTerm,
   F1089*(1+mortRate/12)^12 - (-PMT(mortRate/12, mortTerm*12, C1089))*(((1+mortRate/12)^12 - 1)/(mortRate/12)),
   0
)
</f>
        <v>0</v>
      </c>
      <c r="K1089" s="13" t="str">
        <f>IFERROR(__xludf.DUMMYFUNCTION("IF(A1089="""","""",
   IF(F1089&gt;0,
      INDEX(FILTER('RE Portfolio'!L$2:L2000,'RE Portfolio'!D$2:D2000=""BUY""), INT((ROW()-2)/amortYears)+1) - G1089,
      INDEX(FILTER('RE Portfolio'!L$2:L2000,'RE Portfolio'!D$2:D2000=""BUY""), INT((ROW()-2)/amortYears"&amp;")+1)
   )
)
"),"")</f>
        <v/>
      </c>
      <c r="L1089" s="15" t="str">
        <f>IFERROR(__xludf.DUMMYFUNCTION("IF(A1089="""","""",
  INDEX(FILTER('RE Portfolio'!C$2:C2000,'RE Portfolio'!D$2:D2000=""BUY""), INT((ROW()-2)/amortYears)+1)
  * (1 + VALUE(Assumptions!$B$11))^(D1089-1)
)
"),"")</f>
        <v/>
      </c>
    </row>
    <row r="1090">
      <c r="A1090" s="15" t="str">
        <f>IFERROR(__xludf.DUMMYFUNCTION("IFERROR(INDEX(FILTER('RE Portfolio'!A$2:A2000,'RE Portfolio'!D$2:D2000=""BUY""), INT((ROW()-2)/amortYears)+1), )
"),"")</f>
        <v/>
      </c>
      <c r="B1090" s="15" t="str">
        <f>IFERROR(__xludf.DUMMYFUNCTION("IFERROR(INDEX(FILTER('RE Portfolio'!B$2:B2000,'RE Portfolio'!D$2:D2000=""BUY""), INT((ROW()-2)/amortYears)+1), )
"),"")</f>
        <v/>
      </c>
      <c r="C1090" s="15" t="str">
        <f>IFERROR(__xludf.DUMMYFUNCTION("IFERROR(INDEX(FILTER('RE Portfolio'!G$2:G2000,'RE Portfolio'!D$2:D2000=""BUY""), INT((ROW()-2)/amortYears)+1), )
"),"")</f>
        <v/>
      </c>
      <c r="D1090" s="15">
        <f>MOD(ROW()-2, amortYears)+1</f>
        <v>25</v>
      </c>
      <c r="E1090" s="15" t="str">
        <f t="shared" si="1"/>
        <v/>
      </c>
      <c r="F1090" s="16">
        <f t="shared" si="2"/>
        <v>0</v>
      </c>
      <c r="G1090" s="16">
        <f>IF(D1090&lt;=mortTerm, -PMT(mortRate/12, mortTerm*12, C1090)*12, 0)
</f>
        <v>0</v>
      </c>
      <c r="H1090" s="16">
        <f>IF(D1090&lt;=mortTerm, G1090 - I1090, 0)
</f>
        <v>0</v>
      </c>
      <c r="I1090" s="16">
        <f>IF(D1090&lt;=mortTerm, F1090 - J1090, 0)
</f>
        <v>0</v>
      </c>
      <c r="J1090" s="16">
        <f>IF(D1090&lt;=mortTerm,
   F1090*(1+mortRate/12)^12 - (-PMT(mortRate/12, mortTerm*12, C1090))*(((1+mortRate/12)^12 - 1)/(mortRate/12)),
   0
)
</f>
        <v>0</v>
      </c>
      <c r="K1090" s="13" t="str">
        <f>IFERROR(__xludf.DUMMYFUNCTION("IF(A1090="""","""",
   IF(F1090&gt;0,
      INDEX(FILTER('RE Portfolio'!L$2:L2000,'RE Portfolio'!D$2:D2000=""BUY""), INT((ROW()-2)/amortYears)+1) - G1090,
      INDEX(FILTER('RE Portfolio'!L$2:L2000,'RE Portfolio'!D$2:D2000=""BUY""), INT((ROW()-2)/amortYears"&amp;")+1)
   )
)
"),"")</f>
        <v/>
      </c>
      <c r="L1090" s="15" t="str">
        <f>IFERROR(__xludf.DUMMYFUNCTION("IF(A1090="""","""",
  INDEX(FILTER('RE Portfolio'!C$2:C2000,'RE Portfolio'!D$2:D2000=""BUY""), INT((ROW()-2)/amortYears)+1)
  * (1 + VALUE(Assumptions!$B$11))^(D1090-1)
)
"),"")</f>
        <v/>
      </c>
    </row>
    <row r="1091">
      <c r="A1091" s="15" t="str">
        <f>IFERROR(__xludf.DUMMYFUNCTION("IFERROR(INDEX(FILTER('RE Portfolio'!A$2:A2000,'RE Portfolio'!D$2:D2000=""BUY""), INT((ROW()-2)/amortYears)+1), )
"),"")</f>
        <v/>
      </c>
      <c r="B1091" s="15" t="str">
        <f>IFERROR(__xludf.DUMMYFUNCTION("IFERROR(INDEX(FILTER('RE Portfolio'!B$2:B2000,'RE Portfolio'!D$2:D2000=""BUY""), INT((ROW()-2)/amortYears)+1), )
"),"")</f>
        <v/>
      </c>
      <c r="C1091" s="15" t="str">
        <f>IFERROR(__xludf.DUMMYFUNCTION("IFERROR(INDEX(FILTER('RE Portfolio'!G$2:G2000,'RE Portfolio'!D$2:D2000=""BUY""), INT((ROW()-2)/amortYears)+1), )
"),"")</f>
        <v/>
      </c>
      <c r="D1091" s="15">
        <f>MOD(ROW()-2, amortYears)+1</f>
        <v>26</v>
      </c>
      <c r="E1091" s="15" t="str">
        <f t="shared" si="1"/>
        <v/>
      </c>
      <c r="F1091" s="16">
        <f t="shared" si="2"/>
        <v>0</v>
      </c>
      <c r="G1091" s="16">
        <f>IF(D1091&lt;=mortTerm, -PMT(mortRate/12, mortTerm*12, C1091)*12, 0)
</f>
        <v>0</v>
      </c>
      <c r="H1091" s="16">
        <f>IF(D1091&lt;=mortTerm, G1091 - I1091, 0)
</f>
        <v>0</v>
      </c>
      <c r="I1091" s="16">
        <f>IF(D1091&lt;=mortTerm, F1091 - J1091, 0)
</f>
        <v>0</v>
      </c>
      <c r="J1091" s="16">
        <f>IF(D1091&lt;=mortTerm,
   F1091*(1+mortRate/12)^12 - (-PMT(mortRate/12, mortTerm*12, C1091))*(((1+mortRate/12)^12 - 1)/(mortRate/12)),
   0
)
</f>
        <v>0</v>
      </c>
      <c r="K1091" s="13" t="str">
        <f>IFERROR(__xludf.DUMMYFUNCTION("IF(A1091="""","""",
   IF(F1091&gt;0,
      INDEX(FILTER('RE Portfolio'!L$2:L2000,'RE Portfolio'!D$2:D2000=""BUY""), INT((ROW()-2)/amortYears)+1) - G1091,
      INDEX(FILTER('RE Portfolio'!L$2:L2000,'RE Portfolio'!D$2:D2000=""BUY""), INT((ROW()-2)/amortYears"&amp;")+1)
   )
)
"),"")</f>
        <v/>
      </c>
      <c r="L1091" s="15" t="str">
        <f>IFERROR(__xludf.DUMMYFUNCTION("IF(A1091="""","""",
  INDEX(FILTER('RE Portfolio'!C$2:C2000,'RE Portfolio'!D$2:D2000=""BUY""), INT((ROW()-2)/amortYears)+1)
  * (1 + VALUE(Assumptions!$B$11))^(D1091-1)
)
"),"")</f>
        <v/>
      </c>
    </row>
    <row r="1092">
      <c r="A1092" s="15" t="str">
        <f>IFERROR(__xludf.DUMMYFUNCTION("IFERROR(INDEX(FILTER('RE Portfolio'!A$2:A2000,'RE Portfolio'!D$2:D2000=""BUY""), INT((ROW()-2)/amortYears)+1), )
"),"")</f>
        <v/>
      </c>
      <c r="B1092" s="15" t="str">
        <f>IFERROR(__xludf.DUMMYFUNCTION("IFERROR(INDEX(FILTER('RE Portfolio'!B$2:B2000,'RE Portfolio'!D$2:D2000=""BUY""), INT((ROW()-2)/amortYears)+1), )
"),"")</f>
        <v/>
      </c>
      <c r="C1092" s="15" t="str">
        <f>IFERROR(__xludf.DUMMYFUNCTION("IFERROR(INDEX(FILTER('RE Portfolio'!G$2:G2000,'RE Portfolio'!D$2:D2000=""BUY""), INT((ROW()-2)/amortYears)+1), )
"),"")</f>
        <v/>
      </c>
      <c r="D1092" s="15">
        <f>MOD(ROW()-2, amortYears)+1</f>
        <v>27</v>
      </c>
      <c r="E1092" s="15" t="str">
        <f t="shared" si="1"/>
        <v/>
      </c>
      <c r="F1092" s="16">
        <f t="shared" si="2"/>
        <v>0</v>
      </c>
      <c r="G1092" s="16">
        <f>IF(D1092&lt;=mortTerm, -PMT(mortRate/12, mortTerm*12, C1092)*12, 0)
</f>
        <v>0</v>
      </c>
      <c r="H1092" s="16">
        <f>IF(D1092&lt;=mortTerm, G1092 - I1092, 0)
</f>
        <v>0</v>
      </c>
      <c r="I1092" s="16">
        <f>IF(D1092&lt;=mortTerm, F1092 - J1092, 0)
</f>
        <v>0</v>
      </c>
      <c r="J1092" s="16">
        <f>IF(D1092&lt;=mortTerm,
   F1092*(1+mortRate/12)^12 - (-PMT(mortRate/12, mortTerm*12, C1092))*(((1+mortRate/12)^12 - 1)/(mortRate/12)),
   0
)
</f>
        <v>0</v>
      </c>
      <c r="K1092" s="13" t="str">
        <f>IFERROR(__xludf.DUMMYFUNCTION("IF(A1092="""","""",
   IF(F1092&gt;0,
      INDEX(FILTER('RE Portfolio'!L$2:L2000,'RE Portfolio'!D$2:D2000=""BUY""), INT((ROW()-2)/amortYears)+1) - G1092,
      INDEX(FILTER('RE Portfolio'!L$2:L2000,'RE Portfolio'!D$2:D2000=""BUY""), INT((ROW()-2)/amortYears"&amp;")+1)
   )
)
"),"")</f>
        <v/>
      </c>
      <c r="L1092" s="15" t="str">
        <f>IFERROR(__xludf.DUMMYFUNCTION("IF(A1092="""","""",
  INDEX(FILTER('RE Portfolio'!C$2:C2000,'RE Portfolio'!D$2:D2000=""BUY""), INT((ROW()-2)/amortYears)+1)
  * (1 + VALUE(Assumptions!$B$11))^(D1092-1)
)
"),"")</f>
        <v/>
      </c>
    </row>
    <row r="1093">
      <c r="A1093" s="15" t="str">
        <f>IFERROR(__xludf.DUMMYFUNCTION("IFERROR(INDEX(FILTER('RE Portfolio'!A$2:A2000,'RE Portfolio'!D$2:D2000=""BUY""), INT((ROW()-2)/amortYears)+1), )
"),"")</f>
        <v/>
      </c>
      <c r="B1093" s="15" t="str">
        <f>IFERROR(__xludf.DUMMYFUNCTION("IFERROR(INDEX(FILTER('RE Portfolio'!B$2:B2000,'RE Portfolio'!D$2:D2000=""BUY""), INT((ROW()-2)/amortYears)+1), )
"),"")</f>
        <v/>
      </c>
      <c r="C1093" s="15" t="str">
        <f>IFERROR(__xludf.DUMMYFUNCTION("IFERROR(INDEX(FILTER('RE Portfolio'!G$2:G2000,'RE Portfolio'!D$2:D2000=""BUY""), INT((ROW()-2)/amortYears)+1), )
"),"")</f>
        <v/>
      </c>
      <c r="D1093" s="15">
        <f>MOD(ROW()-2, amortYears)+1</f>
        <v>28</v>
      </c>
      <c r="E1093" s="15" t="str">
        <f t="shared" si="1"/>
        <v/>
      </c>
      <c r="F1093" s="16">
        <f t="shared" si="2"/>
        <v>0</v>
      </c>
      <c r="G1093" s="16">
        <f>IF(D1093&lt;=mortTerm, -PMT(mortRate/12, mortTerm*12, C1093)*12, 0)
</f>
        <v>0</v>
      </c>
      <c r="H1093" s="16">
        <f>IF(D1093&lt;=mortTerm, G1093 - I1093, 0)
</f>
        <v>0</v>
      </c>
      <c r="I1093" s="16">
        <f>IF(D1093&lt;=mortTerm, F1093 - J1093, 0)
</f>
        <v>0</v>
      </c>
      <c r="J1093" s="16">
        <f>IF(D1093&lt;=mortTerm,
   F1093*(1+mortRate/12)^12 - (-PMT(mortRate/12, mortTerm*12, C1093))*(((1+mortRate/12)^12 - 1)/(mortRate/12)),
   0
)
</f>
        <v>0</v>
      </c>
      <c r="K1093" s="13" t="str">
        <f>IFERROR(__xludf.DUMMYFUNCTION("IF(A1093="""","""",
   IF(F1093&gt;0,
      INDEX(FILTER('RE Portfolio'!L$2:L2000,'RE Portfolio'!D$2:D2000=""BUY""), INT((ROW()-2)/amortYears)+1) - G1093,
      INDEX(FILTER('RE Portfolio'!L$2:L2000,'RE Portfolio'!D$2:D2000=""BUY""), INT((ROW()-2)/amortYears"&amp;")+1)
   )
)
"),"")</f>
        <v/>
      </c>
      <c r="L1093" s="15" t="str">
        <f>IFERROR(__xludf.DUMMYFUNCTION("IF(A1093="""","""",
  INDEX(FILTER('RE Portfolio'!C$2:C2000,'RE Portfolio'!D$2:D2000=""BUY""), INT((ROW()-2)/amortYears)+1)
  * (1 + VALUE(Assumptions!$B$11))^(D1093-1)
)
"),"")</f>
        <v/>
      </c>
    </row>
    <row r="1094">
      <c r="A1094" s="15" t="str">
        <f>IFERROR(__xludf.DUMMYFUNCTION("IFERROR(INDEX(FILTER('RE Portfolio'!A$2:A2000,'RE Portfolio'!D$2:D2000=""BUY""), INT((ROW()-2)/amortYears)+1), )
"),"")</f>
        <v/>
      </c>
      <c r="B1094" s="15" t="str">
        <f>IFERROR(__xludf.DUMMYFUNCTION("IFERROR(INDEX(FILTER('RE Portfolio'!B$2:B2000,'RE Portfolio'!D$2:D2000=""BUY""), INT((ROW()-2)/amortYears)+1), )
"),"")</f>
        <v/>
      </c>
      <c r="C1094" s="15" t="str">
        <f>IFERROR(__xludf.DUMMYFUNCTION("IFERROR(INDEX(FILTER('RE Portfolio'!G$2:G2000,'RE Portfolio'!D$2:D2000=""BUY""), INT((ROW()-2)/amortYears)+1), )
"),"")</f>
        <v/>
      </c>
      <c r="D1094" s="15">
        <f>MOD(ROW()-2, amortYears)+1</f>
        <v>29</v>
      </c>
      <c r="E1094" s="15" t="str">
        <f t="shared" si="1"/>
        <v/>
      </c>
      <c r="F1094" s="16">
        <f t="shared" si="2"/>
        <v>0</v>
      </c>
      <c r="G1094" s="16">
        <f>IF(D1094&lt;=mortTerm, -PMT(mortRate/12, mortTerm*12, C1094)*12, 0)
</f>
        <v>0</v>
      </c>
      <c r="H1094" s="16">
        <f>IF(D1094&lt;=mortTerm, G1094 - I1094, 0)
</f>
        <v>0</v>
      </c>
      <c r="I1094" s="16">
        <f>IF(D1094&lt;=mortTerm, F1094 - J1094, 0)
</f>
        <v>0</v>
      </c>
      <c r="J1094" s="16">
        <f>IF(D1094&lt;=mortTerm,
   F1094*(1+mortRate/12)^12 - (-PMT(mortRate/12, mortTerm*12, C1094))*(((1+mortRate/12)^12 - 1)/(mortRate/12)),
   0
)
</f>
        <v>0</v>
      </c>
      <c r="K1094" s="13" t="str">
        <f>IFERROR(__xludf.DUMMYFUNCTION("IF(A1094="""","""",
   IF(F1094&gt;0,
      INDEX(FILTER('RE Portfolio'!L$2:L2000,'RE Portfolio'!D$2:D2000=""BUY""), INT((ROW()-2)/amortYears)+1) - G1094,
      INDEX(FILTER('RE Portfolio'!L$2:L2000,'RE Portfolio'!D$2:D2000=""BUY""), INT((ROW()-2)/amortYears"&amp;")+1)
   )
)
"),"")</f>
        <v/>
      </c>
      <c r="L1094" s="15" t="str">
        <f>IFERROR(__xludf.DUMMYFUNCTION("IF(A1094="""","""",
  INDEX(FILTER('RE Portfolio'!C$2:C2000,'RE Portfolio'!D$2:D2000=""BUY""), INT((ROW()-2)/amortYears)+1)
  * (1 + VALUE(Assumptions!$B$11))^(D1094-1)
)
"),"")</f>
        <v/>
      </c>
    </row>
    <row r="1095">
      <c r="A1095" s="15" t="str">
        <f>IFERROR(__xludf.DUMMYFUNCTION("IFERROR(INDEX(FILTER('RE Portfolio'!A$2:A2000,'RE Portfolio'!D$2:D2000=""BUY""), INT((ROW()-2)/amortYears)+1), )
"),"")</f>
        <v/>
      </c>
      <c r="B1095" s="15" t="str">
        <f>IFERROR(__xludf.DUMMYFUNCTION("IFERROR(INDEX(FILTER('RE Portfolio'!B$2:B2000,'RE Portfolio'!D$2:D2000=""BUY""), INT((ROW()-2)/amortYears)+1), )
"),"")</f>
        <v/>
      </c>
      <c r="C1095" s="15" t="str">
        <f>IFERROR(__xludf.DUMMYFUNCTION("IFERROR(INDEX(FILTER('RE Portfolio'!G$2:G2000,'RE Portfolio'!D$2:D2000=""BUY""), INT((ROW()-2)/amortYears)+1), )
"),"")</f>
        <v/>
      </c>
      <c r="D1095" s="15">
        <f>MOD(ROW()-2, amortYears)+1</f>
        <v>30</v>
      </c>
      <c r="E1095" s="15" t="str">
        <f t="shared" si="1"/>
        <v/>
      </c>
      <c r="F1095" s="16">
        <f t="shared" si="2"/>
        <v>0</v>
      </c>
      <c r="G1095" s="16">
        <f>IF(D1095&lt;=mortTerm, -PMT(mortRate/12, mortTerm*12, C1095)*12, 0)
</f>
        <v>0</v>
      </c>
      <c r="H1095" s="16">
        <f>IF(D1095&lt;=mortTerm, G1095 - I1095, 0)
</f>
        <v>0</v>
      </c>
      <c r="I1095" s="16">
        <f>IF(D1095&lt;=mortTerm, F1095 - J1095, 0)
</f>
        <v>0</v>
      </c>
      <c r="J1095" s="16">
        <f>IF(D1095&lt;=mortTerm,
   F1095*(1+mortRate/12)^12 - (-PMT(mortRate/12, mortTerm*12, C1095))*(((1+mortRate/12)^12 - 1)/(mortRate/12)),
   0
)
</f>
        <v>0</v>
      </c>
      <c r="K1095" s="13" t="str">
        <f>IFERROR(__xludf.DUMMYFUNCTION("IF(A1095="""","""",
   IF(F1095&gt;0,
      INDEX(FILTER('RE Portfolio'!L$2:L2000,'RE Portfolio'!D$2:D2000=""BUY""), INT((ROW()-2)/amortYears)+1) - G1095,
      INDEX(FILTER('RE Portfolio'!L$2:L2000,'RE Portfolio'!D$2:D2000=""BUY""), INT((ROW()-2)/amortYears"&amp;")+1)
   )
)
"),"")</f>
        <v/>
      </c>
      <c r="L1095" s="15" t="str">
        <f>IFERROR(__xludf.DUMMYFUNCTION("IF(A1095="""","""",
  INDEX(FILTER('RE Portfolio'!C$2:C2000,'RE Portfolio'!D$2:D2000=""BUY""), INT((ROW()-2)/amortYears)+1)
  * (1 + VALUE(Assumptions!$B$11))^(D1095-1)
)
"),"")</f>
        <v/>
      </c>
    </row>
    <row r="1096">
      <c r="A1096" s="15" t="str">
        <f>IFERROR(__xludf.DUMMYFUNCTION("IFERROR(INDEX(FILTER('RE Portfolio'!A$2:A2000,'RE Portfolio'!D$2:D2000=""BUY""), INT((ROW()-2)/amortYears)+1), )
"),"")</f>
        <v/>
      </c>
      <c r="B1096" s="15" t="str">
        <f>IFERROR(__xludf.DUMMYFUNCTION("IFERROR(INDEX(FILTER('RE Portfolio'!B$2:B2000,'RE Portfolio'!D$2:D2000=""BUY""), INT((ROW()-2)/amortYears)+1), )
"),"")</f>
        <v/>
      </c>
      <c r="C1096" s="15" t="str">
        <f>IFERROR(__xludf.DUMMYFUNCTION("IFERROR(INDEX(FILTER('RE Portfolio'!G$2:G2000,'RE Portfolio'!D$2:D2000=""BUY""), INT((ROW()-2)/amortYears)+1), )
"),"")</f>
        <v/>
      </c>
      <c r="D1096" s="15">
        <f>MOD(ROW()-2, amortYears)+1</f>
        <v>31</v>
      </c>
      <c r="E1096" s="15" t="str">
        <f t="shared" si="1"/>
        <v/>
      </c>
      <c r="F1096" s="16">
        <f t="shared" si="2"/>
        <v>0</v>
      </c>
      <c r="G1096" s="15">
        <f>IF(D1096&lt;=mortTerm, -PMT(mortRate/12, mortTerm*12, C1096)*12, 0)
</f>
        <v>0</v>
      </c>
      <c r="H1096" s="15">
        <f>IF(D1096&lt;=mortTerm, G1096 - I1096, 0)
</f>
        <v>0</v>
      </c>
      <c r="I1096" s="15">
        <f>IF(D1096&lt;=mortTerm, F1096 - J1096, 0)
</f>
        <v>0</v>
      </c>
      <c r="J1096" s="15">
        <f>IF(D1096&lt;=mortTerm,
   F1096*(1+mortRate/12)^12 - (-PMT(mortRate/12, mortTerm*12, C1096))*(((1+mortRate/12)^12 - 1)/(mortRate/12)),
   0
)
</f>
        <v>0</v>
      </c>
      <c r="K1096" s="13" t="str">
        <f>IFERROR(__xludf.DUMMYFUNCTION("IF(A1096="""","""",
   IF(F1096&gt;0,
      INDEX(FILTER('RE Portfolio'!L$2:L2000,'RE Portfolio'!D$2:D2000=""BUY""), INT((ROW()-2)/amortYears)+1) - G1096,
      INDEX(FILTER('RE Portfolio'!L$2:L2000,'RE Portfolio'!D$2:D2000=""BUY""), INT((ROW()-2)/amortYears"&amp;")+1)
   )
)
"),"")</f>
        <v/>
      </c>
      <c r="L1096" s="15" t="str">
        <f>IFERROR(__xludf.DUMMYFUNCTION("IF(A1096="""","""",
  INDEX(FILTER('RE Portfolio'!C$2:C2000,'RE Portfolio'!D$2:D2000=""BUY""), INT((ROW()-2)/amortYears)+1)
  * (1 + VALUE(Assumptions!$B$11))^(D1096-1)
)
"),"")</f>
        <v/>
      </c>
    </row>
    <row r="1097">
      <c r="A1097" s="15" t="str">
        <f>IFERROR(__xludf.DUMMYFUNCTION("IFERROR(INDEX(FILTER('RE Portfolio'!A$2:A2000,'RE Portfolio'!D$2:D2000=""BUY""), INT((ROW()-2)/amortYears)+1), )
"),"")</f>
        <v/>
      </c>
      <c r="B1097" s="15" t="str">
        <f>IFERROR(__xludf.DUMMYFUNCTION("IFERROR(INDEX(FILTER('RE Portfolio'!B$2:B2000,'RE Portfolio'!D$2:D2000=""BUY""), INT((ROW()-2)/amortYears)+1), )
"),"")</f>
        <v/>
      </c>
      <c r="C1097" s="15" t="str">
        <f>IFERROR(__xludf.DUMMYFUNCTION("IFERROR(INDEX(FILTER('RE Portfolio'!G$2:G2000,'RE Portfolio'!D$2:D2000=""BUY""), INT((ROW()-2)/amortYears)+1), )
"),"")</f>
        <v/>
      </c>
      <c r="D1097" s="15">
        <f>MOD(ROW()-2, amortYears)+1</f>
        <v>32</v>
      </c>
      <c r="E1097" s="15" t="str">
        <f t="shared" si="1"/>
        <v/>
      </c>
      <c r="F1097" s="15">
        <f t="shared" si="2"/>
        <v>0</v>
      </c>
      <c r="G1097" s="15">
        <f>IF(D1097&lt;=mortTerm, -PMT(mortRate/12, mortTerm*12, C1097)*12, 0)
</f>
        <v>0</v>
      </c>
      <c r="H1097" s="15">
        <f>IF(D1097&lt;=mortTerm, G1097 - I1097, 0)
</f>
        <v>0</v>
      </c>
      <c r="I1097" s="15">
        <f>IF(D1097&lt;=mortTerm, F1097 - J1097, 0)
</f>
        <v>0</v>
      </c>
      <c r="J1097" s="15">
        <f>IF(D1097&lt;=mortTerm,
   F1097*(1+mortRate/12)^12 - (-PMT(mortRate/12, mortTerm*12, C1097))*(((1+mortRate/12)^12 - 1)/(mortRate/12)),
   0
)
</f>
        <v>0</v>
      </c>
      <c r="K1097" s="13" t="str">
        <f>IFERROR(__xludf.DUMMYFUNCTION("IF(A1097="""","""",
   IF(F1097&gt;0,
      INDEX(FILTER('RE Portfolio'!L$2:L2000,'RE Portfolio'!D$2:D2000=""BUY""), INT((ROW()-2)/amortYears)+1) - G1097,
      INDEX(FILTER('RE Portfolio'!L$2:L2000,'RE Portfolio'!D$2:D2000=""BUY""), INT((ROW()-2)/amortYears"&amp;")+1)
   )
)
"),"")</f>
        <v/>
      </c>
      <c r="L1097" s="15" t="str">
        <f>IFERROR(__xludf.DUMMYFUNCTION("IF(A1097="""","""",
  INDEX(FILTER('RE Portfolio'!C$2:C2000,'RE Portfolio'!D$2:D2000=""BUY""), INT((ROW()-2)/amortYears)+1)
  * (1 + VALUE(Assumptions!$B$11))^(D1097-1)
)
"),"")</f>
        <v/>
      </c>
    </row>
    <row r="1098">
      <c r="A1098" s="15" t="str">
        <f>IFERROR(__xludf.DUMMYFUNCTION("IFERROR(INDEX(FILTER('RE Portfolio'!A$2:A2000,'RE Portfolio'!D$2:D2000=""BUY""), INT((ROW()-2)/amortYears)+1), )
"),"")</f>
        <v/>
      </c>
      <c r="B1098" s="15" t="str">
        <f>IFERROR(__xludf.DUMMYFUNCTION("IFERROR(INDEX(FILTER('RE Portfolio'!B$2:B2000,'RE Portfolio'!D$2:D2000=""BUY""), INT((ROW()-2)/amortYears)+1), )
"),"")</f>
        <v/>
      </c>
      <c r="C1098" s="15" t="str">
        <f>IFERROR(__xludf.DUMMYFUNCTION("IFERROR(INDEX(FILTER('RE Portfolio'!G$2:G2000,'RE Portfolio'!D$2:D2000=""BUY""), INT((ROW()-2)/amortYears)+1), )
"),"")</f>
        <v/>
      </c>
      <c r="D1098" s="15">
        <f>MOD(ROW()-2, amortYears)+1</f>
        <v>33</v>
      </c>
      <c r="E1098" s="15" t="str">
        <f t="shared" si="1"/>
        <v/>
      </c>
      <c r="F1098" s="15">
        <f t="shared" si="2"/>
        <v>0</v>
      </c>
      <c r="G1098" s="15">
        <f>IF(D1098&lt;=mortTerm, -PMT(mortRate/12, mortTerm*12, C1098)*12, 0)
</f>
        <v>0</v>
      </c>
      <c r="H1098" s="15">
        <f>IF(D1098&lt;=mortTerm, G1098 - I1098, 0)
</f>
        <v>0</v>
      </c>
      <c r="I1098" s="15">
        <f>IF(D1098&lt;=mortTerm, F1098 - J1098, 0)
</f>
        <v>0</v>
      </c>
      <c r="J1098" s="15">
        <f>IF(D1098&lt;=mortTerm,
   F1098*(1+mortRate/12)^12 - (-PMT(mortRate/12, mortTerm*12, C1098))*(((1+mortRate/12)^12 - 1)/(mortRate/12)),
   0
)
</f>
        <v>0</v>
      </c>
      <c r="K1098" s="13" t="str">
        <f>IFERROR(__xludf.DUMMYFUNCTION("IF(A1098="""","""",
   IF(F1098&gt;0,
      INDEX(FILTER('RE Portfolio'!L$2:L2000,'RE Portfolio'!D$2:D2000=""BUY""), INT((ROW()-2)/amortYears)+1) - G1098,
      INDEX(FILTER('RE Portfolio'!L$2:L2000,'RE Portfolio'!D$2:D2000=""BUY""), INT((ROW()-2)/amortYears"&amp;")+1)
   )
)
"),"")</f>
        <v/>
      </c>
      <c r="L1098" s="15" t="str">
        <f>IFERROR(__xludf.DUMMYFUNCTION("IF(A1098="""","""",
  INDEX(FILTER('RE Portfolio'!C$2:C2000,'RE Portfolio'!D$2:D2000=""BUY""), INT((ROW()-2)/amortYears)+1)
  * (1 + VALUE(Assumptions!$B$11))^(D1098-1)
)
"),"")</f>
        <v/>
      </c>
    </row>
    <row r="1099">
      <c r="A1099" s="15" t="str">
        <f>IFERROR(__xludf.DUMMYFUNCTION("IFERROR(INDEX(FILTER('RE Portfolio'!A$2:A2000,'RE Portfolio'!D$2:D2000=""BUY""), INT((ROW()-2)/amortYears)+1), )
"),"")</f>
        <v/>
      </c>
      <c r="B1099" s="15" t="str">
        <f>IFERROR(__xludf.DUMMYFUNCTION("IFERROR(INDEX(FILTER('RE Portfolio'!B$2:B2000,'RE Portfolio'!D$2:D2000=""BUY""), INT((ROW()-2)/amortYears)+1), )
"),"")</f>
        <v/>
      </c>
      <c r="C1099" s="15" t="str">
        <f>IFERROR(__xludf.DUMMYFUNCTION("IFERROR(INDEX(FILTER('RE Portfolio'!G$2:G2000,'RE Portfolio'!D$2:D2000=""BUY""), INT((ROW()-2)/amortYears)+1), )
"),"")</f>
        <v/>
      </c>
      <c r="D1099" s="15">
        <f>MOD(ROW()-2, amortYears)+1</f>
        <v>34</v>
      </c>
      <c r="E1099" s="15" t="str">
        <f t="shared" si="1"/>
        <v/>
      </c>
      <c r="F1099" s="15">
        <f t="shared" si="2"/>
        <v>0</v>
      </c>
      <c r="G1099" s="15">
        <f>IF(D1099&lt;=mortTerm, -PMT(mortRate/12, mortTerm*12, C1099)*12, 0)
</f>
        <v>0</v>
      </c>
      <c r="H1099" s="15">
        <f>IF(D1099&lt;=mortTerm, G1099 - I1099, 0)
</f>
        <v>0</v>
      </c>
      <c r="I1099" s="15">
        <f>IF(D1099&lt;=mortTerm, F1099 - J1099, 0)
</f>
        <v>0</v>
      </c>
      <c r="J1099" s="15">
        <f>IF(D1099&lt;=mortTerm,
   F1099*(1+mortRate/12)^12 - (-PMT(mortRate/12, mortTerm*12, C1099))*(((1+mortRate/12)^12 - 1)/(mortRate/12)),
   0
)
</f>
        <v>0</v>
      </c>
      <c r="K1099" s="13" t="str">
        <f>IFERROR(__xludf.DUMMYFUNCTION("IF(A1099="""","""",
   IF(F1099&gt;0,
      INDEX(FILTER('RE Portfolio'!L$2:L2000,'RE Portfolio'!D$2:D2000=""BUY""), INT((ROW()-2)/amortYears)+1) - G1099,
      INDEX(FILTER('RE Portfolio'!L$2:L2000,'RE Portfolio'!D$2:D2000=""BUY""), INT((ROW()-2)/amortYears"&amp;")+1)
   )
)
"),"")</f>
        <v/>
      </c>
      <c r="L1099" s="15" t="str">
        <f>IFERROR(__xludf.DUMMYFUNCTION("IF(A1099="""","""",
  INDEX(FILTER('RE Portfolio'!C$2:C2000,'RE Portfolio'!D$2:D2000=""BUY""), INT((ROW()-2)/amortYears)+1)
  * (1 + VALUE(Assumptions!$B$11))^(D1099-1)
)
"),"")</f>
        <v/>
      </c>
    </row>
    <row r="1100">
      <c r="A1100" s="15" t="str">
        <f>IFERROR(__xludf.DUMMYFUNCTION("IFERROR(INDEX(FILTER('RE Portfolio'!A$2:A2000,'RE Portfolio'!D$2:D2000=""BUY""), INT((ROW()-2)/amortYears)+1), )
"),"")</f>
        <v/>
      </c>
      <c r="B1100" s="15" t="str">
        <f>IFERROR(__xludf.DUMMYFUNCTION("IFERROR(INDEX(FILTER('RE Portfolio'!B$2:B2000,'RE Portfolio'!D$2:D2000=""BUY""), INT((ROW()-2)/amortYears)+1), )
"),"")</f>
        <v/>
      </c>
      <c r="C1100" s="15" t="str">
        <f>IFERROR(__xludf.DUMMYFUNCTION("IFERROR(INDEX(FILTER('RE Portfolio'!G$2:G2000,'RE Portfolio'!D$2:D2000=""BUY""), INT((ROW()-2)/amortYears)+1), )
"),"")</f>
        <v/>
      </c>
      <c r="D1100" s="15">
        <f>MOD(ROW()-2, amortYears)+1</f>
        <v>35</v>
      </c>
      <c r="E1100" s="15" t="str">
        <f t="shared" si="1"/>
        <v/>
      </c>
      <c r="F1100" s="15">
        <f t="shared" si="2"/>
        <v>0</v>
      </c>
      <c r="G1100" s="15">
        <f>IF(D1100&lt;=mortTerm, -PMT(mortRate/12, mortTerm*12, C1100)*12, 0)
</f>
        <v>0</v>
      </c>
      <c r="H1100" s="15">
        <f>IF(D1100&lt;=mortTerm, G1100 - I1100, 0)
</f>
        <v>0</v>
      </c>
      <c r="I1100" s="15">
        <f>IF(D1100&lt;=mortTerm, F1100 - J1100, 0)
</f>
        <v>0</v>
      </c>
      <c r="J1100" s="15">
        <f>IF(D1100&lt;=mortTerm,
   F1100*(1+mortRate/12)^12 - (-PMT(mortRate/12, mortTerm*12, C1100))*(((1+mortRate/12)^12 - 1)/(mortRate/12)),
   0
)
</f>
        <v>0</v>
      </c>
      <c r="K1100" s="13" t="str">
        <f>IFERROR(__xludf.DUMMYFUNCTION("IF(A1100="""","""",
   IF(F1100&gt;0,
      INDEX(FILTER('RE Portfolio'!L$2:L2000,'RE Portfolio'!D$2:D2000=""BUY""), INT((ROW()-2)/amortYears)+1) - G1100,
      INDEX(FILTER('RE Portfolio'!L$2:L2000,'RE Portfolio'!D$2:D2000=""BUY""), INT((ROW()-2)/amortYears"&amp;")+1)
   )
)
"),"")</f>
        <v/>
      </c>
      <c r="L1100" s="15" t="str">
        <f>IFERROR(__xludf.DUMMYFUNCTION("IF(A1100="""","""",
  INDEX(FILTER('RE Portfolio'!C$2:C2000,'RE Portfolio'!D$2:D2000=""BUY""), INT((ROW()-2)/amortYears)+1)
  * (1 + VALUE(Assumptions!$B$11))^(D1100-1)
)
"),"")</f>
        <v/>
      </c>
    </row>
    <row r="1101">
      <c r="A1101" s="15" t="str">
        <f>IFERROR(__xludf.DUMMYFUNCTION("IFERROR(INDEX(FILTER('RE Portfolio'!A$2:A2000,'RE Portfolio'!D$2:D2000=""BUY""), INT((ROW()-2)/amortYears)+1), )
"),"")</f>
        <v/>
      </c>
      <c r="B1101" s="15" t="str">
        <f>IFERROR(__xludf.DUMMYFUNCTION("IFERROR(INDEX(FILTER('RE Portfolio'!B$2:B2000,'RE Portfolio'!D$2:D2000=""BUY""), INT((ROW()-2)/amortYears)+1), )
"),"")</f>
        <v/>
      </c>
      <c r="C1101" s="15" t="str">
        <f>IFERROR(__xludf.DUMMYFUNCTION("IFERROR(INDEX(FILTER('RE Portfolio'!G$2:G2000,'RE Portfolio'!D$2:D2000=""BUY""), INT((ROW()-2)/amortYears)+1), )
"),"")</f>
        <v/>
      </c>
      <c r="D1101" s="15">
        <f>MOD(ROW()-2, amortYears)+1</f>
        <v>36</v>
      </c>
      <c r="E1101" s="15" t="str">
        <f t="shared" si="1"/>
        <v/>
      </c>
      <c r="F1101" s="15">
        <f t="shared" si="2"/>
        <v>0</v>
      </c>
      <c r="G1101" s="15">
        <f>IF(D1101&lt;=mortTerm, -PMT(mortRate/12, mortTerm*12, C1101)*12, 0)
</f>
        <v>0</v>
      </c>
      <c r="H1101" s="15">
        <f>IF(D1101&lt;=mortTerm, G1101 - I1101, 0)
</f>
        <v>0</v>
      </c>
      <c r="I1101" s="15">
        <f>IF(D1101&lt;=mortTerm, F1101 - J1101, 0)
</f>
        <v>0</v>
      </c>
      <c r="J1101" s="15">
        <f>IF(D1101&lt;=mortTerm,
   F1101*(1+mortRate/12)^12 - (-PMT(mortRate/12, mortTerm*12, C1101))*(((1+mortRate/12)^12 - 1)/(mortRate/12)),
   0
)
</f>
        <v>0</v>
      </c>
      <c r="K1101" s="13" t="str">
        <f>IFERROR(__xludf.DUMMYFUNCTION("IF(A1101="""","""",
   IF(F1101&gt;0,
      INDEX(FILTER('RE Portfolio'!L$2:L2000,'RE Portfolio'!D$2:D2000=""BUY""), INT((ROW()-2)/amortYears)+1) - G1101,
      INDEX(FILTER('RE Portfolio'!L$2:L2000,'RE Portfolio'!D$2:D2000=""BUY""), INT((ROW()-2)/amortYears"&amp;")+1)
   )
)
"),"")</f>
        <v/>
      </c>
      <c r="L1101" s="15" t="str">
        <f>IFERROR(__xludf.DUMMYFUNCTION("IF(A1101="""","""",
  INDEX(FILTER('RE Portfolio'!C$2:C2000,'RE Portfolio'!D$2:D2000=""BUY""), INT((ROW()-2)/amortYears)+1)
  * (1 + VALUE(Assumptions!$B$11))^(D1101-1)
)
"),"")</f>
        <v/>
      </c>
    </row>
    <row r="1102">
      <c r="A1102" s="15" t="str">
        <f>IFERROR(__xludf.DUMMYFUNCTION("IFERROR(INDEX(FILTER('RE Portfolio'!A$2:A2000,'RE Portfolio'!D$2:D2000=""BUY""), INT((ROW()-2)/amortYears)+1), )
"),"")</f>
        <v/>
      </c>
      <c r="B1102" s="15" t="str">
        <f>IFERROR(__xludf.DUMMYFUNCTION("IFERROR(INDEX(FILTER('RE Portfolio'!B$2:B2000,'RE Portfolio'!D$2:D2000=""BUY""), INT((ROW()-2)/amortYears)+1), )
"),"")</f>
        <v/>
      </c>
      <c r="C1102" s="15" t="str">
        <f>IFERROR(__xludf.DUMMYFUNCTION("IFERROR(INDEX(FILTER('RE Portfolio'!G$2:G2000,'RE Portfolio'!D$2:D2000=""BUY""), INT((ROW()-2)/amortYears)+1), )
"),"")</f>
        <v/>
      </c>
      <c r="D1102" s="15">
        <f>MOD(ROW()-2, amortYears)+1</f>
        <v>37</v>
      </c>
      <c r="E1102" s="15" t="str">
        <f t="shared" si="1"/>
        <v/>
      </c>
      <c r="F1102" s="15">
        <f t="shared" si="2"/>
        <v>0</v>
      </c>
      <c r="G1102" s="15">
        <f>IF(D1102&lt;=mortTerm, -PMT(mortRate/12, mortTerm*12, C1102)*12, 0)
</f>
        <v>0</v>
      </c>
      <c r="H1102" s="15">
        <f>IF(D1102&lt;=mortTerm, G1102 - I1102, 0)
</f>
        <v>0</v>
      </c>
      <c r="I1102" s="15">
        <f>IF(D1102&lt;=mortTerm, F1102 - J1102, 0)
</f>
        <v>0</v>
      </c>
      <c r="J1102" s="15">
        <f>IF(D1102&lt;=mortTerm,
   F1102*(1+mortRate/12)^12 - (-PMT(mortRate/12, mortTerm*12, C1102))*(((1+mortRate/12)^12 - 1)/(mortRate/12)),
   0
)
</f>
        <v>0</v>
      </c>
      <c r="K1102" s="13" t="str">
        <f>IFERROR(__xludf.DUMMYFUNCTION("IF(A1102="""","""",
   IF(F1102&gt;0,
      INDEX(FILTER('RE Portfolio'!L$2:L2000,'RE Portfolio'!D$2:D2000=""BUY""), INT((ROW()-2)/amortYears)+1) - G1102,
      INDEX(FILTER('RE Portfolio'!L$2:L2000,'RE Portfolio'!D$2:D2000=""BUY""), INT((ROW()-2)/amortYears"&amp;")+1)
   )
)
"),"")</f>
        <v/>
      </c>
      <c r="L1102" s="15" t="str">
        <f>IFERROR(__xludf.DUMMYFUNCTION("IF(A1102="""","""",
  INDEX(FILTER('RE Portfolio'!C$2:C2000,'RE Portfolio'!D$2:D2000=""BUY""), INT((ROW()-2)/amortYears)+1)
  * (1 + VALUE(Assumptions!$B$11))^(D1102-1)
)
"),"")</f>
        <v/>
      </c>
    </row>
    <row r="1103">
      <c r="A1103" s="15" t="str">
        <f>IFERROR(__xludf.DUMMYFUNCTION("IFERROR(INDEX(FILTER('RE Portfolio'!A$2:A2000,'RE Portfolio'!D$2:D2000=""BUY""), INT((ROW()-2)/amortYears)+1), )
"),"")</f>
        <v/>
      </c>
      <c r="B1103" s="15" t="str">
        <f>IFERROR(__xludf.DUMMYFUNCTION("IFERROR(INDEX(FILTER('RE Portfolio'!B$2:B2000,'RE Portfolio'!D$2:D2000=""BUY""), INT((ROW()-2)/amortYears)+1), )
"),"")</f>
        <v/>
      </c>
      <c r="C1103" s="15" t="str">
        <f>IFERROR(__xludf.DUMMYFUNCTION("IFERROR(INDEX(FILTER('RE Portfolio'!G$2:G2000,'RE Portfolio'!D$2:D2000=""BUY""), INT((ROW()-2)/amortYears)+1), )
"),"")</f>
        <v/>
      </c>
      <c r="D1103" s="15">
        <f>MOD(ROW()-2, amortYears)+1</f>
        <v>38</v>
      </c>
      <c r="E1103" s="15" t="str">
        <f t="shared" si="1"/>
        <v/>
      </c>
      <c r="F1103" s="15">
        <f t="shared" si="2"/>
        <v>0</v>
      </c>
      <c r="G1103" s="15">
        <f>IF(D1103&lt;=mortTerm, -PMT(mortRate/12, mortTerm*12, C1103)*12, 0)
</f>
        <v>0</v>
      </c>
      <c r="H1103" s="15">
        <f>IF(D1103&lt;=mortTerm, G1103 - I1103, 0)
</f>
        <v>0</v>
      </c>
      <c r="I1103" s="15">
        <f>IF(D1103&lt;=mortTerm, F1103 - J1103, 0)
</f>
        <v>0</v>
      </c>
      <c r="J1103" s="15">
        <f>IF(D1103&lt;=mortTerm,
   F1103*(1+mortRate/12)^12 - (-PMT(mortRate/12, mortTerm*12, C1103))*(((1+mortRate/12)^12 - 1)/(mortRate/12)),
   0
)
</f>
        <v>0</v>
      </c>
      <c r="K1103" s="13" t="str">
        <f>IFERROR(__xludf.DUMMYFUNCTION("IF(A1103="""","""",
   IF(F1103&gt;0,
      INDEX(FILTER('RE Portfolio'!L$2:L2000,'RE Portfolio'!D$2:D2000=""BUY""), INT((ROW()-2)/amortYears)+1) - G1103,
      INDEX(FILTER('RE Portfolio'!L$2:L2000,'RE Portfolio'!D$2:D2000=""BUY""), INT((ROW()-2)/amortYears"&amp;")+1)
   )
)
"),"")</f>
        <v/>
      </c>
      <c r="L1103" s="15" t="str">
        <f>IFERROR(__xludf.DUMMYFUNCTION("IF(A1103="""","""",
  INDEX(FILTER('RE Portfolio'!C$2:C2000,'RE Portfolio'!D$2:D2000=""BUY""), INT((ROW()-2)/amortYears)+1)
  * (1 + VALUE(Assumptions!$B$11))^(D1103-1)
)
"),"")</f>
        <v/>
      </c>
    </row>
    <row r="1104">
      <c r="A1104" s="15" t="str">
        <f>IFERROR(__xludf.DUMMYFUNCTION("IFERROR(INDEX(FILTER('RE Portfolio'!A$2:A2000,'RE Portfolio'!D$2:D2000=""BUY""), INT((ROW()-2)/amortYears)+1), )
"),"")</f>
        <v/>
      </c>
      <c r="B1104" s="15" t="str">
        <f>IFERROR(__xludf.DUMMYFUNCTION("IFERROR(INDEX(FILTER('RE Portfolio'!B$2:B2000,'RE Portfolio'!D$2:D2000=""BUY""), INT((ROW()-2)/amortYears)+1), )
"),"")</f>
        <v/>
      </c>
      <c r="C1104" s="15" t="str">
        <f>IFERROR(__xludf.DUMMYFUNCTION("IFERROR(INDEX(FILTER('RE Portfolio'!G$2:G2000,'RE Portfolio'!D$2:D2000=""BUY""), INT((ROW()-2)/amortYears)+1), )
"),"")</f>
        <v/>
      </c>
      <c r="D1104" s="15">
        <f>MOD(ROW()-2, amortYears)+1</f>
        <v>1</v>
      </c>
      <c r="E1104" s="15" t="str">
        <f t="shared" si="1"/>
        <v/>
      </c>
      <c r="F1104" s="15" t="str">
        <f t="shared" si="2"/>
        <v/>
      </c>
      <c r="G1104" s="16">
        <f>IF(D1104&lt;=mortTerm, -PMT(mortRate/12, mortTerm*12, C1104)*12, 0)
</f>
        <v>0</v>
      </c>
      <c r="H1104" s="16">
        <f>IF(D1104&lt;=mortTerm, G1104 - I1104, 0)
</f>
        <v>0</v>
      </c>
      <c r="I1104" s="16">
        <f>IF(D1104&lt;=mortTerm, F1104 - J1104, 0)
</f>
        <v>0</v>
      </c>
      <c r="J1104" s="16">
        <f>IF(D1104&lt;=mortTerm,
   F1104*(1+mortRate/12)^12 - (-PMT(mortRate/12, mortTerm*12, C1104))*(((1+mortRate/12)^12 - 1)/(mortRate/12)),
   0
)
</f>
        <v>0</v>
      </c>
      <c r="K1104" s="13" t="str">
        <f>IFERROR(__xludf.DUMMYFUNCTION("IF(A1104="""","""",
   IF(F1104&gt;0,
      INDEX(FILTER('RE Portfolio'!L$2:L2000,'RE Portfolio'!D$2:D2000=""BUY""), INT((ROW()-2)/amortYears)+1) - G1104,
      INDEX(FILTER('RE Portfolio'!L$2:L2000,'RE Portfolio'!D$2:D2000=""BUY""), INT((ROW()-2)/amortYears"&amp;")+1)
   )
)
"),"")</f>
        <v/>
      </c>
      <c r="L1104" s="15" t="str">
        <f>IFERROR(__xludf.DUMMYFUNCTION("IF(A1104="""","""",
  INDEX(FILTER('RE Portfolio'!C$2:C2000,'RE Portfolio'!D$2:D2000=""BUY""), INT((ROW()-2)/amortYears)+1)
  * (1 + VALUE(Assumptions!$B$11))^(D1104-1)
)
"),"")</f>
        <v/>
      </c>
    </row>
    <row r="1105">
      <c r="A1105" s="15" t="str">
        <f>IFERROR(__xludf.DUMMYFUNCTION("IFERROR(INDEX(FILTER('RE Portfolio'!A$2:A2000,'RE Portfolio'!D$2:D2000=""BUY""), INT((ROW()-2)/amortYears)+1), )
"),"")</f>
        <v/>
      </c>
      <c r="B1105" s="15" t="str">
        <f>IFERROR(__xludf.DUMMYFUNCTION("IFERROR(INDEX(FILTER('RE Portfolio'!B$2:B2000,'RE Portfolio'!D$2:D2000=""BUY""), INT((ROW()-2)/amortYears)+1), )
"),"")</f>
        <v/>
      </c>
      <c r="C1105" s="15" t="str">
        <f>IFERROR(__xludf.DUMMYFUNCTION("IFERROR(INDEX(FILTER('RE Portfolio'!G$2:G2000,'RE Portfolio'!D$2:D2000=""BUY""), INT((ROW()-2)/amortYears)+1), )
"),"")</f>
        <v/>
      </c>
      <c r="D1105" s="15">
        <f>MOD(ROW()-2, amortYears)+1</f>
        <v>2</v>
      </c>
      <c r="E1105" s="15" t="str">
        <f t="shared" si="1"/>
        <v/>
      </c>
      <c r="F1105" s="16">
        <f t="shared" si="2"/>
        <v>0</v>
      </c>
      <c r="G1105" s="16">
        <f>IF(D1105&lt;=mortTerm, -PMT(mortRate/12, mortTerm*12, C1105)*12, 0)
</f>
        <v>0</v>
      </c>
      <c r="H1105" s="16">
        <f>IF(D1105&lt;=mortTerm, G1105 - I1105, 0)
</f>
        <v>0</v>
      </c>
      <c r="I1105" s="16">
        <f>IF(D1105&lt;=mortTerm, F1105 - J1105, 0)
</f>
        <v>0</v>
      </c>
      <c r="J1105" s="16">
        <f>IF(D1105&lt;=mortTerm,
   F1105*(1+mortRate/12)^12 - (-PMT(mortRate/12, mortTerm*12, C1105))*(((1+mortRate/12)^12 - 1)/(mortRate/12)),
   0
)
</f>
        <v>0</v>
      </c>
      <c r="K1105" s="13" t="str">
        <f>IFERROR(__xludf.DUMMYFUNCTION("IF(A1105="""","""",
   IF(F1105&gt;0,
      INDEX(FILTER('RE Portfolio'!L$2:L2000,'RE Portfolio'!D$2:D2000=""BUY""), INT((ROW()-2)/amortYears)+1) - G1105,
      INDEX(FILTER('RE Portfolio'!L$2:L2000,'RE Portfolio'!D$2:D2000=""BUY""), INT((ROW()-2)/amortYears"&amp;")+1)
   )
)
"),"")</f>
        <v/>
      </c>
      <c r="L1105" s="15" t="str">
        <f>IFERROR(__xludf.DUMMYFUNCTION("IF(A1105="""","""",
  INDEX(FILTER('RE Portfolio'!C$2:C2000,'RE Portfolio'!D$2:D2000=""BUY""), INT((ROW()-2)/amortYears)+1)
  * (1 + VALUE(Assumptions!$B$11))^(D1105-1)
)
"),"")</f>
        <v/>
      </c>
    </row>
    <row r="1106">
      <c r="A1106" s="15" t="str">
        <f>IFERROR(__xludf.DUMMYFUNCTION("IFERROR(INDEX(FILTER('RE Portfolio'!A$2:A2000,'RE Portfolio'!D$2:D2000=""BUY""), INT((ROW()-2)/amortYears)+1), )
"),"")</f>
        <v/>
      </c>
      <c r="B1106" s="15" t="str">
        <f>IFERROR(__xludf.DUMMYFUNCTION("IFERROR(INDEX(FILTER('RE Portfolio'!B$2:B2000,'RE Portfolio'!D$2:D2000=""BUY""), INT((ROW()-2)/amortYears)+1), )
"),"")</f>
        <v/>
      </c>
      <c r="C1106" s="15" t="str">
        <f>IFERROR(__xludf.DUMMYFUNCTION("IFERROR(INDEX(FILTER('RE Portfolio'!G$2:G2000,'RE Portfolio'!D$2:D2000=""BUY""), INT((ROW()-2)/amortYears)+1), )
"),"")</f>
        <v/>
      </c>
      <c r="D1106" s="15">
        <f>MOD(ROW()-2, amortYears)+1</f>
        <v>3</v>
      </c>
      <c r="E1106" s="15" t="str">
        <f t="shared" si="1"/>
        <v/>
      </c>
      <c r="F1106" s="16">
        <f t="shared" si="2"/>
        <v>0</v>
      </c>
      <c r="G1106" s="16">
        <f>IF(D1106&lt;=mortTerm, -PMT(mortRate/12, mortTerm*12, C1106)*12, 0)
</f>
        <v>0</v>
      </c>
      <c r="H1106" s="16">
        <f>IF(D1106&lt;=mortTerm, G1106 - I1106, 0)
</f>
        <v>0</v>
      </c>
      <c r="I1106" s="16">
        <f>IF(D1106&lt;=mortTerm, F1106 - J1106, 0)
</f>
        <v>0</v>
      </c>
      <c r="J1106" s="16">
        <f>IF(D1106&lt;=mortTerm,
   F1106*(1+mortRate/12)^12 - (-PMT(mortRate/12, mortTerm*12, C1106))*(((1+mortRate/12)^12 - 1)/(mortRate/12)),
   0
)
</f>
        <v>0</v>
      </c>
      <c r="K1106" s="13" t="str">
        <f>IFERROR(__xludf.DUMMYFUNCTION("IF(A1106="""","""",
   IF(F1106&gt;0,
      INDEX(FILTER('RE Portfolio'!L$2:L2000,'RE Portfolio'!D$2:D2000=""BUY""), INT((ROW()-2)/amortYears)+1) - G1106,
      INDEX(FILTER('RE Portfolio'!L$2:L2000,'RE Portfolio'!D$2:D2000=""BUY""), INT((ROW()-2)/amortYears"&amp;")+1)
   )
)
"),"")</f>
        <v/>
      </c>
      <c r="L1106" s="15" t="str">
        <f>IFERROR(__xludf.DUMMYFUNCTION("IF(A1106="""","""",
  INDEX(FILTER('RE Portfolio'!C$2:C2000,'RE Portfolio'!D$2:D2000=""BUY""), INT((ROW()-2)/amortYears)+1)
  * (1 + VALUE(Assumptions!$B$11))^(D1106-1)
)
"),"")</f>
        <v/>
      </c>
    </row>
    <row r="1107">
      <c r="A1107" s="15" t="str">
        <f>IFERROR(__xludf.DUMMYFUNCTION("IFERROR(INDEX(FILTER('RE Portfolio'!A$2:A2000,'RE Portfolio'!D$2:D2000=""BUY""), INT((ROW()-2)/amortYears)+1), )
"),"")</f>
        <v/>
      </c>
      <c r="B1107" s="15" t="str">
        <f>IFERROR(__xludf.DUMMYFUNCTION("IFERROR(INDEX(FILTER('RE Portfolio'!B$2:B2000,'RE Portfolio'!D$2:D2000=""BUY""), INT((ROW()-2)/amortYears)+1), )
"),"")</f>
        <v/>
      </c>
      <c r="C1107" s="15" t="str">
        <f>IFERROR(__xludf.DUMMYFUNCTION("IFERROR(INDEX(FILTER('RE Portfolio'!G$2:G2000,'RE Portfolio'!D$2:D2000=""BUY""), INT((ROW()-2)/amortYears)+1), )
"),"")</f>
        <v/>
      </c>
      <c r="D1107" s="15">
        <f>MOD(ROW()-2, amortYears)+1</f>
        <v>4</v>
      </c>
      <c r="E1107" s="15" t="str">
        <f t="shared" si="1"/>
        <v/>
      </c>
      <c r="F1107" s="16">
        <f t="shared" si="2"/>
        <v>0</v>
      </c>
      <c r="G1107" s="16">
        <f>IF(D1107&lt;=mortTerm, -PMT(mortRate/12, mortTerm*12, C1107)*12, 0)
</f>
        <v>0</v>
      </c>
      <c r="H1107" s="16">
        <f>IF(D1107&lt;=mortTerm, G1107 - I1107, 0)
</f>
        <v>0</v>
      </c>
      <c r="I1107" s="16">
        <f>IF(D1107&lt;=mortTerm, F1107 - J1107, 0)
</f>
        <v>0</v>
      </c>
      <c r="J1107" s="16">
        <f>IF(D1107&lt;=mortTerm,
   F1107*(1+mortRate/12)^12 - (-PMT(mortRate/12, mortTerm*12, C1107))*(((1+mortRate/12)^12 - 1)/(mortRate/12)),
   0
)
</f>
        <v>0</v>
      </c>
      <c r="K1107" s="13" t="str">
        <f>IFERROR(__xludf.DUMMYFUNCTION("IF(A1107="""","""",
   IF(F1107&gt;0,
      INDEX(FILTER('RE Portfolio'!L$2:L2000,'RE Portfolio'!D$2:D2000=""BUY""), INT((ROW()-2)/amortYears)+1) - G1107,
      INDEX(FILTER('RE Portfolio'!L$2:L2000,'RE Portfolio'!D$2:D2000=""BUY""), INT((ROW()-2)/amortYears"&amp;")+1)
   )
)
"),"")</f>
        <v/>
      </c>
      <c r="L1107" s="15" t="str">
        <f>IFERROR(__xludf.DUMMYFUNCTION("IF(A1107="""","""",
  INDEX(FILTER('RE Portfolio'!C$2:C2000,'RE Portfolio'!D$2:D2000=""BUY""), INT((ROW()-2)/amortYears)+1)
  * (1 + VALUE(Assumptions!$B$11))^(D1107-1)
)
"),"")</f>
        <v/>
      </c>
    </row>
    <row r="1108">
      <c r="A1108" s="15" t="str">
        <f>IFERROR(__xludf.DUMMYFUNCTION("IFERROR(INDEX(FILTER('RE Portfolio'!A$2:A2000,'RE Portfolio'!D$2:D2000=""BUY""), INT((ROW()-2)/amortYears)+1), )
"),"")</f>
        <v/>
      </c>
      <c r="B1108" s="15" t="str">
        <f>IFERROR(__xludf.DUMMYFUNCTION("IFERROR(INDEX(FILTER('RE Portfolio'!B$2:B2000,'RE Portfolio'!D$2:D2000=""BUY""), INT((ROW()-2)/amortYears)+1), )
"),"")</f>
        <v/>
      </c>
      <c r="C1108" s="15" t="str">
        <f>IFERROR(__xludf.DUMMYFUNCTION("IFERROR(INDEX(FILTER('RE Portfolio'!G$2:G2000,'RE Portfolio'!D$2:D2000=""BUY""), INT((ROW()-2)/amortYears)+1), )
"),"")</f>
        <v/>
      </c>
      <c r="D1108" s="15">
        <f>MOD(ROW()-2, amortYears)+1</f>
        <v>5</v>
      </c>
      <c r="E1108" s="15" t="str">
        <f t="shared" si="1"/>
        <v/>
      </c>
      <c r="F1108" s="16">
        <f t="shared" si="2"/>
        <v>0</v>
      </c>
      <c r="G1108" s="16">
        <f>IF(D1108&lt;=mortTerm, -PMT(mortRate/12, mortTerm*12, C1108)*12, 0)
</f>
        <v>0</v>
      </c>
      <c r="H1108" s="16">
        <f>IF(D1108&lt;=mortTerm, G1108 - I1108, 0)
</f>
        <v>0</v>
      </c>
      <c r="I1108" s="16">
        <f>IF(D1108&lt;=mortTerm, F1108 - J1108, 0)
</f>
        <v>0</v>
      </c>
      <c r="J1108" s="16">
        <f>IF(D1108&lt;=mortTerm,
   F1108*(1+mortRate/12)^12 - (-PMT(mortRate/12, mortTerm*12, C1108))*(((1+mortRate/12)^12 - 1)/(mortRate/12)),
   0
)
</f>
        <v>0</v>
      </c>
      <c r="K1108" s="13" t="str">
        <f>IFERROR(__xludf.DUMMYFUNCTION("IF(A1108="""","""",
   IF(F1108&gt;0,
      INDEX(FILTER('RE Portfolio'!L$2:L2000,'RE Portfolio'!D$2:D2000=""BUY""), INT((ROW()-2)/amortYears)+1) - G1108,
      INDEX(FILTER('RE Portfolio'!L$2:L2000,'RE Portfolio'!D$2:D2000=""BUY""), INT((ROW()-2)/amortYears"&amp;")+1)
   )
)
"),"")</f>
        <v/>
      </c>
      <c r="L1108" s="15" t="str">
        <f>IFERROR(__xludf.DUMMYFUNCTION("IF(A1108="""","""",
  INDEX(FILTER('RE Portfolio'!C$2:C2000,'RE Portfolio'!D$2:D2000=""BUY""), INT((ROW()-2)/amortYears)+1)
  * (1 + VALUE(Assumptions!$B$11))^(D1108-1)
)
"),"")</f>
        <v/>
      </c>
    </row>
    <row r="1109">
      <c r="A1109" s="15" t="str">
        <f>IFERROR(__xludf.DUMMYFUNCTION("IFERROR(INDEX(FILTER('RE Portfolio'!A$2:A2000,'RE Portfolio'!D$2:D2000=""BUY""), INT((ROW()-2)/amortYears)+1), )
"),"")</f>
        <v/>
      </c>
      <c r="B1109" s="15" t="str">
        <f>IFERROR(__xludf.DUMMYFUNCTION("IFERROR(INDEX(FILTER('RE Portfolio'!B$2:B2000,'RE Portfolio'!D$2:D2000=""BUY""), INT((ROW()-2)/amortYears)+1), )
"),"")</f>
        <v/>
      </c>
      <c r="C1109" s="15" t="str">
        <f>IFERROR(__xludf.DUMMYFUNCTION("IFERROR(INDEX(FILTER('RE Portfolio'!G$2:G2000,'RE Portfolio'!D$2:D2000=""BUY""), INT((ROW()-2)/amortYears)+1), )
"),"")</f>
        <v/>
      </c>
      <c r="D1109" s="15">
        <f>MOD(ROW()-2, amortYears)+1</f>
        <v>6</v>
      </c>
      <c r="E1109" s="15" t="str">
        <f t="shared" si="1"/>
        <v/>
      </c>
      <c r="F1109" s="16">
        <f t="shared" si="2"/>
        <v>0</v>
      </c>
      <c r="G1109" s="16">
        <f>IF(D1109&lt;=mortTerm, -PMT(mortRate/12, mortTerm*12, C1109)*12, 0)
</f>
        <v>0</v>
      </c>
      <c r="H1109" s="16">
        <f>IF(D1109&lt;=mortTerm, G1109 - I1109, 0)
</f>
        <v>0</v>
      </c>
      <c r="I1109" s="16">
        <f>IF(D1109&lt;=mortTerm, F1109 - J1109, 0)
</f>
        <v>0</v>
      </c>
      <c r="J1109" s="16">
        <f>IF(D1109&lt;=mortTerm,
   F1109*(1+mortRate/12)^12 - (-PMT(mortRate/12, mortTerm*12, C1109))*(((1+mortRate/12)^12 - 1)/(mortRate/12)),
   0
)
</f>
        <v>0</v>
      </c>
      <c r="K1109" s="13" t="str">
        <f>IFERROR(__xludf.DUMMYFUNCTION("IF(A1109="""","""",
   IF(F1109&gt;0,
      INDEX(FILTER('RE Portfolio'!L$2:L2000,'RE Portfolio'!D$2:D2000=""BUY""), INT((ROW()-2)/amortYears)+1) - G1109,
      INDEX(FILTER('RE Portfolio'!L$2:L2000,'RE Portfolio'!D$2:D2000=""BUY""), INT((ROW()-2)/amortYears"&amp;")+1)
   )
)
"),"")</f>
        <v/>
      </c>
      <c r="L1109" s="15" t="str">
        <f>IFERROR(__xludf.DUMMYFUNCTION("IF(A1109="""","""",
  INDEX(FILTER('RE Portfolio'!C$2:C2000,'RE Portfolio'!D$2:D2000=""BUY""), INT((ROW()-2)/amortYears)+1)
  * (1 + VALUE(Assumptions!$B$11))^(D1109-1)
)
"),"")</f>
        <v/>
      </c>
    </row>
    <row r="1110">
      <c r="A1110" s="15" t="str">
        <f>IFERROR(__xludf.DUMMYFUNCTION("IFERROR(INDEX(FILTER('RE Portfolio'!A$2:A2000,'RE Portfolio'!D$2:D2000=""BUY""), INT((ROW()-2)/amortYears)+1), )
"),"")</f>
        <v/>
      </c>
      <c r="B1110" s="15" t="str">
        <f>IFERROR(__xludf.DUMMYFUNCTION("IFERROR(INDEX(FILTER('RE Portfolio'!B$2:B2000,'RE Portfolio'!D$2:D2000=""BUY""), INT((ROW()-2)/amortYears)+1), )
"),"")</f>
        <v/>
      </c>
      <c r="C1110" s="15" t="str">
        <f>IFERROR(__xludf.DUMMYFUNCTION("IFERROR(INDEX(FILTER('RE Portfolio'!G$2:G2000,'RE Portfolio'!D$2:D2000=""BUY""), INT((ROW()-2)/amortYears)+1), )
"),"")</f>
        <v/>
      </c>
      <c r="D1110" s="15">
        <f>MOD(ROW()-2, amortYears)+1</f>
        <v>7</v>
      </c>
      <c r="E1110" s="15" t="str">
        <f t="shared" si="1"/>
        <v/>
      </c>
      <c r="F1110" s="16">
        <f t="shared" si="2"/>
        <v>0</v>
      </c>
      <c r="G1110" s="16">
        <f>IF(D1110&lt;=mortTerm, -PMT(mortRate/12, mortTerm*12, C1110)*12, 0)
</f>
        <v>0</v>
      </c>
      <c r="H1110" s="16">
        <f>IF(D1110&lt;=mortTerm, G1110 - I1110, 0)
</f>
        <v>0</v>
      </c>
      <c r="I1110" s="16">
        <f>IF(D1110&lt;=mortTerm, F1110 - J1110, 0)
</f>
        <v>0</v>
      </c>
      <c r="J1110" s="16">
        <f>IF(D1110&lt;=mortTerm,
   F1110*(1+mortRate/12)^12 - (-PMT(mortRate/12, mortTerm*12, C1110))*(((1+mortRate/12)^12 - 1)/(mortRate/12)),
   0
)
</f>
        <v>0</v>
      </c>
      <c r="K1110" s="13" t="str">
        <f>IFERROR(__xludf.DUMMYFUNCTION("IF(A1110="""","""",
   IF(F1110&gt;0,
      INDEX(FILTER('RE Portfolio'!L$2:L2000,'RE Portfolio'!D$2:D2000=""BUY""), INT((ROW()-2)/amortYears)+1) - G1110,
      INDEX(FILTER('RE Portfolio'!L$2:L2000,'RE Portfolio'!D$2:D2000=""BUY""), INT((ROW()-2)/amortYears"&amp;")+1)
   )
)
"),"")</f>
        <v/>
      </c>
      <c r="L1110" s="15" t="str">
        <f>IFERROR(__xludf.DUMMYFUNCTION("IF(A1110="""","""",
  INDEX(FILTER('RE Portfolio'!C$2:C2000,'RE Portfolio'!D$2:D2000=""BUY""), INT((ROW()-2)/amortYears)+1)
  * (1 + VALUE(Assumptions!$B$11))^(D1110-1)
)
"),"")</f>
        <v/>
      </c>
    </row>
    <row r="1111">
      <c r="A1111" s="15" t="str">
        <f>IFERROR(__xludf.DUMMYFUNCTION("IFERROR(INDEX(FILTER('RE Portfolio'!A$2:A2000,'RE Portfolio'!D$2:D2000=""BUY""), INT((ROW()-2)/amortYears)+1), )
"),"")</f>
        <v/>
      </c>
      <c r="B1111" s="15" t="str">
        <f>IFERROR(__xludf.DUMMYFUNCTION("IFERROR(INDEX(FILTER('RE Portfolio'!B$2:B2000,'RE Portfolio'!D$2:D2000=""BUY""), INT((ROW()-2)/amortYears)+1), )
"),"")</f>
        <v/>
      </c>
      <c r="C1111" s="15" t="str">
        <f>IFERROR(__xludf.DUMMYFUNCTION("IFERROR(INDEX(FILTER('RE Portfolio'!G$2:G2000,'RE Portfolio'!D$2:D2000=""BUY""), INT((ROW()-2)/amortYears)+1), )
"),"")</f>
        <v/>
      </c>
      <c r="D1111" s="15">
        <f>MOD(ROW()-2, amortYears)+1</f>
        <v>8</v>
      </c>
      <c r="E1111" s="15" t="str">
        <f t="shared" si="1"/>
        <v/>
      </c>
      <c r="F1111" s="16">
        <f t="shared" si="2"/>
        <v>0</v>
      </c>
      <c r="G1111" s="16">
        <f>IF(D1111&lt;=mortTerm, -PMT(mortRate/12, mortTerm*12, C1111)*12, 0)
</f>
        <v>0</v>
      </c>
      <c r="H1111" s="16">
        <f>IF(D1111&lt;=mortTerm, G1111 - I1111, 0)
</f>
        <v>0</v>
      </c>
      <c r="I1111" s="16">
        <f>IF(D1111&lt;=mortTerm, F1111 - J1111, 0)
</f>
        <v>0</v>
      </c>
      <c r="J1111" s="16">
        <f>IF(D1111&lt;=mortTerm,
   F1111*(1+mortRate/12)^12 - (-PMT(mortRate/12, mortTerm*12, C1111))*(((1+mortRate/12)^12 - 1)/(mortRate/12)),
   0
)
</f>
        <v>0</v>
      </c>
      <c r="K1111" s="13" t="str">
        <f>IFERROR(__xludf.DUMMYFUNCTION("IF(A1111="""","""",
   IF(F1111&gt;0,
      INDEX(FILTER('RE Portfolio'!L$2:L2000,'RE Portfolio'!D$2:D2000=""BUY""), INT((ROW()-2)/amortYears)+1) - G1111,
      INDEX(FILTER('RE Portfolio'!L$2:L2000,'RE Portfolio'!D$2:D2000=""BUY""), INT((ROW()-2)/amortYears"&amp;")+1)
   )
)
"),"")</f>
        <v/>
      </c>
      <c r="L1111" s="15" t="str">
        <f>IFERROR(__xludf.DUMMYFUNCTION("IF(A1111="""","""",
  INDEX(FILTER('RE Portfolio'!C$2:C2000,'RE Portfolio'!D$2:D2000=""BUY""), INT((ROW()-2)/amortYears)+1)
  * (1 + VALUE(Assumptions!$B$11))^(D1111-1)
)
"),"")</f>
        <v/>
      </c>
    </row>
    <row r="1112">
      <c r="A1112" s="15" t="str">
        <f>IFERROR(__xludf.DUMMYFUNCTION("IFERROR(INDEX(FILTER('RE Portfolio'!A$2:A2000,'RE Portfolio'!D$2:D2000=""BUY""), INT((ROW()-2)/amortYears)+1), )
"),"")</f>
        <v/>
      </c>
      <c r="B1112" s="15" t="str">
        <f>IFERROR(__xludf.DUMMYFUNCTION("IFERROR(INDEX(FILTER('RE Portfolio'!B$2:B2000,'RE Portfolio'!D$2:D2000=""BUY""), INT((ROW()-2)/amortYears)+1), )
"),"")</f>
        <v/>
      </c>
      <c r="C1112" s="15" t="str">
        <f>IFERROR(__xludf.DUMMYFUNCTION("IFERROR(INDEX(FILTER('RE Portfolio'!G$2:G2000,'RE Portfolio'!D$2:D2000=""BUY""), INT((ROW()-2)/amortYears)+1), )
"),"")</f>
        <v/>
      </c>
      <c r="D1112" s="15">
        <f>MOD(ROW()-2, amortYears)+1</f>
        <v>9</v>
      </c>
      <c r="E1112" s="15" t="str">
        <f t="shared" si="1"/>
        <v/>
      </c>
      <c r="F1112" s="16">
        <f t="shared" si="2"/>
        <v>0</v>
      </c>
      <c r="G1112" s="16">
        <f>IF(D1112&lt;=mortTerm, -PMT(mortRate/12, mortTerm*12, C1112)*12, 0)
</f>
        <v>0</v>
      </c>
      <c r="H1112" s="16">
        <f>IF(D1112&lt;=mortTerm, G1112 - I1112, 0)
</f>
        <v>0</v>
      </c>
      <c r="I1112" s="16">
        <f>IF(D1112&lt;=mortTerm, F1112 - J1112, 0)
</f>
        <v>0</v>
      </c>
      <c r="J1112" s="16">
        <f>IF(D1112&lt;=mortTerm,
   F1112*(1+mortRate/12)^12 - (-PMT(mortRate/12, mortTerm*12, C1112))*(((1+mortRate/12)^12 - 1)/(mortRate/12)),
   0
)
</f>
        <v>0</v>
      </c>
      <c r="K1112" s="13" t="str">
        <f>IFERROR(__xludf.DUMMYFUNCTION("IF(A1112="""","""",
   IF(F1112&gt;0,
      INDEX(FILTER('RE Portfolio'!L$2:L2000,'RE Portfolio'!D$2:D2000=""BUY""), INT((ROW()-2)/amortYears)+1) - G1112,
      INDEX(FILTER('RE Portfolio'!L$2:L2000,'RE Portfolio'!D$2:D2000=""BUY""), INT((ROW()-2)/amortYears"&amp;")+1)
   )
)
"),"")</f>
        <v/>
      </c>
      <c r="L1112" s="15" t="str">
        <f>IFERROR(__xludf.DUMMYFUNCTION("IF(A1112="""","""",
  INDEX(FILTER('RE Portfolio'!C$2:C2000,'RE Portfolio'!D$2:D2000=""BUY""), INT((ROW()-2)/amortYears)+1)
  * (1 + VALUE(Assumptions!$B$11))^(D1112-1)
)
"),"")</f>
        <v/>
      </c>
    </row>
    <row r="1113">
      <c r="A1113" s="15" t="str">
        <f>IFERROR(__xludf.DUMMYFUNCTION("IFERROR(INDEX(FILTER('RE Portfolio'!A$2:A2000,'RE Portfolio'!D$2:D2000=""BUY""), INT((ROW()-2)/amortYears)+1), )
"),"")</f>
        <v/>
      </c>
      <c r="B1113" s="15" t="str">
        <f>IFERROR(__xludf.DUMMYFUNCTION("IFERROR(INDEX(FILTER('RE Portfolio'!B$2:B2000,'RE Portfolio'!D$2:D2000=""BUY""), INT((ROW()-2)/amortYears)+1), )
"),"")</f>
        <v/>
      </c>
      <c r="C1113" s="15" t="str">
        <f>IFERROR(__xludf.DUMMYFUNCTION("IFERROR(INDEX(FILTER('RE Portfolio'!G$2:G2000,'RE Portfolio'!D$2:D2000=""BUY""), INT((ROW()-2)/amortYears)+1), )
"),"")</f>
        <v/>
      </c>
      <c r="D1113" s="15">
        <f>MOD(ROW()-2, amortYears)+1</f>
        <v>10</v>
      </c>
      <c r="E1113" s="15" t="str">
        <f t="shared" si="1"/>
        <v/>
      </c>
      <c r="F1113" s="16">
        <f t="shared" si="2"/>
        <v>0</v>
      </c>
      <c r="G1113" s="16">
        <f>IF(D1113&lt;=mortTerm, -PMT(mortRate/12, mortTerm*12, C1113)*12, 0)
</f>
        <v>0</v>
      </c>
      <c r="H1113" s="16">
        <f>IF(D1113&lt;=mortTerm, G1113 - I1113, 0)
</f>
        <v>0</v>
      </c>
      <c r="I1113" s="16">
        <f>IF(D1113&lt;=mortTerm, F1113 - J1113, 0)
</f>
        <v>0</v>
      </c>
      <c r="J1113" s="16">
        <f>IF(D1113&lt;=mortTerm,
   F1113*(1+mortRate/12)^12 - (-PMT(mortRate/12, mortTerm*12, C1113))*(((1+mortRate/12)^12 - 1)/(mortRate/12)),
   0
)
</f>
        <v>0</v>
      </c>
      <c r="K1113" s="13" t="str">
        <f>IFERROR(__xludf.DUMMYFUNCTION("IF(A1113="""","""",
   IF(F1113&gt;0,
      INDEX(FILTER('RE Portfolio'!L$2:L2000,'RE Portfolio'!D$2:D2000=""BUY""), INT((ROW()-2)/amortYears)+1) - G1113,
      INDEX(FILTER('RE Portfolio'!L$2:L2000,'RE Portfolio'!D$2:D2000=""BUY""), INT((ROW()-2)/amortYears"&amp;")+1)
   )
)
"),"")</f>
        <v/>
      </c>
      <c r="L1113" s="15" t="str">
        <f>IFERROR(__xludf.DUMMYFUNCTION("IF(A1113="""","""",
  INDEX(FILTER('RE Portfolio'!C$2:C2000,'RE Portfolio'!D$2:D2000=""BUY""), INT((ROW()-2)/amortYears)+1)
  * (1 + VALUE(Assumptions!$B$11))^(D1113-1)
)
"),"")</f>
        <v/>
      </c>
    </row>
    <row r="1114">
      <c r="A1114" s="15" t="str">
        <f>IFERROR(__xludf.DUMMYFUNCTION("IFERROR(INDEX(FILTER('RE Portfolio'!A$2:A2000,'RE Portfolio'!D$2:D2000=""BUY""), INT((ROW()-2)/amortYears)+1), )
"),"")</f>
        <v/>
      </c>
      <c r="B1114" s="15" t="str">
        <f>IFERROR(__xludf.DUMMYFUNCTION("IFERROR(INDEX(FILTER('RE Portfolio'!B$2:B2000,'RE Portfolio'!D$2:D2000=""BUY""), INT((ROW()-2)/amortYears)+1), )
"),"")</f>
        <v/>
      </c>
      <c r="C1114" s="15" t="str">
        <f>IFERROR(__xludf.DUMMYFUNCTION("IFERROR(INDEX(FILTER('RE Portfolio'!G$2:G2000,'RE Portfolio'!D$2:D2000=""BUY""), INT((ROW()-2)/amortYears)+1), )
"),"")</f>
        <v/>
      </c>
      <c r="D1114" s="15">
        <f>MOD(ROW()-2, amortYears)+1</f>
        <v>11</v>
      </c>
      <c r="E1114" s="15" t="str">
        <f t="shared" si="1"/>
        <v/>
      </c>
      <c r="F1114" s="16">
        <f t="shared" si="2"/>
        <v>0</v>
      </c>
      <c r="G1114" s="16">
        <f>IF(D1114&lt;=mortTerm, -PMT(mortRate/12, mortTerm*12, C1114)*12, 0)
</f>
        <v>0</v>
      </c>
      <c r="H1114" s="16">
        <f>IF(D1114&lt;=mortTerm, G1114 - I1114, 0)
</f>
        <v>0</v>
      </c>
      <c r="I1114" s="16">
        <f>IF(D1114&lt;=mortTerm, F1114 - J1114, 0)
</f>
        <v>0</v>
      </c>
      <c r="J1114" s="16">
        <f>IF(D1114&lt;=mortTerm,
   F1114*(1+mortRate/12)^12 - (-PMT(mortRate/12, mortTerm*12, C1114))*(((1+mortRate/12)^12 - 1)/(mortRate/12)),
   0
)
</f>
        <v>0</v>
      </c>
      <c r="K1114" s="13" t="str">
        <f>IFERROR(__xludf.DUMMYFUNCTION("IF(A1114="""","""",
   IF(F1114&gt;0,
      INDEX(FILTER('RE Portfolio'!L$2:L2000,'RE Portfolio'!D$2:D2000=""BUY""), INT((ROW()-2)/amortYears)+1) - G1114,
      INDEX(FILTER('RE Portfolio'!L$2:L2000,'RE Portfolio'!D$2:D2000=""BUY""), INT((ROW()-2)/amortYears"&amp;")+1)
   )
)
"),"")</f>
        <v/>
      </c>
      <c r="L1114" s="15" t="str">
        <f>IFERROR(__xludf.DUMMYFUNCTION("IF(A1114="""","""",
  INDEX(FILTER('RE Portfolio'!C$2:C2000,'RE Portfolio'!D$2:D2000=""BUY""), INT((ROW()-2)/amortYears)+1)
  * (1 + VALUE(Assumptions!$B$11))^(D1114-1)
)
"),"")</f>
        <v/>
      </c>
    </row>
    <row r="1115">
      <c r="A1115" s="15" t="str">
        <f>IFERROR(__xludf.DUMMYFUNCTION("IFERROR(INDEX(FILTER('RE Portfolio'!A$2:A2000,'RE Portfolio'!D$2:D2000=""BUY""), INT((ROW()-2)/amortYears)+1), )
"),"")</f>
        <v/>
      </c>
      <c r="B1115" s="15" t="str">
        <f>IFERROR(__xludf.DUMMYFUNCTION("IFERROR(INDEX(FILTER('RE Portfolio'!B$2:B2000,'RE Portfolio'!D$2:D2000=""BUY""), INT((ROW()-2)/amortYears)+1), )
"),"")</f>
        <v/>
      </c>
      <c r="C1115" s="15" t="str">
        <f>IFERROR(__xludf.DUMMYFUNCTION("IFERROR(INDEX(FILTER('RE Portfolio'!G$2:G2000,'RE Portfolio'!D$2:D2000=""BUY""), INT((ROW()-2)/amortYears)+1), )
"),"")</f>
        <v/>
      </c>
      <c r="D1115" s="15">
        <f>MOD(ROW()-2, amortYears)+1</f>
        <v>12</v>
      </c>
      <c r="E1115" s="15" t="str">
        <f t="shared" si="1"/>
        <v/>
      </c>
      <c r="F1115" s="16">
        <f t="shared" si="2"/>
        <v>0</v>
      </c>
      <c r="G1115" s="16">
        <f>IF(D1115&lt;=mortTerm, -PMT(mortRate/12, mortTerm*12, C1115)*12, 0)
</f>
        <v>0</v>
      </c>
      <c r="H1115" s="16">
        <f>IF(D1115&lt;=mortTerm, G1115 - I1115, 0)
</f>
        <v>0</v>
      </c>
      <c r="I1115" s="16">
        <f>IF(D1115&lt;=mortTerm, F1115 - J1115, 0)
</f>
        <v>0</v>
      </c>
      <c r="J1115" s="16">
        <f>IF(D1115&lt;=mortTerm,
   F1115*(1+mortRate/12)^12 - (-PMT(mortRate/12, mortTerm*12, C1115))*(((1+mortRate/12)^12 - 1)/(mortRate/12)),
   0
)
</f>
        <v>0</v>
      </c>
      <c r="K1115" s="13" t="str">
        <f>IFERROR(__xludf.DUMMYFUNCTION("IF(A1115="""","""",
   IF(F1115&gt;0,
      INDEX(FILTER('RE Portfolio'!L$2:L2000,'RE Portfolio'!D$2:D2000=""BUY""), INT((ROW()-2)/amortYears)+1) - G1115,
      INDEX(FILTER('RE Portfolio'!L$2:L2000,'RE Portfolio'!D$2:D2000=""BUY""), INT((ROW()-2)/amortYears"&amp;")+1)
   )
)
"),"")</f>
        <v/>
      </c>
      <c r="L1115" s="15" t="str">
        <f>IFERROR(__xludf.DUMMYFUNCTION("IF(A1115="""","""",
  INDEX(FILTER('RE Portfolio'!C$2:C2000,'RE Portfolio'!D$2:D2000=""BUY""), INT((ROW()-2)/amortYears)+1)
  * (1 + VALUE(Assumptions!$B$11))^(D1115-1)
)
"),"")</f>
        <v/>
      </c>
    </row>
    <row r="1116">
      <c r="A1116" s="15" t="str">
        <f>IFERROR(__xludf.DUMMYFUNCTION("IFERROR(INDEX(FILTER('RE Portfolio'!A$2:A2000,'RE Portfolio'!D$2:D2000=""BUY""), INT((ROW()-2)/amortYears)+1), )
"),"")</f>
        <v/>
      </c>
      <c r="B1116" s="15" t="str">
        <f>IFERROR(__xludf.DUMMYFUNCTION("IFERROR(INDEX(FILTER('RE Portfolio'!B$2:B2000,'RE Portfolio'!D$2:D2000=""BUY""), INT((ROW()-2)/amortYears)+1), )
"),"")</f>
        <v/>
      </c>
      <c r="C1116" s="15" t="str">
        <f>IFERROR(__xludf.DUMMYFUNCTION("IFERROR(INDEX(FILTER('RE Portfolio'!G$2:G2000,'RE Portfolio'!D$2:D2000=""BUY""), INT((ROW()-2)/amortYears)+1), )
"),"")</f>
        <v/>
      </c>
      <c r="D1116" s="15">
        <f>MOD(ROW()-2, amortYears)+1</f>
        <v>13</v>
      </c>
      <c r="E1116" s="15" t="str">
        <f t="shared" si="1"/>
        <v/>
      </c>
      <c r="F1116" s="16">
        <f t="shared" si="2"/>
        <v>0</v>
      </c>
      <c r="G1116" s="16">
        <f>IF(D1116&lt;=mortTerm, -PMT(mortRate/12, mortTerm*12, C1116)*12, 0)
</f>
        <v>0</v>
      </c>
      <c r="H1116" s="16">
        <f>IF(D1116&lt;=mortTerm, G1116 - I1116, 0)
</f>
        <v>0</v>
      </c>
      <c r="I1116" s="16">
        <f>IF(D1116&lt;=mortTerm, F1116 - J1116, 0)
</f>
        <v>0</v>
      </c>
      <c r="J1116" s="16">
        <f>IF(D1116&lt;=mortTerm,
   F1116*(1+mortRate/12)^12 - (-PMT(mortRate/12, mortTerm*12, C1116))*(((1+mortRate/12)^12 - 1)/(mortRate/12)),
   0
)
</f>
        <v>0</v>
      </c>
      <c r="K1116" s="13" t="str">
        <f>IFERROR(__xludf.DUMMYFUNCTION("IF(A1116="""","""",
   IF(F1116&gt;0,
      INDEX(FILTER('RE Portfolio'!L$2:L2000,'RE Portfolio'!D$2:D2000=""BUY""), INT((ROW()-2)/amortYears)+1) - G1116,
      INDEX(FILTER('RE Portfolio'!L$2:L2000,'RE Portfolio'!D$2:D2000=""BUY""), INT((ROW()-2)/amortYears"&amp;")+1)
   )
)
"),"")</f>
        <v/>
      </c>
      <c r="L1116" s="15" t="str">
        <f>IFERROR(__xludf.DUMMYFUNCTION("IF(A1116="""","""",
  INDEX(FILTER('RE Portfolio'!C$2:C2000,'RE Portfolio'!D$2:D2000=""BUY""), INT((ROW()-2)/amortYears)+1)
  * (1 + VALUE(Assumptions!$B$11))^(D1116-1)
)
"),"")</f>
        <v/>
      </c>
    </row>
    <row r="1117">
      <c r="A1117" s="15" t="str">
        <f>IFERROR(__xludf.DUMMYFUNCTION("IFERROR(INDEX(FILTER('RE Portfolio'!A$2:A2000,'RE Portfolio'!D$2:D2000=""BUY""), INT((ROW()-2)/amortYears)+1), )
"),"")</f>
        <v/>
      </c>
      <c r="B1117" s="15" t="str">
        <f>IFERROR(__xludf.DUMMYFUNCTION("IFERROR(INDEX(FILTER('RE Portfolio'!B$2:B2000,'RE Portfolio'!D$2:D2000=""BUY""), INT((ROW()-2)/amortYears)+1), )
"),"")</f>
        <v/>
      </c>
      <c r="C1117" s="15" t="str">
        <f>IFERROR(__xludf.DUMMYFUNCTION("IFERROR(INDEX(FILTER('RE Portfolio'!G$2:G2000,'RE Portfolio'!D$2:D2000=""BUY""), INT((ROW()-2)/amortYears)+1), )
"),"")</f>
        <v/>
      </c>
      <c r="D1117" s="15">
        <f>MOD(ROW()-2, amortYears)+1</f>
        <v>14</v>
      </c>
      <c r="E1117" s="15" t="str">
        <f t="shared" si="1"/>
        <v/>
      </c>
      <c r="F1117" s="16">
        <f t="shared" si="2"/>
        <v>0</v>
      </c>
      <c r="G1117" s="16">
        <f>IF(D1117&lt;=mortTerm, -PMT(mortRate/12, mortTerm*12, C1117)*12, 0)
</f>
        <v>0</v>
      </c>
      <c r="H1117" s="16">
        <f>IF(D1117&lt;=mortTerm, G1117 - I1117, 0)
</f>
        <v>0</v>
      </c>
      <c r="I1117" s="16">
        <f>IF(D1117&lt;=mortTerm, F1117 - J1117, 0)
</f>
        <v>0</v>
      </c>
      <c r="J1117" s="16">
        <f>IF(D1117&lt;=mortTerm,
   F1117*(1+mortRate/12)^12 - (-PMT(mortRate/12, mortTerm*12, C1117))*(((1+mortRate/12)^12 - 1)/(mortRate/12)),
   0
)
</f>
        <v>0</v>
      </c>
      <c r="K1117" s="13" t="str">
        <f>IFERROR(__xludf.DUMMYFUNCTION("IF(A1117="""","""",
   IF(F1117&gt;0,
      INDEX(FILTER('RE Portfolio'!L$2:L2000,'RE Portfolio'!D$2:D2000=""BUY""), INT((ROW()-2)/amortYears)+1) - G1117,
      INDEX(FILTER('RE Portfolio'!L$2:L2000,'RE Portfolio'!D$2:D2000=""BUY""), INT((ROW()-2)/amortYears"&amp;")+1)
   )
)
"),"")</f>
        <v/>
      </c>
      <c r="L1117" s="15" t="str">
        <f>IFERROR(__xludf.DUMMYFUNCTION("IF(A1117="""","""",
  INDEX(FILTER('RE Portfolio'!C$2:C2000,'RE Portfolio'!D$2:D2000=""BUY""), INT((ROW()-2)/amortYears)+1)
  * (1 + VALUE(Assumptions!$B$11))^(D1117-1)
)
"),"")</f>
        <v/>
      </c>
    </row>
    <row r="1118">
      <c r="A1118" s="15" t="str">
        <f>IFERROR(__xludf.DUMMYFUNCTION("IFERROR(INDEX(FILTER('RE Portfolio'!A$2:A2000,'RE Portfolio'!D$2:D2000=""BUY""), INT((ROW()-2)/amortYears)+1), )
"),"")</f>
        <v/>
      </c>
      <c r="B1118" s="15" t="str">
        <f>IFERROR(__xludf.DUMMYFUNCTION("IFERROR(INDEX(FILTER('RE Portfolio'!B$2:B2000,'RE Portfolio'!D$2:D2000=""BUY""), INT((ROW()-2)/amortYears)+1), )
"),"")</f>
        <v/>
      </c>
      <c r="C1118" s="15" t="str">
        <f>IFERROR(__xludf.DUMMYFUNCTION("IFERROR(INDEX(FILTER('RE Portfolio'!G$2:G2000,'RE Portfolio'!D$2:D2000=""BUY""), INT((ROW()-2)/amortYears)+1), )
"),"")</f>
        <v/>
      </c>
      <c r="D1118" s="15">
        <f>MOD(ROW()-2, amortYears)+1</f>
        <v>15</v>
      </c>
      <c r="E1118" s="15" t="str">
        <f t="shared" si="1"/>
        <v/>
      </c>
      <c r="F1118" s="16">
        <f t="shared" si="2"/>
        <v>0</v>
      </c>
      <c r="G1118" s="16">
        <f>IF(D1118&lt;=mortTerm, -PMT(mortRate/12, mortTerm*12, C1118)*12, 0)
</f>
        <v>0</v>
      </c>
      <c r="H1118" s="16">
        <f>IF(D1118&lt;=mortTerm, G1118 - I1118, 0)
</f>
        <v>0</v>
      </c>
      <c r="I1118" s="16">
        <f>IF(D1118&lt;=mortTerm, F1118 - J1118, 0)
</f>
        <v>0</v>
      </c>
      <c r="J1118" s="16">
        <f>IF(D1118&lt;=mortTerm,
   F1118*(1+mortRate/12)^12 - (-PMT(mortRate/12, mortTerm*12, C1118))*(((1+mortRate/12)^12 - 1)/(mortRate/12)),
   0
)
</f>
        <v>0</v>
      </c>
      <c r="K1118" s="13" t="str">
        <f>IFERROR(__xludf.DUMMYFUNCTION("IF(A1118="""","""",
   IF(F1118&gt;0,
      INDEX(FILTER('RE Portfolio'!L$2:L2000,'RE Portfolio'!D$2:D2000=""BUY""), INT((ROW()-2)/amortYears)+1) - G1118,
      INDEX(FILTER('RE Portfolio'!L$2:L2000,'RE Portfolio'!D$2:D2000=""BUY""), INT((ROW()-2)/amortYears"&amp;")+1)
   )
)
"),"")</f>
        <v/>
      </c>
      <c r="L1118" s="15" t="str">
        <f>IFERROR(__xludf.DUMMYFUNCTION("IF(A1118="""","""",
  INDEX(FILTER('RE Portfolio'!C$2:C2000,'RE Portfolio'!D$2:D2000=""BUY""), INT((ROW()-2)/amortYears)+1)
  * (1 + VALUE(Assumptions!$B$11))^(D1118-1)
)
"),"")</f>
        <v/>
      </c>
    </row>
    <row r="1119">
      <c r="A1119" s="15" t="str">
        <f>IFERROR(__xludf.DUMMYFUNCTION("IFERROR(INDEX(FILTER('RE Portfolio'!A$2:A2000,'RE Portfolio'!D$2:D2000=""BUY""), INT((ROW()-2)/amortYears)+1), )
"),"")</f>
        <v/>
      </c>
      <c r="B1119" s="15" t="str">
        <f>IFERROR(__xludf.DUMMYFUNCTION("IFERROR(INDEX(FILTER('RE Portfolio'!B$2:B2000,'RE Portfolio'!D$2:D2000=""BUY""), INT((ROW()-2)/amortYears)+1), )
"),"")</f>
        <v/>
      </c>
      <c r="C1119" s="15" t="str">
        <f>IFERROR(__xludf.DUMMYFUNCTION("IFERROR(INDEX(FILTER('RE Portfolio'!G$2:G2000,'RE Portfolio'!D$2:D2000=""BUY""), INT((ROW()-2)/amortYears)+1), )
"),"")</f>
        <v/>
      </c>
      <c r="D1119" s="15">
        <f>MOD(ROW()-2, amortYears)+1</f>
        <v>16</v>
      </c>
      <c r="E1119" s="15" t="str">
        <f t="shared" si="1"/>
        <v/>
      </c>
      <c r="F1119" s="16">
        <f t="shared" si="2"/>
        <v>0</v>
      </c>
      <c r="G1119" s="16">
        <f>IF(D1119&lt;=mortTerm, -PMT(mortRate/12, mortTerm*12, C1119)*12, 0)
</f>
        <v>0</v>
      </c>
      <c r="H1119" s="16">
        <f>IF(D1119&lt;=mortTerm, G1119 - I1119, 0)
</f>
        <v>0</v>
      </c>
      <c r="I1119" s="16">
        <f>IF(D1119&lt;=mortTerm, F1119 - J1119, 0)
</f>
        <v>0</v>
      </c>
      <c r="J1119" s="16">
        <f>IF(D1119&lt;=mortTerm,
   F1119*(1+mortRate/12)^12 - (-PMT(mortRate/12, mortTerm*12, C1119))*(((1+mortRate/12)^12 - 1)/(mortRate/12)),
   0
)
</f>
        <v>0</v>
      </c>
      <c r="K1119" s="13" t="str">
        <f>IFERROR(__xludf.DUMMYFUNCTION("IF(A1119="""","""",
   IF(F1119&gt;0,
      INDEX(FILTER('RE Portfolio'!L$2:L2000,'RE Portfolio'!D$2:D2000=""BUY""), INT((ROW()-2)/amortYears)+1) - G1119,
      INDEX(FILTER('RE Portfolio'!L$2:L2000,'RE Portfolio'!D$2:D2000=""BUY""), INT((ROW()-2)/amortYears"&amp;")+1)
   )
)
"),"")</f>
        <v/>
      </c>
      <c r="L1119" s="15" t="str">
        <f>IFERROR(__xludf.DUMMYFUNCTION("IF(A1119="""","""",
  INDEX(FILTER('RE Portfolio'!C$2:C2000,'RE Portfolio'!D$2:D2000=""BUY""), INT((ROW()-2)/amortYears)+1)
  * (1 + VALUE(Assumptions!$B$11))^(D1119-1)
)
"),"")</f>
        <v/>
      </c>
    </row>
    <row r="1120">
      <c r="A1120" s="15" t="str">
        <f>IFERROR(__xludf.DUMMYFUNCTION("IFERROR(INDEX(FILTER('RE Portfolio'!A$2:A2000,'RE Portfolio'!D$2:D2000=""BUY""), INT((ROW()-2)/amortYears)+1), )
"),"")</f>
        <v/>
      </c>
      <c r="B1120" s="15" t="str">
        <f>IFERROR(__xludf.DUMMYFUNCTION("IFERROR(INDEX(FILTER('RE Portfolio'!B$2:B2000,'RE Portfolio'!D$2:D2000=""BUY""), INT((ROW()-2)/amortYears)+1), )
"),"")</f>
        <v/>
      </c>
      <c r="C1120" s="15" t="str">
        <f>IFERROR(__xludf.DUMMYFUNCTION("IFERROR(INDEX(FILTER('RE Portfolio'!G$2:G2000,'RE Portfolio'!D$2:D2000=""BUY""), INT((ROW()-2)/amortYears)+1), )
"),"")</f>
        <v/>
      </c>
      <c r="D1120" s="15">
        <f>MOD(ROW()-2, amortYears)+1</f>
        <v>17</v>
      </c>
      <c r="E1120" s="15" t="str">
        <f t="shared" si="1"/>
        <v/>
      </c>
      <c r="F1120" s="16">
        <f t="shared" si="2"/>
        <v>0</v>
      </c>
      <c r="G1120" s="16">
        <f>IF(D1120&lt;=mortTerm, -PMT(mortRate/12, mortTerm*12, C1120)*12, 0)
</f>
        <v>0</v>
      </c>
      <c r="H1120" s="16">
        <f>IF(D1120&lt;=mortTerm, G1120 - I1120, 0)
</f>
        <v>0</v>
      </c>
      <c r="I1120" s="16">
        <f>IF(D1120&lt;=mortTerm, F1120 - J1120, 0)
</f>
        <v>0</v>
      </c>
      <c r="J1120" s="16">
        <f>IF(D1120&lt;=mortTerm,
   F1120*(1+mortRate/12)^12 - (-PMT(mortRate/12, mortTerm*12, C1120))*(((1+mortRate/12)^12 - 1)/(mortRate/12)),
   0
)
</f>
        <v>0</v>
      </c>
      <c r="K1120" s="13" t="str">
        <f>IFERROR(__xludf.DUMMYFUNCTION("IF(A1120="""","""",
   IF(F1120&gt;0,
      INDEX(FILTER('RE Portfolio'!L$2:L2000,'RE Portfolio'!D$2:D2000=""BUY""), INT((ROW()-2)/amortYears)+1) - G1120,
      INDEX(FILTER('RE Portfolio'!L$2:L2000,'RE Portfolio'!D$2:D2000=""BUY""), INT((ROW()-2)/amortYears"&amp;")+1)
   )
)
"),"")</f>
        <v/>
      </c>
      <c r="L1120" s="15" t="str">
        <f>IFERROR(__xludf.DUMMYFUNCTION("IF(A1120="""","""",
  INDEX(FILTER('RE Portfolio'!C$2:C2000,'RE Portfolio'!D$2:D2000=""BUY""), INT((ROW()-2)/amortYears)+1)
  * (1 + VALUE(Assumptions!$B$11))^(D1120-1)
)
"),"")</f>
        <v/>
      </c>
    </row>
    <row r="1121">
      <c r="A1121" s="15" t="str">
        <f>IFERROR(__xludf.DUMMYFUNCTION("IFERROR(INDEX(FILTER('RE Portfolio'!A$2:A2000,'RE Portfolio'!D$2:D2000=""BUY""), INT((ROW()-2)/amortYears)+1), )
"),"")</f>
        <v/>
      </c>
      <c r="B1121" s="15" t="str">
        <f>IFERROR(__xludf.DUMMYFUNCTION("IFERROR(INDEX(FILTER('RE Portfolio'!B$2:B2000,'RE Portfolio'!D$2:D2000=""BUY""), INT((ROW()-2)/amortYears)+1), )
"),"")</f>
        <v/>
      </c>
      <c r="C1121" s="15" t="str">
        <f>IFERROR(__xludf.DUMMYFUNCTION("IFERROR(INDEX(FILTER('RE Portfolio'!G$2:G2000,'RE Portfolio'!D$2:D2000=""BUY""), INT((ROW()-2)/amortYears)+1), )
"),"")</f>
        <v/>
      </c>
      <c r="D1121" s="15">
        <f>MOD(ROW()-2, amortYears)+1</f>
        <v>18</v>
      </c>
      <c r="E1121" s="15" t="str">
        <f t="shared" si="1"/>
        <v/>
      </c>
      <c r="F1121" s="16">
        <f t="shared" si="2"/>
        <v>0</v>
      </c>
      <c r="G1121" s="16">
        <f>IF(D1121&lt;=mortTerm, -PMT(mortRate/12, mortTerm*12, C1121)*12, 0)
</f>
        <v>0</v>
      </c>
      <c r="H1121" s="16">
        <f>IF(D1121&lt;=mortTerm, G1121 - I1121, 0)
</f>
        <v>0</v>
      </c>
      <c r="I1121" s="16">
        <f>IF(D1121&lt;=mortTerm, F1121 - J1121, 0)
</f>
        <v>0</v>
      </c>
      <c r="J1121" s="16">
        <f>IF(D1121&lt;=mortTerm,
   F1121*(1+mortRate/12)^12 - (-PMT(mortRate/12, mortTerm*12, C1121))*(((1+mortRate/12)^12 - 1)/(mortRate/12)),
   0
)
</f>
        <v>0</v>
      </c>
      <c r="K1121" s="13" t="str">
        <f>IFERROR(__xludf.DUMMYFUNCTION("IF(A1121="""","""",
   IF(F1121&gt;0,
      INDEX(FILTER('RE Portfolio'!L$2:L2000,'RE Portfolio'!D$2:D2000=""BUY""), INT((ROW()-2)/amortYears)+1) - G1121,
      INDEX(FILTER('RE Portfolio'!L$2:L2000,'RE Portfolio'!D$2:D2000=""BUY""), INT((ROW()-2)/amortYears"&amp;")+1)
   )
)
"),"")</f>
        <v/>
      </c>
      <c r="L1121" s="15" t="str">
        <f>IFERROR(__xludf.DUMMYFUNCTION("IF(A1121="""","""",
  INDEX(FILTER('RE Portfolio'!C$2:C2000,'RE Portfolio'!D$2:D2000=""BUY""), INT((ROW()-2)/amortYears)+1)
  * (1 + VALUE(Assumptions!$B$11))^(D1121-1)
)
"),"")</f>
        <v/>
      </c>
    </row>
    <row r="1122">
      <c r="A1122" s="15" t="str">
        <f>IFERROR(__xludf.DUMMYFUNCTION("IFERROR(INDEX(FILTER('RE Portfolio'!A$2:A2000,'RE Portfolio'!D$2:D2000=""BUY""), INT((ROW()-2)/amortYears)+1), )
"),"")</f>
        <v/>
      </c>
      <c r="B1122" s="15" t="str">
        <f>IFERROR(__xludf.DUMMYFUNCTION("IFERROR(INDEX(FILTER('RE Portfolio'!B$2:B2000,'RE Portfolio'!D$2:D2000=""BUY""), INT((ROW()-2)/amortYears)+1), )
"),"")</f>
        <v/>
      </c>
      <c r="C1122" s="15" t="str">
        <f>IFERROR(__xludf.DUMMYFUNCTION("IFERROR(INDEX(FILTER('RE Portfolio'!G$2:G2000,'RE Portfolio'!D$2:D2000=""BUY""), INT((ROW()-2)/amortYears)+1), )
"),"")</f>
        <v/>
      </c>
      <c r="D1122" s="15">
        <f>MOD(ROW()-2, amortYears)+1</f>
        <v>19</v>
      </c>
      <c r="E1122" s="15" t="str">
        <f t="shared" si="1"/>
        <v/>
      </c>
      <c r="F1122" s="16">
        <f t="shared" si="2"/>
        <v>0</v>
      </c>
      <c r="G1122" s="16">
        <f>IF(D1122&lt;=mortTerm, -PMT(mortRate/12, mortTerm*12, C1122)*12, 0)
</f>
        <v>0</v>
      </c>
      <c r="H1122" s="16">
        <f>IF(D1122&lt;=mortTerm, G1122 - I1122, 0)
</f>
        <v>0</v>
      </c>
      <c r="I1122" s="16">
        <f>IF(D1122&lt;=mortTerm, F1122 - J1122, 0)
</f>
        <v>0</v>
      </c>
      <c r="J1122" s="16">
        <f>IF(D1122&lt;=mortTerm,
   F1122*(1+mortRate/12)^12 - (-PMT(mortRate/12, mortTerm*12, C1122))*(((1+mortRate/12)^12 - 1)/(mortRate/12)),
   0
)
</f>
        <v>0</v>
      </c>
      <c r="K1122" s="13" t="str">
        <f>IFERROR(__xludf.DUMMYFUNCTION("IF(A1122="""","""",
   IF(F1122&gt;0,
      INDEX(FILTER('RE Portfolio'!L$2:L2000,'RE Portfolio'!D$2:D2000=""BUY""), INT((ROW()-2)/amortYears)+1) - G1122,
      INDEX(FILTER('RE Portfolio'!L$2:L2000,'RE Portfolio'!D$2:D2000=""BUY""), INT((ROW()-2)/amortYears"&amp;")+1)
   )
)
"),"")</f>
        <v/>
      </c>
      <c r="L1122" s="15" t="str">
        <f>IFERROR(__xludf.DUMMYFUNCTION("IF(A1122="""","""",
  INDEX(FILTER('RE Portfolio'!C$2:C2000,'RE Portfolio'!D$2:D2000=""BUY""), INT((ROW()-2)/amortYears)+1)
  * (1 + VALUE(Assumptions!$B$11))^(D1122-1)
)
"),"")</f>
        <v/>
      </c>
    </row>
    <row r="1123">
      <c r="A1123" s="15" t="str">
        <f>IFERROR(__xludf.DUMMYFUNCTION("IFERROR(INDEX(FILTER('RE Portfolio'!A$2:A2000,'RE Portfolio'!D$2:D2000=""BUY""), INT((ROW()-2)/amortYears)+1), )
"),"")</f>
        <v/>
      </c>
      <c r="B1123" s="15" t="str">
        <f>IFERROR(__xludf.DUMMYFUNCTION("IFERROR(INDEX(FILTER('RE Portfolio'!B$2:B2000,'RE Portfolio'!D$2:D2000=""BUY""), INT((ROW()-2)/amortYears)+1), )
"),"")</f>
        <v/>
      </c>
      <c r="C1123" s="15" t="str">
        <f>IFERROR(__xludf.DUMMYFUNCTION("IFERROR(INDEX(FILTER('RE Portfolio'!G$2:G2000,'RE Portfolio'!D$2:D2000=""BUY""), INT((ROW()-2)/amortYears)+1), )
"),"")</f>
        <v/>
      </c>
      <c r="D1123" s="15">
        <f>MOD(ROW()-2, amortYears)+1</f>
        <v>20</v>
      </c>
      <c r="E1123" s="15" t="str">
        <f t="shared" si="1"/>
        <v/>
      </c>
      <c r="F1123" s="16">
        <f t="shared" si="2"/>
        <v>0</v>
      </c>
      <c r="G1123" s="16">
        <f>IF(D1123&lt;=mortTerm, -PMT(mortRate/12, mortTerm*12, C1123)*12, 0)
</f>
        <v>0</v>
      </c>
      <c r="H1123" s="16">
        <f>IF(D1123&lt;=mortTerm, G1123 - I1123, 0)
</f>
        <v>0</v>
      </c>
      <c r="I1123" s="16">
        <f>IF(D1123&lt;=mortTerm, F1123 - J1123, 0)
</f>
        <v>0</v>
      </c>
      <c r="J1123" s="16">
        <f>IF(D1123&lt;=mortTerm,
   F1123*(1+mortRate/12)^12 - (-PMT(mortRate/12, mortTerm*12, C1123))*(((1+mortRate/12)^12 - 1)/(mortRate/12)),
   0
)
</f>
        <v>0</v>
      </c>
      <c r="K1123" s="13" t="str">
        <f>IFERROR(__xludf.DUMMYFUNCTION("IF(A1123="""","""",
   IF(F1123&gt;0,
      INDEX(FILTER('RE Portfolio'!L$2:L2000,'RE Portfolio'!D$2:D2000=""BUY""), INT((ROW()-2)/amortYears)+1) - G1123,
      INDEX(FILTER('RE Portfolio'!L$2:L2000,'RE Portfolio'!D$2:D2000=""BUY""), INT((ROW()-2)/amortYears"&amp;")+1)
   )
)
"),"")</f>
        <v/>
      </c>
      <c r="L1123" s="15" t="str">
        <f>IFERROR(__xludf.DUMMYFUNCTION("IF(A1123="""","""",
  INDEX(FILTER('RE Portfolio'!C$2:C2000,'RE Portfolio'!D$2:D2000=""BUY""), INT((ROW()-2)/amortYears)+1)
  * (1 + VALUE(Assumptions!$B$11))^(D1123-1)
)
"),"")</f>
        <v/>
      </c>
    </row>
    <row r="1124">
      <c r="A1124" s="15" t="str">
        <f>IFERROR(__xludf.DUMMYFUNCTION("IFERROR(INDEX(FILTER('RE Portfolio'!A$2:A2000,'RE Portfolio'!D$2:D2000=""BUY""), INT((ROW()-2)/amortYears)+1), )
"),"")</f>
        <v/>
      </c>
      <c r="B1124" s="15" t="str">
        <f>IFERROR(__xludf.DUMMYFUNCTION("IFERROR(INDEX(FILTER('RE Portfolio'!B$2:B2000,'RE Portfolio'!D$2:D2000=""BUY""), INT((ROW()-2)/amortYears)+1), )
"),"")</f>
        <v/>
      </c>
      <c r="C1124" s="15" t="str">
        <f>IFERROR(__xludf.DUMMYFUNCTION("IFERROR(INDEX(FILTER('RE Portfolio'!G$2:G2000,'RE Portfolio'!D$2:D2000=""BUY""), INT((ROW()-2)/amortYears)+1), )
"),"")</f>
        <v/>
      </c>
      <c r="D1124" s="15">
        <f>MOD(ROW()-2, amortYears)+1</f>
        <v>21</v>
      </c>
      <c r="E1124" s="15" t="str">
        <f t="shared" si="1"/>
        <v/>
      </c>
      <c r="F1124" s="16">
        <f t="shared" si="2"/>
        <v>0</v>
      </c>
      <c r="G1124" s="16">
        <f>IF(D1124&lt;=mortTerm, -PMT(mortRate/12, mortTerm*12, C1124)*12, 0)
</f>
        <v>0</v>
      </c>
      <c r="H1124" s="16">
        <f>IF(D1124&lt;=mortTerm, G1124 - I1124, 0)
</f>
        <v>0</v>
      </c>
      <c r="I1124" s="16">
        <f>IF(D1124&lt;=mortTerm, F1124 - J1124, 0)
</f>
        <v>0</v>
      </c>
      <c r="J1124" s="16">
        <f>IF(D1124&lt;=mortTerm,
   F1124*(1+mortRate/12)^12 - (-PMT(mortRate/12, mortTerm*12, C1124))*(((1+mortRate/12)^12 - 1)/(mortRate/12)),
   0
)
</f>
        <v>0</v>
      </c>
      <c r="K1124" s="13" t="str">
        <f>IFERROR(__xludf.DUMMYFUNCTION("IF(A1124="""","""",
   IF(F1124&gt;0,
      INDEX(FILTER('RE Portfolio'!L$2:L2000,'RE Portfolio'!D$2:D2000=""BUY""), INT((ROW()-2)/amortYears)+1) - G1124,
      INDEX(FILTER('RE Portfolio'!L$2:L2000,'RE Portfolio'!D$2:D2000=""BUY""), INT((ROW()-2)/amortYears"&amp;")+1)
   )
)
"),"")</f>
        <v/>
      </c>
      <c r="L1124" s="15" t="str">
        <f>IFERROR(__xludf.DUMMYFUNCTION("IF(A1124="""","""",
  INDEX(FILTER('RE Portfolio'!C$2:C2000,'RE Portfolio'!D$2:D2000=""BUY""), INT((ROW()-2)/amortYears)+1)
  * (1 + VALUE(Assumptions!$B$11))^(D1124-1)
)
"),"")</f>
        <v/>
      </c>
    </row>
    <row r="1125">
      <c r="A1125" s="15" t="str">
        <f>IFERROR(__xludf.DUMMYFUNCTION("IFERROR(INDEX(FILTER('RE Portfolio'!A$2:A2000,'RE Portfolio'!D$2:D2000=""BUY""), INT((ROW()-2)/amortYears)+1), )
"),"")</f>
        <v/>
      </c>
      <c r="B1125" s="15" t="str">
        <f>IFERROR(__xludf.DUMMYFUNCTION("IFERROR(INDEX(FILTER('RE Portfolio'!B$2:B2000,'RE Portfolio'!D$2:D2000=""BUY""), INT((ROW()-2)/amortYears)+1), )
"),"")</f>
        <v/>
      </c>
      <c r="C1125" s="15" t="str">
        <f>IFERROR(__xludf.DUMMYFUNCTION("IFERROR(INDEX(FILTER('RE Portfolio'!G$2:G2000,'RE Portfolio'!D$2:D2000=""BUY""), INT((ROW()-2)/amortYears)+1), )
"),"")</f>
        <v/>
      </c>
      <c r="D1125" s="15">
        <f>MOD(ROW()-2, amortYears)+1</f>
        <v>22</v>
      </c>
      <c r="E1125" s="15" t="str">
        <f t="shared" si="1"/>
        <v/>
      </c>
      <c r="F1125" s="16">
        <f t="shared" si="2"/>
        <v>0</v>
      </c>
      <c r="G1125" s="16">
        <f>IF(D1125&lt;=mortTerm, -PMT(mortRate/12, mortTerm*12, C1125)*12, 0)
</f>
        <v>0</v>
      </c>
      <c r="H1125" s="16">
        <f>IF(D1125&lt;=mortTerm, G1125 - I1125, 0)
</f>
        <v>0</v>
      </c>
      <c r="I1125" s="16">
        <f>IF(D1125&lt;=mortTerm, F1125 - J1125, 0)
</f>
        <v>0</v>
      </c>
      <c r="J1125" s="16">
        <f>IF(D1125&lt;=mortTerm,
   F1125*(1+mortRate/12)^12 - (-PMT(mortRate/12, mortTerm*12, C1125))*(((1+mortRate/12)^12 - 1)/(mortRate/12)),
   0
)
</f>
        <v>0</v>
      </c>
      <c r="K1125" s="13" t="str">
        <f>IFERROR(__xludf.DUMMYFUNCTION("IF(A1125="""","""",
   IF(F1125&gt;0,
      INDEX(FILTER('RE Portfolio'!L$2:L2000,'RE Portfolio'!D$2:D2000=""BUY""), INT((ROW()-2)/amortYears)+1) - G1125,
      INDEX(FILTER('RE Portfolio'!L$2:L2000,'RE Portfolio'!D$2:D2000=""BUY""), INT((ROW()-2)/amortYears"&amp;")+1)
   )
)
"),"")</f>
        <v/>
      </c>
      <c r="L1125" s="15" t="str">
        <f>IFERROR(__xludf.DUMMYFUNCTION("IF(A1125="""","""",
  INDEX(FILTER('RE Portfolio'!C$2:C2000,'RE Portfolio'!D$2:D2000=""BUY""), INT((ROW()-2)/amortYears)+1)
  * (1 + VALUE(Assumptions!$B$11))^(D1125-1)
)
"),"")</f>
        <v/>
      </c>
    </row>
    <row r="1126">
      <c r="A1126" s="15" t="str">
        <f>IFERROR(__xludf.DUMMYFUNCTION("IFERROR(INDEX(FILTER('RE Portfolio'!A$2:A2000,'RE Portfolio'!D$2:D2000=""BUY""), INT((ROW()-2)/amortYears)+1), )
"),"")</f>
        <v/>
      </c>
      <c r="B1126" s="15" t="str">
        <f>IFERROR(__xludf.DUMMYFUNCTION("IFERROR(INDEX(FILTER('RE Portfolio'!B$2:B2000,'RE Portfolio'!D$2:D2000=""BUY""), INT((ROW()-2)/amortYears)+1), )
"),"")</f>
        <v/>
      </c>
      <c r="C1126" s="15" t="str">
        <f>IFERROR(__xludf.DUMMYFUNCTION("IFERROR(INDEX(FILTER('RE Portfolio'!G$2:G2000,'RE Portfolio'!D$2:D2000=""BUY""), INT((ROW()-2)/amortYears)+1), )
"),"")</f>
        <v/>
      </c>
      <c r="D1126" s="15">
        <f>MOD(ROW()-2, amortYears)+1</f>
        <v>23</v>
      </c>
      <c r="E1126" s="15" t="str">
        <f t="shared" si="1"/>
        <v/>
      </c>
      <c r="F1126" s="16">
        <f t="shared" si="2"/>
        <v>0</v>
      </c>
      <c r="G1126" s="16">
        <f>IF(D1126&lt;=mortTerm, -PMT(mortRate/12, mortTerm*12, C1126)*12, 0)
</f>
        <v>0</v>
      </c>
      <c r="H1126" s="16">
        <f>IF(D1126&lt;=mortTerm, G1126 - I1126, 0)
</f>
        <v>0</v>
      </c>
      <c r="I1126" s="16">
        <f>IF(D1126&lt;=mortTerm, F1126 - J1126, 0)
</f>
        <v>0</v>
      </c>
      <c r="J1126" s="16">
        <f>IF(D1126&lt;=mortTerm,
   F1126*(1+mortRate/12)^12 - (-PMT(mortRate/12, mortTerm*12, C1126))*(((1+mortRate/12)^12 - 1)/(mortRate/12)),
   0
)
</f>
        <v>0</v>
      </c>
      <c r="K1126" s="13" t="str">
        <f>IFERROR(__xludf.DUMMYFUNCTION("IF(A1126="""","""",
   IF(F1126&gt;0,
      INDEX(FILTER('RE Portfolio'!L$2:L2000,'RE Portfolio'!D$2:D2000=""BUY""), INT((ROW()-2)/amortYears)+1) - G1126,
      INDEX(FILTER('RE Portfolio'!L$2:L2000,'RE Portfolio'!D$2:D2000=""BUY""), INT((ROW()-2)/amortYears"&amp;")+1)
   )
)
"),"")</f>
        <v/>
      </c>
      <c r="L1126" s="15" t="str">
        <f>IFERROR(__xludf.DUMMYFUNCTION("IF(A1126="""","""",
  INDEX(FILTER('RE Portfolio'!C$2:C2000,'RE Portfolio'!D$2:D2000=""BUY""), INT((ROW()-2)/amortYears)+1)
  * (1 + VALUE(Assumptions!$B$11))^(D1126-1)
)
"),"")</f>
        <v/>
      </c>
    </row>
    <row r="1127">
      <c r="A1127" s="15" t="str">
        <f>IFERROR(__xludf.DUMMYFUNCTION("IFERROR(INDEX(FILTER('RE Portfolio'!A$2:A2000,'RE Portfolio'!D$2:D2000=""BUY""), INT((ROW()-2)/amortYears)+1), )
"),"")</f>
        <v/>
      </c>
      <c r="B1127" s="15" t="str">
        <f>IFERROR(__xludf.DUMMYFUNCTION("IFERROR(INDEX(FILTER('RE Portfolio'!B$2:B2000,'RE Portfolio'!D$2:D2000=""BUY""), INT((ROW()-2)/amortYears)+1), )
"),"")</f>
        <v/>
      </c>
      <c r="C1127" s="15" t="str">
        <f>IFERROR(__xludf.DUMMYFUNCTION("IFERROR(INDEX(FILTER('RE Portfolio'!G$2:G2000,'RE Portfolio'!D$2:D2000=""BUY""), INT((ROW()-2)/amortYears)+1), )
"),"")</f>
        <v/>
      </c>
      <c r="D1127" s="15">
        <f>MOD(ROW()-2, amortYears)+1</f>
        <v>24</v>
      </c>
      <c r="E1127" s="15" t="str">
        <f t="shared" si="1"/>
        <v/>
      </c>
      <c r="F1127" s="16">
        <f t="shared" si="2"/>
        <v>0</v>
      </c>
      <c r="G1127" s="16">
        <f>IF(D1127&lt;=mortTerm, -PMT(mortRate/12, mortTerm*12, C1127)*12, 0)
</f>
        <v>0</v>
      </c>
      <c r="H1127" s="16">
        <f>IF(D1127&lt;=mortTerm, G1127 - I1127, 0)
</f>
        <v>0</v>
      </c>
      <c r="I1127" s="16">
        <f>IF(D1127&lt;=mortTerm, F1127 - J1127, 0)
</f>
        <v>0</v>
      </c>
      <c r="J1127" s="16">
        <f>IF(D1127&lt;=mortTerm,
   F1127*(1+mortRate/12)^12 - (-PMT(mortRate/12, mortTerm*12, C1127))*(((1+mortRate/12)^12 - 1)/(mortRate/12)),
   0
)
</f>
        <v>0</v>
      </c>
      <c r="K1127" s="13" t="str">
        <f>IFERROR(__xludf.DUMMYFUNCTION("IF(A1127="""","""",
   IF(F1127&gt;0,
      INDEX(FILTER('RE Portfolio'!L$2:L2000,'RE Portfolio'!D$2:D2000=""BUY""), INT((ROW()-2)/amortYears)+1) - G1127,
      INDEX(FILTER('RE Portfolio'!L$2:L2000,'RE Portfolio'!D$2:D2000=""BUY""), INT((ROW()-2)/amortYears"&amp;")+1)
   )
)
"),"")</f>
        <v/>
      </c>
      <c r="L1127" s="15" t="str">
        <f>IFERROR(__xludf.DUMMYFUNCTION("IF(A1127="""","""",
  INDEX(FILTER('RE Portfolio'!C$2:C2000,'RE Portfolio'!D$2:D2000=""BUY""), INT((ROW()-2)/amortYears)+1)
  * (1 + VALUE(Assumptions!$B$11))^(D1127-1)
)
"),"")</f>
        <v/>
      </c>
    </row>
    <row r="1128">
      <c r="A1128" s="15" t="str">
        <f>IFERROR(__xludf.DUMMYFUNCTION("IFERROR(INDEX(FILTER('RE Portfolio'!A$2:A2000,'RE Portfolio'!D$2:D2000=""BUY""), INT((ROW()-2)/amortYears)+1), )
"),"")</f>
        <v/>
      </c>
      <c r="B1128" s="15" t="str">
        <f>IFERROR(__xludf.DUMMYFUNCTION("IFERROR(INDEX(FILTER('RE Portfolio'!B$2:B2000,'RE Portfolio'!D$2:D2000=""BUY""), INT((ROW()-2)/amortYears)+1), )
"),"")</f>
        <v/>
      </c>
      <c r="C1128" s="15" t="str">
        <f>IFERROR(__xludf.DUMMYFUNCTION("IFERROR(INDEX(FILTER('RE Portfolio'!G$2:G2000,'RE Portfolio'!D$2:D2000=""BUY""), INT((ROW()-2)/amortYears)+1), )
"),"")</f>
        <v/>
      </c>
      <c r="D1128" s="15">
        <f>MOD(ROW()-2, amortYears)+1</f>
        <v>25</v>
      </c>
      <c r="E1128" s="15" t="str">
        <f t="shared" si="1"/>
        <v/>
      </c>
      <c r="F1128" s="16">
        <f t="shared" si="2"/>
        <v>0</v>
      </c>
      <c r="G1128" s="16">
        <f>IF(D1128&lt;=mortTerm, -PMT(mortRate/12, mortTerm*12, C1128)*12, 0)
</f>
        <v>0</v>
      </c>
      <c r="H1128" s="16">
        <f>IF(D1128&lt;=mortTerm, G1128 - I1128, 0)
</f>
        <v>0</v>
      </c>
      <c r="I1128" s="16">
        <f>IF(D1128&lt;=mortTerm, F1128 - J1128, 0)
</f>
        <v>0</v>
      </c>
      <c r="J1128" s="16">
        <f>IF(D1128&lt;=mortTerm,
   F1128*(1+mortRate/12)^12 - (-PMT(mortRate/12, mortTerm*12, C1128))*(((1+mortRate/12)^12 - 1)/(mortRate/12)),
   0
)
</f>
        <v>0</v>
      </c>
      <c r="K1128" s="13" t="str">
        <f>IFERROR(__xludf.DUMMYFUNCTION("IF(A1128="""","""",
   IF(F1128&gt;0,
      INDEX(FILTER('RE Portfolio'!L$2:L2000,'RE Portfolio'!D$2:D2000=""BUY""), INT((ROW()-2)/amortYears)+1) - G1128,
      INDEX(FILTER('RE Portfolio'!L$2:L2000,'RE Portfolio'!D$2:D2000=""BUY""), INT((ROW()-2)/amortYears"&amp;")+1)
   )
)
"),"")</f>
        <v/>
      </c>
      <c r="L1128" s="15" t="str">
        <f>IFERROR(__xludf.DUMMYFUNCTION("IF(A1128="""","""",
  INDEX(FILTER('RE Portfolio'!C$2:C2000,'RE Portfolio'!D$2:D2000=""BUY""), INT((ROW()-2)/amortYears)+1)
  * (1 + VALUE(Assumptions!$B$11))^(D1128-1)
)
"),"")</f>
        <v/>
      </c>
    </row>
    <row r="1129">
      <c r="A1129" s="15" t="str">
        <f>IFERROR(__xludf.DUMMYFUNCTION("IFERROR(INDEX(FILTER('RE Portfolio'!A$2:A2000,'RE Portfolio'!D$2:D2000=""BUY""), INT((ROW()-2)/amortYears)+1), )
"),"")</f>
        <v/>
      </c>
      <c r="B1129" s="15" t="str">
        <f>IFERROR(__xludf.DUMMYFUNCTION("IFERROR(INDEX(FILTER('RE Portfolio'!B$2:B2000,'RE Portfolio'!D$2:D2000=""BUY""), INT((ROW()-2)/amortYears)+1), )
"),"")</f>
        <v/>
      </c>
      <c r="C1129" s="15" t="str">
        <f>IFERROR(__xludf.DUMMYFUNCTION("IFERROR(INDEX(FILTER('RE Portfolio'!G$2:G2000,'RE Portfolio'!D$2:D2000=""BUY""), INT((ROW()-2)/amortYears)+1), )
"),"")</f>
        <v/>
      </c>
      <c r="D1129" s="15">
        <f>MOD(ROW()-2, amortYears)+1</f>
        <v>26</v>
      </c>
      <c r="E1129" s="15" t="str">
        <f t="shared" si="1"/>
        <v/>
      </c>
      <c r="F1129" s="16">
        <f t="shared" si="2"/>
        <v>0</v>
      </c>
      <c r="G1129" s="16">
        <f>IF(D1129&lt;=mortTerm, -PMT(mortRate/12, mortTerm*12, C1129)*12, 0)
</f>
        <v>0</v>
      </c>
      <c r="H1129" s="16">
        <f>IF(D1129&lt;=mortTerm, G1129 - I1129, 0)
</f>
        <v>0</v>
      </c>
      <c r="I1129" s="16">
        <f>IF(D1129&lt;=mortTerm, F1129 - J1129, 0)
</f>
        <v>0</v>
      </c>
      <c r="J1129" s="16">
        <f>IF(D1129&lt;=mortTerm,
   F1129*(1+mortRate/12)^12 - (-PMT(mortRate/12, mortTerm*12, C1129))*(((1+mortRate/12)^12 - 1)/(mortRate/12)),
   0
)
</f>
        <v>0</v>
      </c>
      <c r="K1129" s="13" t="str">
        <f>IFERROR(__xludf.DUMMYFUNCTION("IF(A1129="""","""",
   IF(F1129&gt;0,
      INDEX(FILTER('RE Portfolio'!L$2:L2000,'RE Portfolio'!D$2:D2000=""BUY""), INT((ROW()-2)/amortYears)+1) - G1129,
      INDEX(FILTER('RE Portfolio'!L$2:L2000,'RE Portfolio'!D$2:D2000=""BUY""), INT((ROW()-2)/amortYears"&amp;")+1)
   )
)
"),"")</f>
        <v/>
      </c>
      <c r="L1129" s="15" t="str">
        <f>IFERROR(__xludf.DUMMYFUNCTION("IF(A1129="""","""",
  INDEX(FILTER('RE Portfolio'!C$2:C2000,'RE Portfolio'!D$2:D2000=""BUY""), INT((ROW()-2)/amortYears)+1)
  * (1 + VALUE(Assumptions!$B$11))^(D1129-1)
)
"),"")</f>
        <v/>
      </c>
    </row>
    <row r="1130">
      <c r="A1130" s="15" t="str">
        <f>IFERROR(__xludf.DUMMYFUNCTION("IFERROR(INDEX(FILTER('RE Portfolio'!A$2:A2000,'RE Portfolio'!D$2:D2000=""BUY""), INT((ROW()-2)/amortYears)+1), )
"),"")</f>
        <v/>
      </c>
      <c r="B1130" s="15" t="str">
        <f>IFERROR(__xludf.DUMMYFUNCTION("IFERROR(INDEX(FILTER('RE Portfolio'!B$2:B2000,'RE Portfolio'!D$2:D2000=""BUY""), INT((ROW()-2)/amortYears)+1), )
"),"")</f>
        <v/>
      </c>
      <c r="C1130" s="15" t="str">
        <f>IFERROR(__xludf.DUMMYFUNCTION("IFERROR(INDEX(FILTER('RE Portfolio'!G$2:G2000,'RE Portfolio'!D$2:D2000=""BUY""), INT((ROW()-2)/amortYears)+1), )
"),"")</f>
        <v/>
      </c>
      <c r="D1130" s="15">
        <f>MOD(ROW()-2, amortYears)+1</f>
        <v>27</v>
      </c>
      <c r="E1130" s="15" t="str">
        <f t="shared" si="1"/>
        <v/>
      </c>
      <c r="F1130" s="16">
        <f t="shared" si="2"/>
        <v>0</v>
      </c>
      <c r="G1130" s="16">
        <f>IF(D1130&lt;=mortTerm, -PMT(mortRate/12, mortTerm*12, C1130)*12, 0)
</f>
        <v>0</v>
      </c>
      <c r="H1130" s="16">
        <f>IF(D1130&lt;=mortTerm, G1130 - I1130, 0)
</f>
        <v>0</v>
      </c>
      <c r="I1130" s="16">
        <f>IF(D1130&lt;=mortTerm, F1130 - J1130, 0)
</f>
        <v>0</v>
      </c>
      <c r="J1130" s="16">
        <f>IF(D1130&lt;=mortTerm,
   F1130*(1+mortRate/12)^12 - (-PMT(mortRate/12, mortTerm*12, C1130))*(((1+mortRate/12)^12 - 1)/(mortRate/12)),
   0
)
</f>
        <v>0</v>
      </c>
      <c r="K1130" s="13" t="str">
        <f>IFERROR(__xludf.DUMMYFUNCTION("IF(A1130="""","""",
   IF(F1130&gt;0,
      INDEX(FILTER('RE Portfolio'!L$2:L2000,'RE Portfolio'!D$2:D2000=""BUY""), INT((ROW()-2)/amortYears)+1) - G1130,
      INDEX(FILTER('RE Portfolio'!L$2:L2000,'RE Portfolio'!D$2:D2000=""BUY""), INT((ROW()-2)/amortYears"&amp;")+1)
   )
)
"),"")</f>
        <v/>
      </c>
      <c r="L1130" s="15" t="str">
        <f>IFERROR(__xludf.DUMMYFUNCTION("IF(A1130="""","""",
  INDEX(FILTER('RE Portfolio'!C$2:C2000,'RE Portfolio'!D$2:D2000=""BUY""), INT((ROW()-2)/amortYears)+1)
  * (1 + VALUE(Assumptions!$B$11))^(D1130-1)
)
"),"")</f>
        <v/>
      </c>
    </row>
    <row r="1131">
      <c r="A1131" s="15" t="str">
        <f>IFERROR(__xludf.DUMMYFUNCTION("IFERROR(INDEX(FILTER('RE Portfolio'!A$2:A2000,'RE Portfolio'!D$2:D2000=""BUY""), INT((ROW()-2)/amortYears)+1), )
"),"")</f>
        <v/>
      </c>
      <c r="B1131" s="15" t="str">
        <f>IFERROR(__xludf.DUMMYFUNCTION("IFERROR(INDEX(FILTER('RE Portfolio'!B$2:B2000,'RE Portfolio'!D$2:D2000=""BUY""), INT((ROW()-2)/amortYears)+1), )
"),"")</f>
        <v/>
      </c>
      <c r="C1131" s="15" t="str">
        <f>IFERROR(__xludf.DUMMYFUNCTION("IFERROR(INDEX(FILTER('RE Portfolio'!G$2:G2000,'RE Portfolio'!D$2:D2000=""BUY""), INT((ROW()-2)/amortYears)+1), )
"),"")</f>
        <v/>
      </c>
      <c r="D1131" s="15">
        <f>MOD(ROW()-2, amortYears)+1</f>
        <v>28</v>
      </c>
      <c r="E1131" s="15" t="str">
        <f t="shared" si="1"/>
        <v/>
      </c>
      <c r="F1131" s="16">
        <f t="shared" si="2"/>
        <v>0</v>
      </c>
      <c r="G1131" s="16">
        <f>IF(D1131&lt;=mortTerm, -PMT(mortRate/12, mortTerm*12, C1131)*12, 0)
</f>
        <v>0</v>
      </c>
      <c r="H1131" s="16">
        <f>IF(D1131&lt;=mortTerm, G1131 - I1131, 0)
</f>
        <v>0</v>
      </c>
      <c r="I1131" s="16">
        <f>IF(D1131&lt;=mortTerm, F1131 - J1131, 0)
</f>
        <v>0</v>
      </c>
      <c r="J1131" s="16">
        <f>IF(D1131&lt;=mortTerm,
   F1131*(1+mortRate/12)^12 - (-PMT(mortRate/12, mortTerm*12, C1131))*(((1+mortRate/12)^12 - 1)/(mortRate/12)),
   0
)
</f>
        <v>0</v>
      </c>
      <c r="K1131" s="13" t="str">
        <f>IFERROR(__xludf.DUMMYFUNCTION("IF(A1131="""","""",
   IF(F1131&gt;0,
      INDEX(FILTER('RE Portfolio'!L$2:L2000,'RE Portfolio'!D$2:D2000=""BUY""), INT((ROW()-2)/amortYears)+1) - G1131,
      INDEX(FILTER('RE Portfolio'!L$2:L2000,'RE Portfolio'!D$2:D2000=""BUY""), INT((ROW()-2)/amortYears"&amp;")+1)
   )
)
"),"")</f>
        <v/>
      </c>
      <c r="L1131" s="15" t="str">
        <f>IFERROR(__xludf.DUMMYFUNCTION("IF(A1131="""","""",
  INDEX(FILTER('RE Portfolio'!C$2:C2000,'RE Portfolio'!D$2:D2000=""BUY""), INT((ROW()-2)/amortYears)+1)
  * (1 + VALUE(Assumptions!$B$11))^(D1131-1)
)
"),"")</f>
        <v/>
      </c>
    </row>
    <row r="1132">
      <c r="A1132" s="15" t="str">
        <f>IFERROR(__xludf.DUMMYFUNCTION("IFERROR(INDEX(FILTER('RE Portfolio'!A$2:A2000,'RE Portfolio'!D$2:D2000=""BUY""), INT((ROW()-2)/amortYears)+1), )
"),"")</f>
        <v/>
      </c>
      <c r="B1132" s="15" t="str">
        <f>IFERROR(__xludf.DUMMYFUNCTION("IFERROR(INDEX(FILTER('RE Portfolio'!B$2:B2000,'RE Portfolio'!D$2:D2000=""BUY""), INT((ROW()-2)/amortYears)+1), )
"),"")</f>
        <v/>
      </c>
      <c r="C1132" s="15" t="str">
        <f>IFERROR(__xludf.DUMMYFUNCTION("IFERROR(INDEX(FILTER('RE Portfolio'!G$2:G2000,'RE Portfolio'!D$2:D2000=""BUY""), INT((ROW()-2)/amortYears)+1), )
"),"")</f>
        <v/>
      </c>
      <c r="D1132" s="15">
        <f>MOD(ROW()-2, amortYears)+1</f>
        <v>29</v>
      </c>
      <c r="E1132" s="15" t="str">
        <f t="shared" si="1"/>
        <v/>
      </c>
      <c r="F1132" s="16">
        <f t="shared" si="2"/>
        <v>0</v>
      </c>
      <c r="G1132" s="16">
        <f>IF(D1132&lt;=mortTerm, -PMT(mortRate/12, mortTerm*12, C1132)*12, 0)
</f>
        <v>0</v>
      </c>
      <c r="H1132" s="16">
        <f>IF(D1132&lt;=mortTerm, G1132 - I1132, 0)
</f>
        <v>0</v>
      </c>
      <c r="I1132" s="16">
        <f>IF(D1132&lt;=mortTerm, F1132 - J1132, 0)
</f>
        <v>0</v>
      </c>
      <c r="J1132" s="16">
        <f>IF(D1132&lt;=mortTerm,
   F1132*(1+mortRate/12)^12 - (-PMT(mortRate/12, mortTerm*12, C1132))*(((1+mortRate/12)^12 - 1)/(mortRate/12)),
   0
)
</f>
        <v>0</v>
      </c>
      <c r="K1132" s="13" t="str">
        <f>IFERROR(__xludf.DUMMYFUNCTION("IF(A1132="""","""",
   IF(F1132&gt;0,
      INDEX(FILTER('RE Portfolio'!L$2:L2000,'RE Portfolio'!D$2:D2000=""BUY""), INT((ROW()-2)/amortYears)+1) - G1132,
      INDEX(FILTER('RE Portfolio'!L$2:L2000,'RE Portfolio'!D$2:D2000=""BUY""), INT((ROW()-2)/amortYears"&amp;")+1)
   )
)
"),"")</f>
        <v/>
      </c>
      <c r="L1132" s="15" t="str">
        <f>IFERROR(__xludf.DUMMYFUNCTION("IF(A1132="""","""",
  INDEX(FILTER('RE Portfolio'!C$2:C2000,'RE Portfolio'!D$2:D2000=""BUY""), INT((ROW()-2)/amortYears)+1)
  * (1 + VALUE(Assumptions!$B$11))^(D1132-1)
)
"),"")</f>
        <v/>
      </c>
    </row>
    <row r="1133">
      <c r="A1133" s="15" t="str">
        <f>IFERROR(__xludf.DUMMYFUNCTION("IFERROR(INDEX(FILTER('RE Portfolio'!A$2:A2000,'RE Portfolio'!D$2:D2000=""BUY""), INT((ROW()-2)/amortYears)+1), )
"),"")</f>
        <v/>
      </c>
      <c r="B1133" s="15" t="str">
        <f>IFERROR(__xludf.DUMMYFUNCTION("IFERROR(INDEX(FILTER('RE Portfolio'!B$2:B2000,'RE Portfolio'!D$2:D2000=""BUY""), INT((ROW()-2)/amortYears)+1), )
"),"")</f>
        <v/>
      </c>
      <c r="C1133" s="15" t="str">
        <f>IFERROR(__xludf.DUMMYFUNCTION("IFERROR(INDEX(FILTER('RE Portfolio'!G$2:G2000,'RE Portfolio'!D$2:D2000=""BUY""), INT((ROW()-2)/amortYears)+1), )
"),"")</f>
        <v/>
      </c>
      <c r="D1133" s="15">
        <f>MOD(ROW()-2, amortYears)+1</f>
        <v>30</v>
      </c>
      <c r="E1133" s="15" t="str">
        <f t="shared" si="1"/>
        <v/>
      </c>
      <c r="F1133" s="16">
        <f t="shared" si="2"/>
        <v>0</v>
      </c>
      <c r="G1133" s="16">
        <f>IF(D1133&lt;=mortTerm, -PMT(mortRate/12, mortTerm*12, C1133)*12, 0)
</f>
        <v>0</v>
      </c>
      <c r="H1133" s="16">
        <f>IF(D1133&lt;=mortTerm, G1133 - I1133, 0)
</f>
        <v>0</v>
      </c>
      <c r="I1133" s="16">
        <f>IF(D1133&lt;=mortTerm, F1133 - J1133, 0)
</f>
        <v>0</v>
      </c>
      <c r="J1133" s="16">
        <f>IF(D1133&lt;=mortTerm,
   F1133*(1+mortRate/12)^12 - (-PMT(mortRate/12, mortTerm*12, C1133))*(((1+mortRate/12)^12 - 1)/(mortRate/12)),
   0
)
</f>
        <v>0</v>
      </c>
      <c r="K1133" s="13" t="str">
        <f>IFERROR(__xludf.DUMMYFUNCTION("IF(A1133="""","""",
   IF(F1133&gt;0,
      INDEX(FILTER('RE Portfolio'!L$2:L2000,'RE Portfolio'!D$2:D2000=""BUY""), INT((ROW()-2)/amortYears)+1) - G1133,
      INDEX(FILTER('RE Portfolio'!L$2:L2000,'RE Portfolio'!D$2:D2000=""BUY""), INT((ROW()-2)/amortYears"&amp;")+1)
   )
)
"),"")</f>
        <v/>
      </c>
      <c r="L1133" s="15" t="str">
        <f>IFERROR(__xludf.DUMMYFUNCTION("IF(A1133="""","""",
  INDEX(FILTER('RE Portfolio'!C$2:C2000,'RE Portfolio'!D$2:D2000=""BUY""), INT((ROW()-2)/amortYears)+1)
  * (1 + VALUE(Assumptions!$B$11))^(D1133-1)
)
"),"")</f>
        <v/>
      </c>
    </row>
    <row r="1134">
      <c r="A1134" s="15" t="str">
        <f>IFERROR(__xludf.DUMMYFUNCTION("IFERROR(INDEX(FILTER('RE Portfolio'!A$2:A2000,'RE Portfolio'!D$2:D2000=""BUY""), INT((ROW()-2)/amortYears)+1), )
"),"")</f>
        <v/>
      </c>
      <c r="B1134" s="15" t="str">
        <f>IFERROR(__xludf.DUMMYFUNCTION("IFERROR(INDEX(FILTER('RE Portfolio'!B$2:B2000,'RE Portfolio'!D$2:D2000=""BUY""), INT((ROW()-2)/amortYears)+1), )
"),"")</f>
        <v/>
      </c>
      <c r="C1134" s="15" t="str">
        <f>IFERROR(__xludf.DUMMYFUNCTION("IFERROR(INDEX(FILTER('RE Portfolio'!G$2:G2000,'RE Portfolio'!D$2:D2000=""BUY""), INT((ROW()-2)/amortYears)+1), )
"),"")</f>
        <v/>
      </c>
      <c r="D1134" s="15">
        <f>MOD(ROW()-2, amortYears)+1</f>
        <v>31</v>
      </c>
      <c r="E1134" s="15" t="str">
        <f t="shared" si="1"/>
        <v/>
      </c>
      <c r="F1134" s="16">
        <f t="shared" si="2"/>
        <v>0</v>
      </c>
      <c r="G1134" s="15">
        <f>IF(D1134&lt;=mortTerm, -PMT(mortRate/12, mortTerm*12, C1134)*12, 0)
</f>
        <v>0</v>
      </c>
      <c r="H1134" s="15">
        <f>IF(D1134&lt;=mortTerm, G1134 - I1134, 0)
</f>
        <v>0</v>
      </c>
      <c r="I1134" s="15">
        <f>IF(D1134&lt;=mortTerm, F1134 - J1134, 0)
</f>
        <v>0</v>
      </c>
      <c r="J1134" s="15">
        <f>IF(D1134&lt;=mortTerm,
   F1134*(1+mortRate/12)^12 - (-PMT(mortRate/12, mortTerm*12, C1134))*(((1+mortRate/12)^12 - 1)/(mortRate/12)),
   0
)
</f>
        <v>0</v>
      </c>
      <c r="K1134" s="13" t="str">
        <f>IFERROR(__xludf.DUMMYFUNCTION("IF(A1134="""","""",
   IF(F1134&gt;0,
      INDEX(FILTER('RE Portfolio'!L$2:L2000,'RE Portfolio'!D$2:D2000=""BUY""), INT((ROW()-2)/amortYears)+1) - G1134,
      INDEX(FILTER('RE Portfolio'!L$2:L2000,'RE Portfolio'!D$2:D2000=""BUY""), INT((ROW()-2)/amortYears"&amp;")+1)
   )
)
"),"")</f>
        <v/>
      </c>
      <c r="L1134" s="15" t="str">
        <f>IFERROR(__xludf.DUMMYFUNCTION("IF(A1134="""","""",
  INDEX(FILTER('RE Portfolio'!C$2:C2000,'RE Portfolio'!D$2:D2000=""BUY""), INT((ROW()-2)/amortYears)+1)
  * (1 + VALUE(Assumptions!$B$11))^(D1134-1)
)
"),"")</f>
        <v/>
      </c>
    </row>
    <row r="1135">
      <c r="A1135" s="15" t="str">
        <f>IFERROR(__xludf.DUMMYFUNCTION("IFERROR(INDEX(FILTER('RE Portfolio'!A$2:A2000,'RE Portfolio'!D$2:D2000=""BUY""), INT((ROW()-2)/amortYears)+1), )
"),"")</f>
        <v/>
      </c>
      <c r="B1135" s="15" t="str">
        <f>IFERROR(__xludf.DUMMYFUNCTION("IFERROR(INDEX(FILTER('RE Portfolio'!B$2:B2000,'RE Portfolio'!D$2:D2000=""BUY""), INT((ROW()-2)/amortYears)+1), )
"),"")</f>
        <v/>
      </c>
      <c r="C1135" s="15" t="str">
        <f>IFERROR(__xludf.DUMMYFUNCTION("IFERROR(INDEX(FILTER('RE Portfolio'!G$2:G2000,'RE Portfolio'!D$2:D2000=""BUY""), INT((ROW()-2)/amortYears)+1), )
"),"")</f>
        <v/>
      </c>
      <c r="D1135" s="15">
        <f>MOD(ROW()-2, amortYears)+1</f>
        <v>32</v>
      </c>
      <c r="E1135" s="15" t="str">
        <f t="shared" si="1"/>
        <v/>
      </c>
      <c r="F1135" s="15">
        <f t="shared" si="2"/>
        <v>0</v>
      </c>
      <c r="G1135" s="15">
        <f>IF(D1135&lt;=mortTerm, -PMT(mortRate/12, mortTerm*12, C1135)*12, 0)
</f>
        <v>0</v>
      </c>
      <c r="H1135" s="15">
        <f>IF(D1135&lt;=mortTerm, G1135 - I1135, 0)
</f>
        <v>0</v>
      </c>
      <c r="I1135" s="15">
        <f>IF(D1135&lt;=mortTerm, F1135 - J1135, 0)
</f>
        <v>0</v>
      </c>
      <c r="J1135" s="15">
        <f>IF(D1135&lt;=mortTerm,
   F1135*(1+mortRate/12)^12 - (-PMT(mortRate/12, mortTerm*12, C1135))*(((1+mortRate/12)^12 - 1)/(mortRate/12)),
   0
)
</f>
        <v>0</v>
      </c>
      <c r="K1135" s="13" t="str">
        <f>IFERROR(__xludf.DUMMYFUNCTION("IF(A1135="""","""",
   IF(F1135&gt;0,
      INDEX(FILTER('RE Portfolio'!L$2:L2000,'RE Portfolio'!D$2:D2000=""BUY""), INT((ROW()-2)/amortYears)+1) - G1135,
      INDEX(FILTER('RE Portfolio'!L$2:L2000,'RE Portfolio'!D$2:D2000=""BUY""), INT((ROW()-2)/amortYears"&amp;")+1)
   )
)
"),"")</f>
        <v/>
      </c>
      <c r="L1135" s="15" t="str">
        <f>IFERROR(__xludf.DUMMYFUNCTION("IF(A1135="""","""",
  INDEX(FILTER('RE Portfolio'!C$2:C2000,'RE Portfolio'!D$2:D2000=""BUY""), INT((ROW()-2)/amortYears)+1)
  * (1 + VALUE(Assumptions!$B$11))^(D1135-1)
)
"),"")</f>
        <v/>
      </c>
    </row>
    <row r="1136">
      <c r="A1136" s="15" t="str">
        <f>IFERROR(__xludf.DUMMYFUNCTION("IFERROR(INDEX(FILTER('RE Portfolio'!A$2:A2000,'RE Portfolio'!D$2:D2000=""BUY""), INT((ROW()-2)/amortYears)+1), )
"),"")</f>
        <v/>
      </c>
      <c r="B1136" s="15" t="str">
        <f>IFERROR(__xludf.DUMMYFUNCTION("IFERROR(INDEX(FILTER('RE Portfolio'!B$2:B2000,'RE Portfolio'!D$2:D2000=""BUY""), INT((ROW()-2)/amortYears)+1), )
"),"")</f>
        <v/>
      </c>
      <c r="C1136" s="15" t="str">
        <f>IFERROR(__xludf.DUMMYFUNCTION("IFERROR(INDEX(FILTER('RE Portfolio'!G$2:G2000,'RE Portfolio'!D$2:D2000=""BUY""), INT((ROW()-2)/amortYears)+1), )
"),"")</f>
        <v/>
      </c>
      <c r="D1136" s="15">
        <f>MOD(ROW()-2, amortYears)+1</f>
        <v>33</v>
      </c>
      <c r="E1136" s="15" t="str">
        <f t="shared" si="1"/>
        <v/>
      </c>
      <c r="F1136" s="15">
        <f t="shared" si="2"/>
        <v>0</v>
      </c>
      <c r="G1136" s="15">
        <f>IF(D1136&lt;=mortTerm, -PMT(mortRate/12, mortTerm*12, C1136)*12, 0)
</f>
        <v>0</v>
      </c>
      <c r="H1136" s="15">
        <f>IF(D1136&lt;=mortTerm, G1136 - I1136, 0)
</f>
        <v>0</v>
      </c>
      <c r="I1136" s="15">
        <f>IF(D1136&lt;=mortTerm, F1136 - J1136, 0)
</f>
        <v>0</v>
      </c>
      <c r="J1136" s="15">
        <f>IF(D1136&lt;=mortTerm,
   F1136*(1+mortRate/12)^12 - (-PMT(mortRate/12, mortTerm*12, C1136))*(((1+mortRate/12)^12 - 1)/(mortRate/12)),
   0
)
</f>
        <v>0</v>
      </c>
      <c r="K1136" s="13" t="str">
        <f>IFERROR(__xludf.DUMMYFUNCTION("IF(A1136="""","""",
   IF(F1136&gt;0,
      INDEX(FILTER('RE Portfolio'!L$2:L2000,'RE Portfolio'!D$2:D2000=""BUY""), INT((ROW()-2)/amortYears)+1) - G1136,
      INDEX(FILTER('RE Portfolio'!L$2:L2000,'RE Portfolio'!D$2:D2000=""BUY""), INT((ROW()-2)/amortYears"&amp;")+1)
   )
)
"),"")</f>
        <v/>
      </c>
      <c r="L1136" s="15" t="str">
        <f>IFERROR(__xludf.DUMMYFUNCTION("IF(A1136="""","""",
  INDEX(FILTER('RE Portfolio'!C$2:C2000,'RE Portfolio'!D$2:D2000=""BUY""), INT((ROW()-2)/amortYears)+1)
  * (1 + VALUE(Assumptions!$B$11))^(D1136-1)
)
"),"")</f>
        <v/>
      </c>
    </row>
    <row r="1137">
      <c r="A1137" s="15" t="str">
        <f>IFERROR(__xludf.DUMMYFUNCTION("IFERROR(INDEX(FILTER('RE Portfolio'!A$2:A2000,'RE Portfolio'!D$2:D2000=""BUY""), INT((ROW()-2)/amortYears)+1), )
"),"")</f>
        <v/>
      </c>
      <c r="B1137" s="15" t="str">
        <f>IFERROR(__xludf.DUMMYFUNCTION("IFERROR(INDEX(FILTER('RE Portfolio'!B$2:B2000,'RE Portfolio'!D$2:D2000=""BUY""), INT((ROW()-2)/amortYears)+1), )
"),"")</f>
        <v/>
      </c>
      <c r="C1137" s="15" t="str">
        <f>IFERROR(__xludf.DUMMYFUNCTION("IFERROR(INDEX(FILTER('RE Portfolio'!G$2:G2000,'RE Portfolio'!D$2:D2000=""BUY""), INT((ROW()-2)/amortYears)+1), )
"),"")</f>
        <v/>
      </c>
      <c r="D1137" s="15">
        <f>MOD(ROW()-2, amortYears)+1</f>
        <v>34</v>
      </c>
      <c r="E1137" s="15" t="str">
        <f t="shared" si="1"/>
        <v/>
      </c>
      <c r="F1137" s="15">
        <f t="shared" si="2"/>
        <v>0</v>
      </c>
      <c r="G1137" s="15">
        <f>IF(D1137&lt;=mortTerm, -PMT(mortRate/12, mortTerm*12, C1137)*12, 0)
</f>
        <v>0</v>
      </c>
      <c r="H1137" s="15">
        <f>IF(D1137&lt;=mortTerm, G1137 - I1137, 0)
</f>
        <v>0</v>
      </c>
      <c r="I1137" s="15">
        <f>IF(D1137&lt;=mortTerm, F1137 - J1137, 0)
</f>
        <v>0</v>
      </c>
      <c r="J1137" s="15">
        <f>IF(D1137&lt;=mortTerm,
   F1137*(1+mortRate/12)^12 - (-PMT(mortRate/12, mortTerm*12, C1137))*(((1+mortRate/12)^12 - 1)/(mortRate/12)),
   0
)
</f>
        <v>0</v>
      </c>
      <c r="K1137" s="13" t="str">
        <f>IFERROR(__xludf.DUMMYFUNCTION("IF(A1137="""","""",
   IF(F1137&gt;0,
      INDEX(FILTER('RE Portfolio'!L$2:L2000,'RE Portfolio'!D$2:D2000=""BUY""), INT((ROW()-2)/amortYears)+1) - G1137,
      INDEX(FILTER('RE Portfolio'!L$2:L2000,'RE Portfolio'!D$2:D2000=""BUY""), INT((ROW()-2)/amortYears"&amp;")+1)
   )
)
"),"")</f>
        <v/>
      </c>
      <c r="L1137" s="15" t="str">
        <f>IFERROR(__xludf.DUMMYFUNCTION("IF(A1137="""","""",
  INDEX(FILTER('RE Portfolio'!C$2:C2000,'RE Portfolio'!D$2:D2000=""BUY""), INT((ROW()-2)/amortYears)+1)
  * (1 + VALUE(Assumptions!$B$11))^(D1137-1)
)
"),"")</f>
        <v/>
      </c>
    </row>
    <row r="1138">
      <c r="A1138" s="15" t="str">
        <f>IFERROR(__xludf.DUMMYFUNCTION("IFERROR(INDEX(FILTER('RE Portfolio'!A$2:A2000,'RE Portfolio'!D$2:D2000=""BUY""), INT((ROW()-2)/amortYears)+1), )
"),"")</f>
        <v/>
      </c>
      <c r="B1138" s="15" t="str">
        <f>IFERROR(__xludf.DUMMYFUNCTION("IFERROR(INDEX(FILTER('RE Portfolio'!B$2:B2000,'RE Portfolio'!D$2:D2000=""BUY""), INT((ROW()-2)/amortYears)+1), )
"),"")</f>
        <v/>
      </c>
      <c r="C1138" s="15" t="str">
        <f>IFERROR(__xludf.DUMMYFUNCTION("IFERROR(INDEX(FILTER('RE Portfolio'!G$2:G2000,'RE Portfolio'!D$2:D2000=""BUY""), INT((ROW()-2)/amortYears)+1), )
"),"")</f>
        <v/>
      </c>
      <c r="D1138" s="15">
        <f>MOD(ROW()-2, amortYears)+1</f>
        <v>35</v>
      </c>
      <c r="E1138" s="15" t="str">
        <f t="shared" si="1"/>
        <v/>
      </c>
      <c r="F1138" s="15">
        <f t="shared" si="2"/>
        <v>0</v>
      </c>
      <c r="G1138" s="15">
        <f>IF(D1138&lt;=mortTerm, -PMT(mortRate/12, mortTerm*12, C1138)*12, 0)
</f>
        <v>0</v>
      </c>
      <c r="H1138" s="15">
        <f>IF(D1138&lt;=mortTerm, G1138 - I1138, 0)
</f>
        <v>0</v>
      </c>
      <c r="I1138" s="15">
        <f>IF(D1138&lt;=mortTerm, F1138 - J1138, 0)
</f>
        <v>0</v>
      </c>
      <c r="J1138" s="15">
        <f>IF(D1138&lt;=mortTerm,
   F1138*(1+mortRate/12)^12 - (-PMT(mortRate/12, mortTerm*12, C1138))*(((1+mortRate/12)^12 - 1)/(mortRate/12)),
   0
)
</f>
        <v>0</v>
      </c>
      <c r="K1138" s="13" t="str">
        <f>IFERROR(__xludf.DUMMYFUNCTION("IF(A1138="""","""",
   IF(F1138&gt;0,
      INDEX(FILTER('RE Portfolio'!L$2:L2000,'RE Portfolio'!D$2:D2000=""BUY""), INT((ROW()-2)/amortYears)+1) - G1138,
      INDEX(FILTER('RE Portfolio'!L$2:L2000,'RE Portfolio'!D$2:D2000=""BUY""), INT((ROW()-2)/amortYears"&amp;")+1)
   )
)
"),"")</f>
        <v/>
      </c>
      <c r="L1138" s="15" t="str">
        <f>IFERROR(__xludf.DUMMYFUNCTION("IF(A1138="""","""",
  INDEX(FILTER('RE Portfolio'!C$2:C2000,'RE Portfolio'!D$2:D2000=""BUY""), INT((ROW()-2)/amortYears)+1)
  * (1 + VALUE(Assumptions!$B$11))^(D1138-1)
)
"),"")</f>
        <v/>
      </c>
    </row>
    <row r="1139">
      <c r="A1139" s="15" t="str">
        <f>IFERROR(__xludf.DUMMYFUNCTION("IFERROR(INDEX(FILTER('RE Portfolio'!A$2:A2000,'RE Portfolio'!D$2:D2000=""BUY""), INT((ROW()-2)/amortYears)+1), )
"),"")</f>
        <v/>
      </c>
      <c r="B1139" s="15" t="str">
        <f>IFERROR(__xludf.DUMMYFUNCTION("IFERROR(INDEX(FILTER('RE Portfolio'!B$2:B2000,'RE Portfolio'!D$2:D2000=""BUY""), INT((ROW()-2)/amortYears)+1), )
"),"")</f>
        <v/>
      </c>
      <c r="C1139" s="15" t="str">
        <f>IFERROR(__xludf.DUMMYFUNCTION("IFERROR(INDEX(FILTER('RE Portfolio'!G$2:G2000,'RE Portfolio'!D$2:D2000=""BUY""), INT((ROW()-2)/amortYears)+1), )
"),"")</f>
        <v/>
      </c>
      <c r="D1139" s="15">
        <f>MOD(ROW()-2, amortYears)+1</f>
        <v>36</v>
      </c>
      <c r="E1139" s="15" t="str">
        <f t="shared" si="1"/>
        <v/>
      </c>
      <c r="F1139" s="15">
        <f t="shared" si="2"/>
        <v>0</v>
      </c>
      <c r="G1139" s="15">
        <f>IF(D1139&lt;=mortTerm, -PMT(mortRate/12, mortTerm*12, C1139)*12, 0)
</f>
        <v>0</v>
      </c>
      <c r="H1139" s="15">
        <f>IF(D1139&lt;=mortTerm, G1139 - I1139, 0)
</f>
        <v>0</v>
      </c>
      <c r="I1139" s="15">
        <f>IF(D1139&lt;=mortTerm, F1139 - J1139, 0)
</f>
        <v>0</v>
      </c>
      <c r="J1139" s="15">
        <f>IF(D1139&lt;=mortTerm,
   F1139*(1+mortRate/12)^12 - (-PMT(mortRate/12, mortTerm*12, C1139))*(((1+mortRate/12)^12 - 1)/(mortRate/12)),
   0
)
</f>
        <v>0</v>
      </c>
      <c r="K1139" s="13" t="str">
        <f>IFERROR(__xludf.DUMMYFUNCTION("IF(A1139="""","""",
   IF(F1139&gt;0,
      INDEX(FILTER('RE Portfolio'!L$2:L2000,'RE Portfolio'!D$2:D2000=""BUY""), INT((ROW()-2)/amortYears)+1) - G1139,
      INDEX(FILTER('RE Portfolio'!L$2:L2000,'RE Portfolio'!D$2:D2000=""BUY""), INT((ROW()-2)/amortYears"&amp;")+1)
   )
)
"),"")</f>
        <v/>
      </c>
      <c r="L1139" s="15" t="str">
        <f>IFERROR(__xludf.DUMMYFUNCTION("IF(A1139="""","""",
  INDEX(FILTER('RE Portfolio'!C$2:C2000,'RE Portfolio'!D$2:D2000=""BUY""), INT((ROW()-2)/amortYears)+1)
  * (1 + VALUE(Assumptions!$B$11))^(D1139-1)
)
"),"")</f>
        <v/>
      </c>
    </row>
    <row r="1140">
      <c r="A1140" s="15" t="str">
        <f>IFERROR(__xludf.DUMMYFUNCTION("IFERROR(INDEX(FILTER('RE Portfolio'!A$2:A2000,'RE Portfolio'!D$2:D2000=""BUY""), INT((ROW()-2)/amortYears)+1), )
"),"")</f>
        <v/>
      </c>
      <c r="B1140" s="15" t="str">
        <f>IFERROR(__xludf.DUMMYFUNCTION("IFERROR(INDEX(FILTER('RE Portfolio'!B$2:B2000,'RE Portfolio'!D$2:D2000=""BUY""), INT((ROW()-2)/amortYears)+1), )
"),"")</f>
        <v/>
      </c>
      <c r="C1140" s="15" t="str">
        <f>IFERROR(__xludf.DUMMYFUNCTION("IFERROR(INDEX(FILTER('RE Portfolio'!G$2:G2000,'RE Portfolio'!D$2:D2000=""BUY""), INT((ROW()-2)/amortYears)+1), )
"),"")</f>
        <v/>
      </c>
      <c r="D1140" s="15">
        <f>MOD(ROW()-2, amortYears)+1</f>
        <v>37</v>
      </c>
      <c r="E1140" s="15" t="str">
        <f t="shared" si="1"/>
        <v/>
      </c>
      <c r="F1140" s="15">
        <f t="shared" si="2"/>
        <v>0</v>
      </c>
      <c r="G1140" s="15">
        <f>IF(D1140&lt;=mortTerm, -PMT(mortRate/12, mortTerm*12, C1140)*12, 0)
</f>
        <v>0</v>
      </c>
      <c r="H1140" s="15">
        <f>IF(D1140&lt;=mortTerm, G1140 - I1140, 0)
</f>
        <v>0</v>
      </c>
      <c r="I1140" s="15">
        <f>IF(D1140&lt;=mortTerm, F1140 - J1140, 0)
</f>
        <v>0</v>
      </c>
      <c r="J1140" s="15">
        <f>IF(D1140&lt;=mortTerm,
   F1140*(1+mortRate/12)^12 - (-PMT(mortRate/12, mortTerm*12, C1140))*(((1+mortRate/12)^12 - 1)/(mortRate/12)),
   0
)
</f>
        <v>0</v>
      </c>
      <c r="K1140" s="13" t="str">
        <f>IFERROR(__xludf.DUMMYFUNCTION("IF(A1140="""","""",
   IF(F1140&gt;0,
      INDEX(FILTER('RE Portfolio'!L$2:L2000,'RE Portfolio'!D$2:D2000=""BUY""), INT((ROW()-2)/amortYears)+1) - G1140,
      INDEX(FILTER('RE Portfolio'!L$2:L2000,'RE Portfolio'!D$2:D2000=""BUY""), INT((ROW()-2)/amortYears"&amp;")+1)
   )
)
"),"")</f>
        <v/>
      </c>
      <c r="L1140" s="15" t="str">
        <f>IFERROR(__xludf.DUMMYFUNCTION("IF(A1140="""","""",
  INDEX(FILTER('RE Portfolio'!C$2:C2000,'RE Portfolio'!D$2:D2000=""BUY""), INT((ROW()-2)/amortYears)+1)
  * (1 + VALUE(Assumptions!$B$11))^(D1140-1)
)
"),"")</f>
        <v/>
      </c>
    </row>
    <row r="1141">
      <c r="A1141" s="15" t="str">
        <f>IFERROR(__xludf.DUMMYFUNCTION("IFERROR(INDEX(FILTER('RE Portfolio'!A$2:A2000,'RE Portfolio'!D$2:D2000=""BUY""), INT((ROW()-2)/amortYears)+1), )
"),"")</f>
        <v/>
      </c>
      <c r="B1141" s="15" t="str">
        <f>IFERROR(__xludf.DUMMYFUNCTION("IFERROR(INDEX(FILTER('RE Portfolio'!B$2:B2000,'RE Portfolio'!D$2:D2000=""BUY""), INT((ROW()-2)/amortYears)+1), )
"),"")</f>
        <v/>
      </c>
      <c r="C1141" s="15" t="str">
        <f>IFERROR(__xludf.DUMMYFUNCTION("IFERROR(INDEX(FILTER('RE Portfolio'!G$2:G2000,'RE Portfolio'!D$2:D2000=""BUY""), INT((ROW()-2)/amortYears)+1), )
"),"")</f>
        <v/>
      </c>
      <c r="D1141" s="15">
        <f>MOD(ROW()-2, amortYears)+1</f>
        <v>38</v>
      </c>
      <c r="E1141" s="15" t="str">
        <f t="shared" si="1"/>
        <v/>
      </c>
      <c r="F1141" s="15">
        <f t="shared" si="2"/>
        <v>0</v>
      </c>
      <c r="G1141" s="15">
        <f>IF(D1141&lt;=mortTerm, -PMT(mortRate/12, mortTerm*12, C1141)*12, 0)
</f>
        <v>0</v>
      </c>
      <c r="H1141" s="15">
        <f>IF(D1141&lt;=mortTerm, G1141 - I1141, 0)
</f>
        <v>0</v>
      </c>
      <c r="I1141" s="15">
        <f>IF(D1141&lt;=mortTerm, F1141 - J1141, 0)
</f>
        <v>0</v>
      </c>
      <c r="J1141" s="15">
        <f>IF(D1141&lt;=mortTerm,
   F1141*(1+mortRate/12)^12 - (-PMT(mortRate/12, mortTerm*12, C1141))*(((1+mortRate/12)^12 - 1)/(mortRate/12)),
   0
)
</f>
        <v>0</v>
      </c>
      <c r="K1141" s="13" t="str">
        <f>IFERROR(__xludf.DUMMYFUNCTION("IF(A1141="""","""",
   IF(F1141&gt;0,
      INDEX(FILTER('RE Portfolio'!L$2:L2000,'RE Portfolio'!D$2:D2000=""BUY""), INT((ROW()-2)/amortYears)+1) - G1141,
      INDEX(FILTER('RE Portfolio'!L$2:L2000,'RE Portfolio'!D$2:D2000=""BUY""), INT((ROW()-2)/amortYears"&amp;")+1)
   )
)
"),"")</f>
        <v/>
      </c>
      <c r="L1141" s="15" t="str">
        <f>IFERROR(__xludf.DUMMYFUNCTION("IF(A1141="""","""",
  INDEX(FILTER('RE Portfolio'!C$2:C2000,'RE Portfolio'!D$2:D2000=""BUY""), INT((ROW()-2)/amortYears)+1)
  * (1 + VALUE(Assumptions!$B$11))^(D1141-1)
)
"),"")</f>
        <v/>
      </c>
    </row>
    <row r="1142">
      <c r="A1142" s="15" t="str">
        <f>IFERROR(__xludf.DUMMYFUNCTION("IFERROR(INDEX(FILTER('RE Portfolio'!A$2:A2000,'RE Portfolio'!D$2:D2000=""BUY""), INT((ROW()-2)/amortYears)+1), )
"),"")</f>
        <v/>
      </c>
      <c r="B1142" s="15" t="str">
        <f>IFERROR(__xludf.DUMMYFUNCTION("IFERROR(INDEX(FILTER('RE Portfolio'!B$2:B2000,'RE Portfolio'!D$2:D2000=""BUY""), INT((ROW()-2)/amortYears)+1), )
"),"")</f>
        <v/>
      </c>
      <c r="C1142" s="15" t="str">
        <f>IFERROR(__xludf.DUMMYFUNCTION("IFERROR(INDEX(FILTER('RE Portfolio'!G$2:G2000,'RE Portfolio'!D$2:D2000=""BUY""), INT((ROW()-2)/amortYears)+1), )
"),"")</f>
        <v/>
      </c>
      <c r="D1142" s="15">
        <f>MOD(ROW()-2, amortYears)+1</f>
        <v>1</v>
      </c>
      <c r="E1142" s="15" t="str">
        <f t="shared" si="1"/>
        <v/>
      </c>
      <c r="F1142" s="15" t="str">
        <f t="shared" si="2"/>
        <v/>
      </c>
      <c r="G1142" s="16">
        <f>IF(D1142&lt;=mortTerm, -PMT(mortRate/12, mortTerm*12, C1142)*12, 0)
</f>
        <v>0</v>
      </c>
      <c r="H1142" s="16">
        <f>IF(D1142&lt;=mortTerm, G1142 - I1142, 0)
</f>
        <v>0</v>
      </c>
      <c r="I1142" s="16">
        <f>IF(D1142&lt;=mortTerm, F1142 - J1142, 0)
</f>
        <v>0</v>
      </c>
      <c r="J1142" s="16">
        <f>IF(D1142&lt;=mortTerm,
   F1142*(1+mortRate/12)^12 - (-PMT(mortRate/12, mortTerm*12, C1142))*(((1+mortRate/12)^12 - 1)/(mortRate/12)),
   0
)
</f>
        <v>0</v>
      </c>
      <c r="K1142" s="13" t="str">
        <f>IFERROR(__xludf.DUMMYFUNCTION("IF(A1142="""","""",
   IF(F1142&gt;0,
      INDEX(FILTER('RE Portfolio'!L$2:L2000,'RE Portfolio'!D$2:D2000=""BUY""), INT((ROW()-2)/amortYears)+1) - G1142,
      INDEX(FILTER('RE Portfolio'!L$2:L2000,'RE Portfolio'!D$2:D2000=""BUY""), INT((ROW()-2)/amortYears"&amp;")+1)
   )
)
"),"")</f>
        <v/>
      </c>
      <c r="L1142" s="15" t="str">
        <f>IFERROR(__xludf.DUMMYFUNCTION("IF(A1142="""","""",
  INDEX(FILTER('RE Portfolio'!C$2:C2000,'RE Portfolio'!D$2:D2000=""BUY""), INT((ROW()-2)/amortYears)+1)
  * (1 + VALUE(Assumptions!$B$11))^(D1142-1)
)
"),"")</f>
        <v/>
      </c>
    </row>
    <row r="1143">
      <c r="A1143" s="15" t="str">
        <f>IFERROR(__xludf.DUMMYFUNCTION("IFERROR(INDEX(FILTER('RE Portfolio'!A$2:A2000,'RE Portfolio'!D$2:D2000=""BUY""), INT((ROW()-2)/amortYears)+1), )
"),"")</f>
        <v/>
      </c>
      <c r="B1143" s="15" t="str">
        <f>IFERROR(__xludf.DUMMYFUNCTION("IFERROR(INDEX(FILTER('RE Portfolio'!B$2:B2000,'RE Portfolio'!D$2:D2000=""BUY""), INT((ROW()-2)/amortYears)+1), )
"),"")</f>
        <v/>
      </c>
      <c r="C1143" s="15" t="str">
        <f>IFERROR(__xludf.DUMMYFUNCTION("IFERROR(INDEX(FILTER('RE Portfolio'!G$2:G2000,'RE Portfolio'!D$2:D2000=""BUY""), INT((ROW()-2)/amortYears)+1), )
"),"")</f>
        <v/>
      </c>
      <c r="D1143" s="15">
        <f>MOD(ROW()-2, amortYears)+1</f>
        <v>2</v>
      </c>
      <c r="E1143" s="15" t="str">
        <f t="shared" si="1"/>
        <v/>
      </c>
      <c r="F1143" s="16">
        <f t="shared" si="2"/>
        <v>0</v>
      </c>
      <c r="G1143" s="16">
        <f>IF(D1143&lt;=mortTerm, -PMT(mortRate/12, mortTerm*12, C1143)*12, 0)
</f>
        <v>0</v>
      </c>
      <c r="H1143" s="16">
        <f>IF(D1143&lt;=mortTerm, G1143 - I1143, 0)
</f>
        <v>0</v>
      </c>
      <c r="I1143" s="16">
        <f>IF(D1143&lt;=mortTerm, F1143 - J1143, 0)
</f>
        <v>0</v>
      </c>
      <c r="J1143" s="16">
        <f>IF(D1143&lt;=mortTerm,
   F1143*(1+mortRate/12)^12 - (-PMT(mortRate/12, mortTerm*12, C1143))*(((1+mortRate/12)^12 - 1)/(mortRate/12)),
   0
)
</f>
        <v>0</v>
      </c>
      <c r="K1143" s="13" t="str">
        <f>IFERROR(__xludf.DUMMYFUNCTION("IF(A1143="""","""",
   IF(F1143&gt;0,
      INDEX(FILTER('RE Portfolio'!L$2:L2000,'RE Portfolio'!D$2:D2000=""BUY""), INT((ROW()-2)/amortYears)+1) - G1143,
      INDEX(FILTER('RE Portfolio'!L$2:L2000,'RE Portfolio'!D$2:D2000=""BUY""), INT((ROW()-2)/amortYears"&amp;")+1)
   )
)
"),"")</f>
        <v/>
      </c>
      <c r="L1143" s="15" t="str">
        <f>IFERROR(__xludf.DUMMYFUNCTION("IF(A1143="""","""",
  INDEX(FILTER('RE Portfolio'!C$2:C2000,'RE Portfolio'!D$2:D2000=""BUY""), INT((ROW()-2)/amortYears)+1)
  * (1 + VALUE(Assumptions!$B$11))^(D1143-1)
)
"),"")</f>
        <v/>
      </c>
    </row>
    <row r="1144">
      <c r="A1144" s="15" t="str">
        <f>IFERROR(__xludf.DUMMYFUNCTION("IFERROR(INDEX(FILTER('RE Portfolio'!A$2:A2000,'RE Portfolio'!D$2:D2000=""BUY""), INT((ROW()-2)/amortYears)+1), )
"),"")</f>
        <v/>
      </c>
      <c r="B1144" s="15" t="str">
        <f>IFERROR(__xludf.DUMMYFUNCTION("IFERROR(INDEX(FILTER('RE Portfolio'!B$2:B2000,'RE Portfolio'!D$2:D2000=""BUY""), INT((ROW()-2)/amortYears)+1), )
"),"")</f>
        <v/>
      </c>
      <c r="C1144" s="15" t="str">
        <f>IFERROR(__xludf.DUMMYFUNCTION("IFERROR(INDEX(FILTER('RE Portfolio'!G$2:G2000,'RE Portfolio'!D$2:D2000=""BUY""), INT((ROW()-2)/amortYears)+1), )
"),"")</f>
        <v/>
      </c>
      <c r="D1144" s="15">
        <f>MOD(ROW()-2, amortYears)+1</f>
        <v>3</v>
      </c>
      <c r="E1144" s="15" t="str">
        <f t="shared" si="1"/>
        <v/>
      </c>
      <c r="F1144" s="16">
        <f t="shared" si="2"/>
        <v>0</v>
      </c>
      <c r="G1144" s="16">
        <f>IF(D1144&lt;=mortTerm, -PMT(mortRate/12, mortTerm*12, C1144)*12, 0)
</f>
        <v>0</v>
      </c>
      <c r="H1144" s="16">
        <f>IF(D1144&lt;=mortTerm, G1144 - I1144, 0)
</f>
        <v>0</v>
      </c>
      <c r="I1144" s="16">
        <f>IF(D1144&lt;=mortTerm, F1144 - J1144, 0)
</f>
        <v>0</v>
      </c>
      <c r="J1144" s="16">
        <f>IF(D1144&lt;=mortTerm,
   F1144*(1+mortRate/12)^12 - (-PMT(mortRate/12, mortTerm*12, C1144))*(((1+mortRate/12)^12 - 1)/(mortRate/12)),
   0
)
</f>
        <v>0</v>
      </c>
      <c r="K1144" s="13" t="str">
        <f>IFERROR(__xludf.DUMMYFUNCTION("IF(A1144="""","""",
   IF(F1144&gt;0,
      INDEX(FILTER('RE Portfolio'!L$2:L2000,'RE Portfolio'!D$2:D2000=""BUY""), INT((ROW()-2)/amortYears)+1) - G1144,
      INDEX(FILTER('RE Portfolio'!L$2:L2000,'RE Portfolio'!D$2:D2000=""BUY""), INT((ROW()-2)/amortYears"&amp;")+1)
   )
)
"),"")</f>
        <v/>
      </c>
      <c r="L1144" s="15" t="str">
        <f>IFERROR(__xludf.DUMMYFUNCTION("IF(A1144="""","""",
  INDEX(FILTER('RE Portfolio'!C$2:C2000,'RE Portfolio'!D$2:D2000=""BUY""), INT((ROW()-2)/amortYears)+1)
  * (1 + VALUE(Assumptions!$B$11))^(D1144-1)
)
"),"")</f>
        <v/>
      </c>
    </row>
    <row r="1145">
      <c r="A1145" s="15" t="str">
        <f>IFERROR(__xludf.DUMMYFUNCTION("IFERROR(INDEX(FILTER('RE Portfolio'!A$2:A2000,'RE Portfolio'!D$2:D2000=""BUY""), INT((ROW()-2)/amortYears)+1), )
"),"")</f>
        <v/>
      </c>
      <c r="B1145" s="15" t="str">
        <f>IFERROR(__xludf.DUMMYFUNCTION("IFERROR(INDEX(FILTER('RE Portfolio'!B$2:B2000,'RE Portfolio'!D$2:D2000=""BUY""), INT((ROW()-2)/amortYears)+1), )
"),"")</f>
        <v/>
      </c>
      <c r="C1145" s="15" t="str">
        <f>IFERROR(__xludf.DUMMYFUNCTION("IFERROR(INDEX(FILTER('RE Portfolio'!G$2:G2000,'RE Portfolio'!D$2:D2000=""BUY""), INT((ROW()-2)/amortYears)+1), )
"),"")</f>
        <v/>
      </c>
      <c r="D1145" s="15">
        <f>MOD(ROW()-2, amortYears)+1</f>
        <v>4</v>
      </c>
      <c r="E1145" s="15" t="str">
        <f t="shared" si="1"/>
        <v/>
      </c>
      <c r="F1145" s="16">
        <f t="shared" si="2"/>
        <v>0</v>
      </c>
      <c r="G1145" s="16">
        <f>IF(D1145&lt;=mortTerm, -PMT(mortRate/12, mortTerm*12, C1145)*12, 0)
</f>
        <v>0</v>
      </c>
      <c r="H1145" s="16">
        <f>IF(D1145&lt;=mortTerm, G1145 - I1145, 0)
</f>
        <v>0</v>
      </c>
      <c r="I1145" s="16">
        <f>IF(D1145&lt;=mortTerm, F1145 - J1145, 0)
</f>
        <v>0</v>
      </c>
      <c r="J1145" s="16">
        <f>IF(D1145&lt;=mortTerm,
   F1145*(1+mortRate/12)^12 - (-PMT(mortRate/12, mortTerm*12, C1145))*(((1+mortRate/12)^12 - 1)/(mortRate/12)),
   0
)
</f>
        <v>0</v>
      </c>
      <c r="K1145" s="13" t="str">
        <f>IFERROR(__xludf.DUMMYFUNCTION("IF(A1145="""","""",
   IF(F1145&gt;0,
      INDEX(FILTER('RE Portfolio'!L$2:L2000,'RE Portfolio'!D$2:D2000=""BUY""), INT((ROW()-2)/amortYears)+1) - G1145,
      INDEX(FILTER('RE Portfolio'!L$2:L2000,'RE Portfolio'!D$2:D2000=""BUY""), INT((ROW()-2)/amortYears"&amp;")+1)
   )
)
"),"")</f>
        <v/>
      </c>
      <c r="L1145" s="15" t="str">
        <f>IFERROR(__xludf.DUMMYFUNCTION("IF(A1145="""","""",
  INDEX(FILTER('RE Portfolio'!C$2:C2000,'RE Portfolio'!D$2:D2000=""BUY""), INT((ROW()-2)/amortYears)+1)
  * (1 + VALUE(Assumptions!$B$11))^(D1145-1)
)
"),"")</f>
        <v/>
      </c>
    </row>
    <row r="1146">
      <c r="A1146" s="15" t="str">
        <f>IFERROR(__xludf.DUMMYFUNCTION("IFERROR(INDEX(FILTER('RE Portfolio'!A$2:A2000,'RE Portfolio'!D$2:D2000=""BUY""), INT((ROW()-2)/amortYears)+1), )
"),"")</f>
        <v/>
      </c>
      <c r="B1146" s="15" t="str">
        <f>IFERROR(__xludf.DUMMYFUNCTION("IFERROR(INDEX(FILTER('RE Portfolio'!B$2:B2000,'RE Portfolio'!D$2:D2000=""BUY""), INT((ROW()-2)/amortYears)+1), )
"),"")</f>
        <v/>
      </c>
      <c r="C1146" s="15" t="str">
        <f>IFERROR(__xludf.DUMMYFUNCTION("IFERROR(INDEX(FILTER('RE Portfolio'!G$2:G2000,'RE Portfolio'!D$2:D2000=""BUY""), INT((ROW()-2)/amortYears)+1), )
"),"")</f>
        <v/>
      </c>
      <c r="D1146" s="15">
        <f>MOD(ROW()-2, amortYears)+1</f>
        <v>5</v>
      </c>
      <c r="E1146" s="15" t="str">
        <f t="shared" si="1"/>
        <v/>
      </c>
      <c r="F1146" s="16">
        <f t="shared" si="2"/>
        <v>0</v>
      </c>
      <c r="G1146" s="16">
        <f>IF(D1146&lt;=mortTerm, -PMT(mortRate/12, mortTerm*12, C1146)*12, 0)
</f>
        <v>0</v>
      </c>
      <c r="H1146" s="16">
        <f>IF(D1146&lt;=mortTerm, G1146 - I1146, 0)
</f>
        <v>0</v>
      </c>
      <c r="I1146" s="16">
        <f>IF(D1146&lt;=mortTerm, F1146 - J1146, 0)
</f>
        <v>0</v>
      </c>
      <c r="J1146" s="16">
        <f>IF(D1146&lt;=mortTerm,
   F1146*(1+mortRate/12)^12 - (-PMT(mortRate/12, mortTerm*12, C1146))*(((1+mortRate/12)^12 - 1)/(mortRate/12)),
   0
)
</f>
        <v>0</v>
      </c>
      <c r="K1146" s="13" t="str">
        <f>IFERROR(__xludf.DUMMYFUNCTION("IF(A1146="""","""",
   IF(F1146&gt;0,
      INDEX(FILTER('RE Portfolio'!L$2:L2000,'RE Portfolio'!D$2:D2000=""BUY""), INT((ROW()-2)/amortYears)+1) - G1146,
      INDEX(FILTER('RE Portfolio'!L$2:L2000,'RE Portfolio'!D$2:D2000=""BUY""), INT((ROW()-2)/amortYears"&amp;")+1)
   )
)
"),"")</f>
        <v/>
      </c>
      <c r="L1146" s="15" t="str">
        <f>IFERROR(__xludf.DUMMYFUNCTION("IF(A1146="""","""",
  INDEX(FILTER('RE Portfolio'!C$2:C2000,'RE Portfolio'!D$2:D2000=""BUY""), INT((ROW()-2)/amortYears)+1)
  * (1 + VALUE(Assumptions!$B$11))^(D1146-1)
)
"),"")</f>
        <v/>
      </c>
    </row>
    <row r="1147">
      <c r="A1147" s="15" t="str">
        <f>IFERROR(__xludf.DUMMYFUNCTION("IFERROR(INDEX(FILTER('RE Portfolio'!A$2:A2000,'RE Portfolio'!D$2:D2000=""BUY""), INT((ROW()-2)/amortYears)+1), )
"),"")</f>
        <v/>
      </c>
      <c r="B1147" s="15" t="str">
        <f>IFERROR(__xludf.DUMMYFUNCTION("IFERROR(INDEX(FILTER('RE Portfolio'!B$2:B2000,'RE Portfolio'!D$2:D2000=""BUY""), INT((ROW()-2)/amortYears)+1), )
"),"")</f>
        <v/>
      </c>
      <c r="C1147" s="15" t="str">
        <f>IFERROR(__xludf.DUMMYFUNCTION("IFERROR(INDEX(FILTER('RE Portfolio'!G$2:G2000,'RE Portfolio'!D$2:D2000=""BUY""), INT((ROW()-2)/amortYears)+1), )
"),"")</f>
        <v/>
      </c>
      <c r="D1147" s="15">
        <f>MOD(ROW()-2, amortYears)+1</f>
        <v>6</v>
      </c>
      <c r="E1147" s="15" t="str">
        <f t="shared" si="1"/>
        <v/>
      </c>
      <c r="F1147" s="16">
        <f t="shared" si="2"/>
        <v>0</v>
      </c>
      <c r="G1147" s="16">
        <f>IF(D1147&lt;=mortTerm, -PMT(mortRate/12, mortTerm*12, C1147)*12, 0)
</f>
        <v>0</v>
      </c>
      <c r="H1147" s="16">
        <f>IF(D1147&lt;=mortTerm, G1147 - I1147, 0)
</f>
        <v>0</v>
      </c>
      <c r="I1147" s="16">
        <f>IF(D1147&lt;=mortTerm, F1147 - J1147, 0)
</f>
        <v>0</v>
      </c>
      <c r="J1147" s="16">
        <f>IF(D1147&lt;=mortTerm,
   F1147*(1+mortRate/12)^12 - (-PMT(mortRate/12, mortTerm*12, C1147))*(((1+mortRate/12)^12 - 1)/(mortRate/12)),
   0
)
</f>
        <v>0</v>
      </c>
      <c r="K1147" s="13" t="str">
        <f>IFERROR(__xludf.DUMMYFUNCTION("IF(A1147="""","""",
   IF(F1147&gt;0,
      INDEX(FILTER('RE Portfolio'!L$2:L2000,'RE Portfolio'!D$2:D2000=""BUY""), INT((ROW()-2)/amortYears)+1) - G1147,
      INDEX(FILTER('RE Portfolio'!L$2:L2000,'RE Portfolio'!D$2:D2000=""BUY""), INT((ROW()-2)/amortYears"&amp;")+1)
   )
)
"),"")</f>
        <v/>
      </c>
      <c r="L1147" s="15" t="str">
        <f>IFERROR(__xludf.DUMMYFUNCTION("IF(A1147="""","""",
  INDEX(FILTER('RE Portfolio'!C$2:C2000,'RE Portfolio'!D$2:D2000=""BUY""), INT((ROW()-2)/amortYears)+1)
  * (1 + VALUE(Assumptions!$B$11))^(D1147-1)
)
"),"")</f>
        <v/>
      </c>
    </row>
    <row r="1148">
      <c r="A1148" s="15" t="str">
        <f>IFERROR(__xludf.DUMMYFUNCTION("IFERROR(INDEX(FILTER('RE Portfolio'!A$2:A2000,'RE Portfolio'!D$2:D2000=""BUY""), INT((ROW()-2)/amortYears)+1), )
"),"")</f>
        <v/>
      </c>
      <c r="B1148" s="15" t="str">
        <f>IFERROR(__xludf.DUMMYFUNCTION("IFERROR(INDEX(FILTER('RE Portfolio'!B$2:B2000,'RE Portfolio'!D$2:D2000=""BUY""), INT((ROW()-2)/amortYears)+1), )
"),"")</f>
        <v/>
      </c>
      <c r="C1148" s="15" t="str">
        <f>IFERROR(__xludf.DUMMYFUNCTION("IFERROR(INDEX(FILTER('RE Portfolio'!G$2:G2000,'RE Portfolio'!D$2:D2000=""BUY""), INT((ROW()-2)/amortYears)+1), )
"),"")</f>
        <v/>
      </c>
      <c r="D1148" s="15">
        <f>MOD(ROW()-2, amortYears)+1</f>
        <v>7</v>
      </c>
      <c r="E1148" s="15" t="str">
        <f t="shared" si="1"/>
        <v/>
      </c>
      <c r="F1148" s="16">
        <f t="shared" si="2"/>
        <v>0</v>
      </c>
      <c r="G1148" s="16">
        <f>IF(D1148&lt;=mortTerm, -PMT(mortRate/12, mortTerm*12, C1148)*12, 0)
</f>
        <v>0</v>
      </c>
      <c r="H1148" s="16">
        <f>IF(D1148&lt;=mortTerm, G1148 - I1148, 0)
</f>
        <v>0</v>
      </c>
      <c r="I1148" s="16">
        <f>IF(D1148&lt;=mortTerm, F1148 - J1148, 0)
</f>
        <v>0</v>
      </c>
      <c r="J1148" s="16">
        <f>IF(D1148&lt;=mortTerm,
   F1148*(1+mortRate/12)^12 - (-PMT(mortRate/12, mortTerm*12, C1148))*(((1+mortRate/12)^12 - 1)/(mortRate/12)),
   0
)
</f>
        <v>0</v>
      </c>
      <c r="K1148" s="13" t="str">
        <f>IFERROR(__xludf.DUMMYFUNCTION("IF(A1148="""","""",
   IF(F1148&gt;0,
      INDEX(FILTER('RE Portfolio'!L$2:L2000,'RE Portfolio'!D$2:D2000=""BUY""), INT((ROW()-2)/amortYears)+1) - G1148,
      INDEX(FILTER('RE Portfolio'!L$2:L2000,'RE Portfolio'!D$2:D2000=""BUY""), INT((ROW()-2)/amortYears"&amp;")+1)
   )
)
"),"")</f>
        <v/>
      </c>
      <c r="L1148" s="15" t="str">
        <f>IFERROR(__xludf.DUMMYFUNCTION("IF(A1148="""","""",
  INDEX(FILTER('RE Portfolio'!C$2:C2000,'RE Portfolio'!D$2:D2000=""BUY""), INT((ROW()-2)/amortYears)+1)
  * (1 + VALUE(Assumptions!$B$11))^(D1148-1)
)
"),"")</f>
        <v/>
      </c>
    </row>
    <row r="1149">
      <c r="A1149" s="15" t="str">
        <f>IFERROR(__xludf.DUMMYFUNCTION("IFERROR(INDEX(FILTER('RE Portfolio'!A$2:A2000,'RE Portfolio'!D$2:D2000=""BUY""), INT((ROW()-2)/amortYears)+1), )
"),"")</f>
        <v/>
      </c>
      <c r="B1149" s="15" t="str">
        <f>IFERROR(__xludf.DUMMYFUNCTION("IFERROR(INDEX(FILTER('RE Portfolio'!B$2:B2000,'RE Portfolio'!D$2:D2000=""BUY""), INT((ROW()-2)/amortYears)+1), )
"),"")</f>
        <v/>
      </c>
      <c r="C1149" s="15" t="str">
        <f>IFERROR(__xludf.DUMMYFUNCTION("IFERROR(INDEX(FILTER('RE Portfolio'!G$2:G2000,'RE Portfolio'!D$2:D2000=""BUY""), INT((ROW()-2)/amortYears)+1), )
"),"")</f>
        <v/>
      </c>
      <c r="D1149" s="15">
        <f>MOD(ROW()-2, amortYears)+1</f>
        <v>8</v>
      </c>
      <c r="E1149" s="15" t="str">
        <f t="shared" si="1"/>
        <v/>
      </c>
      <c r="F1149" s="16">
        <f t="shared" si="2"/>
        <v>0</v>
      </c>
      <c r="G1149" s="16">
        <f>IF(D1149&lt;=mortTerm, -PMT(mortRate/12, mortTerm*12, C1149)*12, 0)
</f>
        <v>0</v>
      </c>
      <c r="H1149" s="16">
        <f>IF(D1149&lt;=mortTerm, G1149 - I1149, 0)
</f>
        <v>0</v>
      </c>
      <c r="I1149" s="16">
        <f>IF(D1149&lt;=mortTerm, F1149 - J1149, 0)
</f>
        <v>0</v>
      </c>
      <c r="J1149" s="16">
        <f>IF(D1149&lt;=mortTerm,
   F1149*(1+mortRate/12)^12 - (-PMT(mortRate/12, mortTerm*12, C1149))*(((1+mortRate/12)^12 - 1)/(mortRate/12)),
   0
)
</f>
        <v>0</v>
      </c>
      <c r="K1149" s="13" t="str">
        <f>IFERROR(__xludf.DUMMYFUNCTION("IF(A1149="""","""",
   IF(F1149&gt;0,
      INDEX(FILTER('RE Portfolio'!L$2:L2000,'RE Portfolio'!D$2:D2000=""BUY""), INT((ROW()-2)/amortYears)+1) - G1149,
      INDEX(FILTER('RE Portfolio'!L$2:L2000,'RE Portfolio'!D$2:D2000=""BUY""), INT((ROW()-2)/amortYears"&amp;")+1)
   )
)
"),"")</f>
        <v/>
      </c>
      <c r="L1149" s="15" t="str">
        <f>IFERROR(__xludf.DUMMYFUNCTION("IF(A1149="""","""",
  INDEX(FILTER('RE Portfolio'!C$2:C2000,'RE Portfolio'!D$2:D2000=""BUY""), INT((ROW()-2)/amortYears)+1)
  * (1 + VALUE(Assumptions!$B$11))^(D1149-1)
)
"),"")</f>
        <v/>
      </c>
    </row>
    <row r="1150">
      <c r="A1150" s="15" t="str">
        <f>IFERROR(__xludf.DUMMYFUNCTION("IFERROR(INDEX(FILTER('RE Portfolio'!A$2:A2000,'RE Portfolio'!D$2:D2000=""BUY""), INT((ROW()-2)/amortYears)+1), )
"),"")</f>
        <v/>
      </c>
      <c r="B1150" s="15" t="str">
        <f>IFERROR(__xludf.DUMMYFUNCTION("IFERROR(INDEX(FILTER('RE Portfolio'!B$2:B2000,'RE Portfolio'!D$2:D2000=""BUY""), INT((ROW()-2)/amortYears)+1), )
"),"")</f>
        <v/>
      </c>
      <c r="C1150" s="15" t="str">
        <f>IFERROR(__xludf.DUMMYFUNCTION("IFERROR(INDEX(FILTER('RE Portfolio'!G$2:G2000,'RE Portfolio'!D$2:D2000=""BUY""), INT((ROW()-2)/amortYears)+1), )
"),"")</f>
        <v/>
      </c>
      <c r="D1150" s="15">
        <f>MOD(ROW()-2, amortYears)+1</f>
        <v>9</v>
      </c>
      <c r="E1150" s="15" t="str">
        <f t="shared" si="1"/>
        <v/>
      </c>
      <c r="F1150" s="16">
        <f t="shared" si="2"/>
        <v>0</v>
      </c>
      <c r="G1150" s="16">
        <f>IF(D1150&lt;=mortTerm, -PMT(mortRate/12, mortTerm*12, C1150)*12, 0)
</f>
        <v>0</v>
      </c>
      <c r="H1150" s="16">
        <f>IF(D1150&lt;=mortTerm, G1150 - I1150, 0)
</f>
        <v>0</v>
      </c>
      <c r="I1150" s="16">
        <f>IF(D1150&lt;=mortTerm, F1150 - J1150, 0)
</f>
        <v>0</v>
      </c>
      <c r="J1150" s="16">
        <f>IF(D1150&lt;=mortTerm,
   F1150*(1+mortRate/12)^12 - (-PMT(mortRate/12, mortTerm*12, C1150))*(((1+mortRate/12)^12 - 1)/(mortRate/12)),
   0
)
</f>
        <v>0</v>
      </c>
      <c r="K1150" s="13" t="str">
        <f>IFERROR(__xludf.DUMMYFUNCTION("IF(A1150="""","""",
   IF(F1150&gt;0,
      INDEX(FILTER('RE Portfolio'!L$2:L2000,'RE Portfolio'!D$2:D2000=""BUY""), INT((ROW()-2)/amortYears)+1) - G1150,
      INDEX(FILTER('RE Portfolio'!L$2:L2000,'RE Portfolio'!D$2:D2000=""BUY""), INT((ROW()-2)/amortYears"&amp;")+1)
   )
)
"),"")</f>
        <v/>
      </c>
      <c r="L1150" s="15" t="str">
        <f>IFERROR(__xludf.DUMMYFUNCTION("IF(A1150="""","""",
  INDEX(FILTER('RE Portfolio'!C$2:C2000,'RE Portfolio'!D$2:D2000=""BUY""), INT((ROW()-2)/amortYears)+1)
  * (1 + VALUE(Assumptions!$B$11))^(D1150-1)
)
"),"")</f>
        <v/>
      </c>
    </row>
    <row r="1151">
      <c r="A1151" s="15" t="str">
        <f>IFERROR(__xludf.DUMMYFUNCTION("IFERROR(INDEX(FILTER('RE Portfolio'!A$2:A2000,'RE Portfolio'!D$2:D2000=""BUY""), INT((ROW()-2)/amortYears)+1), )
"),"")</f>
        <v/>
      </c>
      <c r="B1151" s="15" t="str">
        <f>IFERROR(__xludf.DUMMYFUNCTION("IFERROR(INDEX(FILTER('RE Portfolio'!B$2:B2000,'RE Portfolio'!D$2:D2000=""BUY""), INT((ROW()-2)/amortYears)+1), )
"),"")</f>
        <v/>
      </c>
      <c r="C1151" s="15" t="str">
        <f>IFERROR(__xludf.DUMMYFUNCTION("IFERROR(INDEX(FILTER('RE Portfolio'!G$2:G2000,'RE Portfolio'!D$2:D2000=""BUY""), INT((ROW()-2)/amortYears)+1), )
"),"")</f>
        <v/>
      </c>
      <c r="D1151" s="15">
        <f>MOD(ROW()-2, amortYears)+1</f>
        <v>10</v>
      </c>
      <c r="E1151" s="15" t="str">
        <f t="shared" si="1"/>
        <v/>
      </c>
      <c r="F1151" s="16">
        <f t="shared" si="2"/>
        <v>0</v>
      </c>
      <c r="G1151" s="16">
        <f>IF(D1151&lt;=mortTerm, -PMT(mortRate/12, mortTerm*12, C1151)*12, 0)
</f>
        <v>0</v>
      </c>
      <c r="H1151" s="16">
        <f>IF(D1151&lt;=mortTerm, G1151 - I1151, 0)
</f>
        <v>0</v>
      </c>
      <c r="I1151" s="16">
        <f>IF(D1151&lt;=mortTerm, F1151 - J1151, 0)
</f>
        <v>0</v>
      </c>
      <c r="J1151" s="16">
        <f>IF(D1151&lt;=mortTerm,
   F1151*(1+mortRate/12)^12 - (-PMT(mortRate/12, mortTerm*12, C1151))*(((1+mortRate/12)^12 - 1)/(mortRate/12)),
   0
)
</f>
        <v>0</v>
      </c>
      <c r="K1151" s="13" t="str">
        <f>IFERROR(__xludf.DUMMYFUNCTION("IF(A1151="""","""",
   IF(F1151&gt;0,
      INDEX(FILTER('RE Portfolio'!L$2:L2000,'RE Portfolio'!D$2:D2000=""BUY""), INT((ROW()-2)/amortYears)+1) - G1151,
      INDEX(FILTER('RE Portfolio'!L$2:L2000,'RE Portfolio'!D$2:D2000=""BUY""), INT((ROW()-2)/amortYears"&amp;")+1)
   )
)
"),"")</f>
        <v/>
      </c>
      <c r="L1151" s="15" t="str">
        <f>IFERROR(__xludf.DUMMYFUNCTION("IF(A1151="""","""",
  INDEX(FILTER('RE Portfolio'!C$2:C2000,'RE Portfolio'!D$2:D2000=""BUY""), INT((ROW()-2)/amortYears)+1)
  * (1 + VALUE(Assumptions!$B$11))^(D1151-1)
)
"),"")</f>
        <v/>
      </c>
    </row>
    <row r="1152">
      <c r="A1152" s="15" t="str">
        <f>IFERROR(__xludf.DUMMYFUNCTION("IFERROR(INDEX(FILTER('RE Portfolio'!A$2:A2000,'RE Portfolio'!D$2:D2000=""BUY""), INT((ROW()-2)/amortYears)+1), )
"),"")</f>
        <v/>
      </c>
      <c r="B1152" s="15" t="str">
        <f>IFERROR(__xludf.DUMMYFUNCTION("IFERROR(INDEX(FILTER('RE Portfolio'!B$2:B2000,'RE Portfolio'!D$2:D2000=""BUY""), INT((ROW()-2)/amortYears)+1), )
"),"")</f>
        <v/>
      </c>
      <c r="C1152" s="15" t="str">
        <f>IFERROR(__xludf.DUMMYFUNCTION("IFERROR(INDEX(FILTER('RE Portfolio'!G$2:G2000,'RE Portfolio'!D$2:D2000=""BUY""), INT((ROW()-2)/amortYears)+1), )
"),"")</f>
        <v/>
      </c>
      <c r="D1152" s="15">
        <f>MOD(ROW()-2, amortYears)+1</f>
        <v>11</v>
      </c>
      <c r="E1152" s="15" t="str">
        <f t="shared" si="1"/>
        <v/>
      </c>
      <c r="F1152" s="16">
        <f t="shared" si="2"/>
        <v>0</v>
      </c>
      <c r="G1152" s="16">
        <f>IF(D1152&lt;=mortTerm, -PMT(mortRate/12, mortTerm*12, C1152)*12, 0)
</f>
        <v>0</v>
      </c>
      <c r="H1152" s="16">
        <f>IF(D1152&lt;=mortTerm, G1152 - I1152, 0)
</f>
        <v>0</v>
      </c>
      <c r="I1152" s="16">
        <f>IF(D1152&lt;=mortTerm, F1152 - J1152, 0)
</f>
        <v>0</v>
      </c>
      <c r="J1152" s="16">
        <f>IF(D1152&lt;=mortTerm,
   F1152*(1+mortRate/12)^12 - (-PMT(mortRate/12, mortTerm*12, C1152))*(((1+mortRate/12)^12 - 1)/(mortRate/12)),
   0
)
</f>
        <v>0</v>
      </c>
      <c r="K1152" s="13" t="str">
        <f>IFERROR(__xludf.DUMMYFUNCTION("IF(A1152="""","""",
   IF(F1152&gt;0,
      INDEX(FILTER('RE Portfolio'!L$2:L2000,'RE Portfolio'!D$2:D2000=""BUY""), INT((ROW()-2)/amortYears)+1) - G1152,
      INDEX(FILTER('RE Portfolio'!L$2:L2000,'RE Portfolio'!D$2:D2000=""BUY""), INT((ROW()-2)/amortYears"&amp;")+1)
   )
)
"),"")</f>
        <v/>
      </c>
      <c r="L1152" s="15" t="str">
        <f>IFERROR(__xludf.DUMMYFUNCTION("IF(A1152="""","""",
  INDEX(FILTER('RE Portfolio'!C$2:C2000,'RE Portfolio'!D$2:D2000=""BUY""), INT((ROW()-2)/amortYears)+1)
  * (1 + VALUE(Assumptions!$B$11))^(D1152-1)
)
"),"")</f>
        <v/>
      </c>
    </row>
    <row r="1153">
      <c r="A1153" s="15" t="str">
        <f>IFERROR(__xludf.DUMMYFUNCTION("IFERROR(INDEX(FILTER('RE Portfolio'!A$2:A2000,'RE Portfolio'!D$2:D2000=""BUY""), INT((ROW()-2)/amortYears)+1), )
"),"")</f>
        <v/>
      </c>
      <c r="B1153" s="15" t="str">
        <f>IFERROR(__xludf.DUMMYFUNCTION("IFERROR(INDEX(FILTER('RE Portfolio'!B$2:B2000,'RE Portfolio'!D$2:D2000=""BUY""), INT((ROW()-2)/amortYears)+1), )
"),"")</f>
        <v/>
      </c>
      <c r="C1153" s="15" t="str">
        <f>IFERROR(__xludf.DUMMYFUNCTION("IFERROR(INDEX(FILTER('RE Portfolio'!G$2:G2000,'RE Portfolio'!D$2:D2000=""BUY""), INT((ROW()-2)/amortYears)+1), )
"),"")</f>
        <v/>
      </c>
      <c r="D1153" s="15">
        <f>MOD(ROW()-2, amortYears)+1</f>
        <v>12</v>
      </c>
      <c r="E1153" s="15" t="str">
        <f t="shared" si="1"/>
        <v/>
      </c>
      <c r="F1153" s="16">
        <f t="shared" si="2"/>
        <v>0</v>
      </c>
      <c r="G1153" s="16">
        <f>IF(D1153&lt;=mortTerm, -PMT(mortRate/12, mortTerm*12, C1153)*12, 0)
</f>
        <v>0</v>
      </c>
      <c r="H1153" s="16">
        <f>IF(D1153&lt;=mortTerm, G1153 - I1153, 0)
</f>
        <v>0</v>
      </c>
      <c r="I1153" s="16">
        <f>IF(D1153&lt;=mortTerm, F1153 - J1153, 0)
</f>
        <v>0</v>
      </c>
      <c r="J1153" s="16">
        <f>IF(D1153&lt;=mortTerm,
   F1153*(1+mortRate/12)^12 - (-PMT(mortRate/12, mortTerm*12, C1153))*(((1+mortRate/12)^12 - 1)/(mortRate/12)),
   0
)
</f>
        <v>0</v>
      </c>
      <c r="K1153" s="13" t="str">
        <f>IFERROR(__xludf.DUMMYFUNCTION("IF(A1153="""","""",
   IF(F1153&gt;0,
      INDEX(FILTER('RE Portfolio'!L$2:L2000,'RE Portfolio'!D$2:D2000=""BUY""), INT((ROW()-2)/amortYears)+1) - G1153,
      INDEX(FILTER('RE Portfolio'!L$2:L2000,'RE Portfolio'!D$2:D2000=""BUY""), INT((ROW()-2)/amortYears"&amp;")+1)
   )
)
"),"")</f>
        <v/>
      </c>
      <c r="L1153" s="15" t="str">
        <f>IFERROR(__xludf.DUMMYFUNCTION("IF(A1153="""","""",
  INDEX(FILTER('RE Portfolio'!C$2:C2000,'RE Portfolio'!D$2:D2000=""BUY""), INT((ROW()-2)/amortYears)+1)
  * (1 + VALUE(Assumptions!$B$11))^(D1153-1)
)
"),"")</f>
        <v/>
      </c>
    </row>
    <row r="1154">
      <c r="A1154" s="15" t="str">
        <f>IFERROR(__xludf.DUMMYFUNCTION("IFERROR(INDEX(FILTER('RE Portfolio'!A$2:A2000,'RE Portfolio'!D$2:D2000=""BUY""), INT((ROW()-2)/amortYears)+1), )
"),"")</f>
        <v/>
      </c>
      <c r="B1154" s="15" t="str">
        <f>IFERROR(__xludf.DUMMYFUNCTION("IFERROR(INDEX(FILTER('RE Portfolio'!B$2:B2000,'RE Portfolio'!D$2:D2000=""BUY""), INT((ROW()-2)/amortYears)+1), )
"),"")</f>
        <v/>
      </c>
      <c r="C1154" s="15" t="str">
        <f>IFERROR(__xludf.DUMMYFUNCTION("IFERROR(INDEX(FILTER('RE Portfolio'!G$2:G2000,'RE Portfolio'!D$2:D2000=""BUY""), INT((ROW()-2)/amortYears)+1), )
"),"")</f>
        <v/>
      </c>
      <c r="D1154" s="15">
        <f>MOD(ROW()-2, amortYears)+1</f>
        <v>13</v>
      </c>
      <c r="E1154" s="15" t="str">
        <f t="shared" si="1"/>
        <v/>
      </c>
      <c r="F1154" s="16">
        <f t="shared" si="2"/>
        <v>0</v>
      </c>
      <c r="G1154" s="16">
        <f>IF(D1154&lt;=mortTerm, -PMT(mortRate/12, mortTerm*12, C1154)*12, 0)
</f>
        <v>0</v>
      </c>
      <c r="H1154" s="16">
        <f>IF(D1154&lt;=mortTerm, G1154 - I1154, 0)
</f>
        <v>0</v>
      </c>
      <c r="I1154" s="16">
        <f>IF(D1154&lt;=mortTerm, F1154 - J1154, 0)
</f>
        <v>0</v>
      </c>
      <c r="J1154" s="16">
        <f>IF(D1154&lt;=mortTerm,
   F1154*(1+mortRate/12)^12 - (-PMT(mortRate/12, mortTerm*12, C1154))*(((1+mortRate/12)^12 - 1)/(mortRate/12)),
   0
)
</f>
        <v>0</v>
      </c>
      <c r="K1154" s="13" t="str">
        <f>IFERROR(__xludf.DUMMYFUNCTION("IF(A1154="""","""",
   IF(F1154&gt;0,
      INDEX(FILTER('RE Portfolio'!L$2:L2000,'RE Portfolio'!D$2:D2000=""BUY""), INT((ROW()-2)/amortYears)+1) - G1154,
      INDEX(FILTER('RE Portfolio'!L$2:L2000,'RE Portfolio'!D$2:D2000=""BUY""), INT((ROW()-2)/amortYears"&amp;")+1)
   )
)
"),"")</f>
        <v/>
      </c>
      <c r="L1154" s="15" t="str">
        <f>IFERROR(__xludf.DUMMYFUNCTION("IF(A1154="""","""",
  INDEX(FILTER('RE Portfolio'!C$2:C2000,'RE Portfolio'!D$2:D2000=""BUY""), INT((ROW()-2)/amortYears)+1)
  * (1 + VALUE(Assumptions!$B$11))^(D1154-1)
)
"),"")</f>
        <v/>
      </c>
    </row>
    <row r="1155">
      <c r="A1155" s="15" t="str">
        <f>IFERROR(__xludf.DUMMYFUNCTION("IFERROR(INDEX(FILTER('RE Portfolio'!A$2:A2000,'RE Portfolio'!D$2:D2000=""BUY""), INT((ROW()-2)/amortYears)+1), )
"),"")</f>
        <v/>
      </c>
      <c r="B1155" s="15" t="str">
        <f>IFERROR(__xludf.DUMMYFUNCTION("IFERROR(INDEX(FILTER('RE Portfolio'!B$2:B2000,'RE Portfolio'!D$2:D2000=""BUY""), INT((ROW()-2)/amortYears)+1), )
"),"")</f>
        <v/>
      </c>
      <c r="C1155" s="15" t="str">
        <f>IFERROR(__xludf.DUMMYFUNCTION("IFERROR(INDEX(FILTER('RE Portfolio'!G$2:G2000,'RE Portfolio'!D$2:D2000=""BUY""), INT((ROW()-2)/amortYears)+1), )
"),"")</f>
        <v/>
      </c>
      <c r="D1155" s="15">
        <f>MOD(ROW()-2, amortYears)+1</f>
        <v>14</v>
      </c>
      <c r="E1155" s="15" t="str">
        <f t="shared" si="1"/>
        <v/>
      </c>
      <c r="F1155" s="16">
        <f t="shared" si="2"/>
        <v>0</v>
      </c>
      <c r="G1155" s="16">
        <f>IF(D1155&lt;=mortTerm, -PMT(mortRate/12, mortTerm*12, C1155)*12, 0)
</f>
        <v>0</v>
      </c>
      <c r="H1155" s="16">
        <f>IF(D1155&lt;=mortTerm, G1155 - I1155, 0)
</f>
        <v>0</v>
      </c>
      <c r="I1155" s="16">
        <f>IF(D1155&lt;=mortTerm, F1155 - J1155, 0)
</f>
        <v>0</v>
      </c>
      <c r="J1155" s="16">
        <f>IF(D1155&lt;=mortTerm,
   F1155*(1+mortRate/12)^12 - (-PMT(mortRate/12, mortTerm*12, C1155))*(((1+mortRate/12)^12 - 1)/(mortRate/12)),
   0
)
</f>
        <v>0</v>
      </c>
      <c r="K1155" s="13" t="str">
        <f>IFERROR(__xludf.DUMMYFUNCTION("IF(A1155="""","""",
   IF(F1155&gt;0,
      INDEX(FILTER('RE Portfolio'!L$2:L2000,'RE Portfolio'!D$2:D2000=""BUY""), INT((ROW()-2)/amortYears)+1) - G1155,
      INDEX(FILTER('RE Portfolio'!L$2:L2000,'RE Portfolio'!D$2:D2000=""BUY""), INT((ROW()-2)/amortYears"&amp;")+1)
   )
)
"),"")</f>
        <v/>
      </c>
      <c r="L1155" s="15" t="str">
        <f>IFERROR(__xludf.DUMMYFUNCTION("IF(A1155="""","""",
  INDEX(FILTER('RE Portfolio'!C$2:C2000,'RE Portfolio'!D$2:D2000=""BUY""), INT((ROW()-2)/amortYears)+1)
  * (1 + VALUE(Assumptions!$B$11))^(D1155-1)
)
"),"")</f>
        <v/>
      </c>
    </row>
    <row r="1156">
      <c r="A1156" s="15" t="str">
        <f>IFERROR(__xludf.DUMMYFUNCTION("IFERROR(INDEX(FILTER('RE Portfolio'!A$2:A2000,'RE Portfolio'!D$2:D2000=""BUY""), INT((ROW()-2)/amortYears)+1), )
"),"")</f>
        <v/>
      </c>
      <c r="B1156" s="15" t="str">
        <f>IFERROR(__xludf.DUMMYFUNCTION("IFERROR(INDEX(FILTER('RE Portfolio'!B$2:B2000,'RE Portfolio'!D$2:D2000=""BUY""), INT((ROW()-2)/amortYears)+1), )
"),"")</f>
        <v/>
      </c>
      <c r="C1156" s="15" t="str">
        <f>IFERROR(__xludf.DUMMYFUNCTION("IFERROR(INDEX(FILTER('RE Portfolio'!G$2:G2000,'RE Portfolio'!D$2:D2000=""BUY""), INT((ROW()-2)/amortYears)+1), )
"),"")</f>
        <v/>
      </c>
      <c r="D1156" s="15">
        <f>MOD(ROW()-2, amortYears)+1</f>
        <v>15</v>
      </c>
      <c r="E1156" s="15" t="str">
        <f t="shared" si="1"/>
        <v/>
      </c>
      <c r="F1156" s="16">
        <f t="shared" si="2"/>
        <v>0</v>
      </c>
      <c r="G1156" s="16">
        <f>IF(D1156&lt;=mortTerm, -PMT(mortRate/12, mortTerm*12, C1156)*12, 0)
</f>
        <v>0</v>
      </c>
      <c r="H1156" s="16">
        <f>IF(D1156&lt;=mortTerm, G1156 - I1156, 0)
</f>
        <v>0</v>
      </c>
      <c r="I1156" s="16">
        <f>IF(D1156&lt;=mortTerm, F1156 - J1156, 0)
</f>
        <v>0</v>
      </c>
      <c r="J1156" s="16">
        <f>IF(D1156&lt;=mortTerm,
   F1156*(1+mortRate/12)^12 - (-PMT(mortRate/12, mortTerm*12, C1156))*(((1+mortRate/12)^12 - 1)/(mortRate/12)),
   0
)
</f>
        <v>0</v>
      </c>
      <c r="K1156" s="13" t="str">
        <f>IFERROR(__xludf.DUMMYFUNCTION("IF(A1156="""","""",
   IF(F1156&gt;0,
      INDEX(FILTER('RE Portfolio'!L$2:L2000,'RE Portfolio'!D$2:D2000=""BUY""), INT((ROW()-2)/amortYears)+1) - G1156,
      INDEX(FILTER('RE Portfolio'!L$2:L2000,'RE Portfolio'!D$2:D2000=""BUY""), INT((ROW()-2)/amortYears"&amp;")+1)
   )
)
"),"")</f>
        <v/>
      </c>
      <c r="L1156" s="15" t="str">
        <f>IFERROR(__xludf.DUMMYFUNCTION("IF(A1156="""","""",
  INDEX(FILTER('RE Portfolio'!C$2:C2000,'RE Portfolio'!D$2:D2000=""BUY""), INT((ROW()-2)/amortYears)+1)
  * (1 + VALUE(Assumptions!$B$11))^(D1156-1)
)
"),"")</f>
        <v/>
      </c>
    </row>
    <row r="1157">
      <c r="A1157" s="15" t="str">
        <f>IFERROR(__xludf.DUMMYFUNCTION("IFERROR(INDEX(FILTER('RE Portfolio'!A$2:A2000,'RE Portfolio'!D$2:D2000=""BUY""), INT((ROW()-2)/amortYears)+1), )
"),"")</f>
        <v/>
      </c>
      <c r="B1157" s="15" t="str">
        <f>IFERROR(__xludf.DUMMYFUNCTION("IFERROR(INDEX(FILTER('RE Portfolio'!B$2:B2000,'RE Portfolio'!D$2:D2000=""BUY""), INT((ROW()-2)/amortYears)+1), )
"),"")</f>
        <v/>
      </c>
      <c r="C1157" s="15" t="str">
        <f>IFERROR(__xludf.DUMMYFUNCTION("IFERROR(INDEX(FILTER('RE Portfolio'!G$2:G2000,'RE Portfolio'!D$2:D2000=""BUY""), INT((ROW()-2)/amortYears)+1), )
"),"")</f>
        <v/>
      </c>
      <c r="D1157" s="15">
        <f>MOD(ROW()-2, amortYears)+1</f>
        <v>16</v>
      </c>
      <c r="E1157" s="15" t="str">
        <f t="shared" si="1"/>
        <v/>
      </c>
      <c r="F1157" s="16">
        <f t="shared" si="2"/>
        <v>0</v>
      </c>
      <c r="G1157" s="16">
        <f>IF(D1157&lt;=mortTerm, -PMT(mortRate/12, mortTerm*12, C1157)*12, 0)
</f>
        <v>0</v>
      </c>
      <c r="H1157" s="16">
        <f>IF(D1157&lt;=mortTerm, G1157 - I1157, 0)
</f>
        <v>0</v>
      </c>
      <c r="I1157" s="16">
        <f>IF(D1157&lt;=mortTerm, F1157 - J1157, 0)
</f>
        <v>0</v>
      </c>
      <c r="J1157" s="16">
        <f>IF(D1157&lt;=mortTerm,
   F1157*(1+mortRate/12)^12 - (-PMT(mortRate/12, mortTerm*12, C1157))*(((1+mortRate/12)^12 - 1)/(mortRate/12)),
   0
)
</f>
        <v>0</v>
      </c>
      <c r="K1157" s="13" t="str">
        <f>IFERROR(__xludf.DUMMYFUNCTION("IF(A1157="""","""",
   IF(F1157&gt;0,
      INDEX(FILTER('RE Portfolio'!L$2:L2000,'RE Portfolio'!D$2:D2000=""BUY""), INT((ROW()-2)/amortYears)+1) - G1157,
      INDEX(FILTER('RE Portfolio'!L$2:L2000,'RE Portfolio'!D$2:D2000=""BUY""), INT((ROW()-2)/amortYears"&amp;")+1)
   )
)
"),"")</f>
        <v/>
      </c>
      <c r="L1157" s="15" t="str">
        <f>IFERROR(__xludf.DUMMYFUNCTION("IF(A1157="""","""",
  INDEX(FILTER('RE Portfolio'!C$2:C2000,'RE Portfolio'!D$2:D2000=""BUY""), INT((ROW()-2)/amortYears)+1)
  * (1 + VALUE(Assumptions!$B$11))^(D1157-1)
)
"),"")</f>
        <v/>
      </c>
    </row>
    <row r="1158">
      <c r="A1158" s="15" t="str">
        <f>IFERROR(__xludf.DUMMYFUNCTION("IFERROR(INDEX(FILTER('RE Portfolio'!A$2:A2000,'RE Portfolio'!D$2:D2000=""BUY""), INT((ROW()-2)/amortYears)+1), )
"),"")</f>
        <v/>
      </c>
      <c r="B1158" s="15" t="str">
        <f>IFERROR(__xludf.DUMMYFUNCTION("IFERROR(INDEX(FILTER('RE Portfolio'!B$2:B2000,'RE Portfolio'!D$2:D2000=""BUY""), INT((ROW()-2)/amortYears)+1), )
"),"")</f>
        <v/>
      </c>
      <c r="C1158" s="15" t="str">
        <f>IFERROR(__xludf.DUMMYFUNCTION("IFERROR(INDEX(FILTER('RE Portfolio'!G$2:G2000,'RE Portfolio'!D$2:D2000=""BUY""), INT((ROW()-2)/amortYears)+1), )
"),"")</f>
        <v/>
      </c>
      <c r="D1158" s="15">
        <f>MOD(ROW()-2, amortYears)+1</f>
        <v>17</v>
      </c>
      <c r="E1158" s="15" t="str">
        <f t="shared" si="1"/>
        <v/>
      </c>
      <c r="F1158" s="16">
        <f t="shared" si="2"/>
        <v>0</v>
      </c>
      <c r="G1158" s="16">
        <f>IF(D1158&lt;=mortTerm, -PMT(mortRate/12, mortTerm*12, C1158)*12, 0)
</f>
        <v>0</v>
      </c>
      <c r="H1158" s="16">
        <f>IF(D1158&lt;=mortTerm, G1158 - I1158, 0)
</f>
        <v>0</v>
      </c>
      <c r="I1158" s="16">
        <f>IF(D1158&lt;=mortTerm, F1158 - J1158, 0)
</f>
        <v>0</v>
      </c>
      <c r="J1158" s="16">
        <f>IF(D1158&lt;=mortTerm,
   F1158*(1+mortRate/12)^12 - (-PMT(mortRate/12, mortTerm*12, C1158))*(((1+mortRate/12)^12 - 1)/(mortRate/12)),
   0
)
</f>
        <v>0</v>
      </c>
      <c r="K1158" s="13" t="str">
        <f>IFERROR(__xludf.DUMMYFUNCTION("IF(A1158="""","""",
   IF(F1158&gt;0,
      INDEX(FILTER('RE Portfolio'!L$2:L2000,'RE Portfolio'!D$2:D2000=""BUY""), INT((ROW()-2)/amortYears)+1) - G1158,
      INDEX(FILTER('RE Portfolio'!L$2:L2000,'RE Portfolio'!D$2:D2000=""BUY""), INT((ROW()-2)/amortYears"&amp;")+1)
   )
)
"),"")</f>
        <v/>
      </c>
      <c r="L1158" s="15" t="str">
        <f>IFERROR(__xludf.DUMMYFUNCTION("IF(A1158="""","""",
  INDEX(FILTER('RE Portfolio'!C$2:C2000,'RE Portfolio'!D$2:D2000=""BUY""), INT((ROW()-2)/amortYears)+1)
  * (1 + VALUE(Assumptions!$B$11))^(D1158-1)
)
"),"")</f>
        <v/>
      </c>
    </row>
    <row r="1159">
      <c r="A1159" s="15" t="str">
        <f>IFERROR(__xludf.DUMMYFUNCTION("IFERROR(INDEX(FILTER('RE Portfolio'!A$2:A2000,'RE Portfolio'!D$2:D2000=""BUY""), INT((ROW()-2)/amortYears)+1), )
"),"")</f>
        <v/>
      </c>
      <c r="B1159" s="15" t="str">
        <f>IFERROR(__xludf.DUMMYFUNCTION("IFERROR(INDEX(FILTER('RE Portfolio'!B$2:B2000,'RE Portfolio'!D$2:D2000=""BUY""), INT((ROW()-2)/amortYears)+1), )
"),"")</f>
        <v/>
      </c>
      <c r="C1159" s="15" t="str">
        <f>IFERROR(__xludf.DUMMYFUNCTION("IFERROR(INDEX(FILTER('RE Portfolio'!G$2:G2000,'RE Portfolio'!D$2:D2000=""BUY""), INT((ROW()-2)/amortYears)+1), )
"),"")</f>
        <v/>
      </c>
      <c r="D1159" s="15">
        <f>MOD(ROW()-2, amortYears)+1</f>
        <v>18</v>
      </c>
      <c r="E1159" s="15" t="str">
        <f t="shared" si="1"/>
        <v/>
      </c>
      <c r="F1159" s="16">
        <f t="shared" si="2"/>
        <v>0</v>
      </c>
      <c r="G1159" s="16">
        <f>IF(D1159&lt;=mortTerm, -PMT(mortRate/12, mortTerm*12, C1159)*12, 0)
</f>
        <v>0</v>
      </c>
      <c r="H1159" s="16">
        <f>IF(D1159&lt;=mortTerm, G1159 - I1159, 0)
</f>
        <v>0</v>
      </c>
      <c r="I1159" s="16">
        <f>IF(D1159&lt;=mortTerm, F1159 - J1159, 0)
</f>
        <v>0</v>
      </c>
      <c r="J1159" s="16">
        <f>IF(D1159&lt;=mortTerm,
   F1159*(1+mortRate/12)^12 - (-PMT(mortRate/12, mortTerm*12, C1159))*(((1+mortRate/12)^12 - 1)/(mortRate/12)),
   0
)
</f>
        <v>0</v>
      </c>
      <c r="K1159" s="13" t="str">
        <f>IFERROR(__xludf.DUMMYFUNCTION("IF(A1159="""","""",
   IF(F1159&gt;0,
      INDEX(FILTER('RE Portfolio'!L$2:L2000,'RE Portfolio'!D$2:D2000=""BUY""), INT((ROW()-2)/amortYears)+1) - G1159,
      INDEX(FILTER('RE Portfolio'!L$2:L2000,'RE Portfolio'!D$2:D2000=""BUY""), INT((ROW()-2)/amortYears"&amp;")+1)
   )
)
"),"")</f>
        <v/>
      </c>
      <c r="L1159" s="15" t="str">
        <f>IFERROR(__xludf.DUMMYFUNCTION("IF(A1159="""","""",
  INDEX(FILTER('RE Portfolio'!C$2:C2000,'RE Portfolio'!D$2:D2000=""BUY""), INT((ROW()-2)/amortYears)+1)
  * (1 + VALUE(Assumptions!$B$11))^(D1159-1)
)
"),"")</f>
        <v/>
      </c>
    </row>
    <row r="1160">
      <c r="A1160" s="15" t="str">
        <f>IFERROR(__xludf.DUMMYFUNCTION("IFERROR(INDEX(FILTER('RE Portfolio'!A$2:A2000,'RE Portfolio'!D$2:D2000=""BUY""), INT((ROW()-2)/amortYears)+1), )
"),"")</f>
        <v/>
      </c>
      <c r="B1160" s="15" t="str">
        <f>IFERROR(__xludf.DUMMYFUNCTION("IFERROR(INDEX(FILTER('RE Portfolio'!B$2:B2000,'RE Portfolio'!D$2:D2000=""BUY""), INT((ROW()-2)/amortYears)+1), )
"),"")</f>
        <v/>
      </c>
      <c r="C1160" s="15" t="str">
        <f>IFERROR(__xludf.DUMMYFUNCTION("IFERROR(INDEX(FILTER('RE Portfolio'!G$2:G2000,'RE Portfolio'!D$2:D2000=""BUY""), INT((ROW()-2)/amortYears)+1), )
"),"")</f>
        <v/>
      </c>
      <c r="D1160" s="15">
        <f>MOD(ROW()-2, amortYears)+1</f>
        <v>19</v>
      </c>
      <c r="E1160" s="15" t="str">
        <f t="shared" si="1"/>
        <v/>
      </c>
      <c r="F1160" s="16">
        <f t="shared" si="2"/>
        <v>0</v>
      </c>
      <c r="G1160" s="16">
        <f>IF(D1160&lt;=mortTerm, -PMT(mortRate/12, mortTerm*12, C1160)*12, 0)
</f>
        <v>0</v>
      </c>
      <c r="H1160" s="16">
        <f>IF(D1160&lt;=mortTerm, G1160 - I1160, 0)
</f>
        <v>0</v>
      </c>
      <c r="I1160" s="16">
        <f>IF(D1160&lt;=mortTerm, F1160 - J1160, 0)
</f>
        <v>0</v>
      </c>
      <c r="J1160" s="16">
        <f>IF(D1160&lt;=mortTerm,
   F1160*(1+mortRate/12)^12 - (-PMT(mortRate/12, mortTerm*12, C1160))*(((1+mortRate/12)^12 - 1)/(mortRate/12)),
   0
)
</f>
        <v>0</v>
      </c>
      <c r="K1160" s="13" t="str">
        <f>IFERROR(__xludf.DUMMYFUNCTION("IF(A1160="""","""",
   IF(F1160&gt;0,
      INDEX(FILTER('RE Portfolio'!L$2:L2000,'RE Portfolio'!D$2:D2000=""BUY""), INT((ROW()-2)/amortYears)+1) - G1160,
      INDEX(FILTER('RE Portfolio'!L$2:L2000,'RE Portfolio'!D$2:D2000=""BUY""), INT((ROW()-2)/amortYears"&amp;")+1)
   )
)
"),"")</f>
        <v/>
      </c>
      <c r="L1160" s="15" t="str">
        <f>IFERROR(__xludf.DUMMYFUNCTION("IF(A1160="""","""",
  INDEX(FILTER('RE Portfolio'!C$2:C2000,'RE Portfolio'!D$2:D2000=""BUY""), INT((ROW()-2)/amortYears)+1)
  * (1 + VALUE(Assumptions!$B$11))^(D1160-1)
)
"),"")</f>
        <v/>
      </c>
    </row>
    <row r="1161">
      <c r="A1161" s="15" t="str">
        <f>IFERROR(__xludf.DUMMYFUNCTION("IFERROR(INDEX(FILTER('RE Portfolio'!A$2:A2000,'RE Portfolio'!D$2:D2000=""BUY""), INT((ROW()-2)/amortYears)+1), )
"),"")</f>
        <v/>
      </c>
      <c r="B1161" s="15" t="str">
        <f>IFERROR(__xludf.DUMMYFUNCTION("IFERROR(INDEX(FILTER('RE Portfolio'!B$2:B2000,'RE Portfolio'!D$2:D2000=""BUY""), INT((ROW()-2)/amortYears)+1), )
"),"")</f>
        <v/>
      </c>
      <c r="C1161" s="15" t="str">
        <f>IFERROR(__xludf.DUMMYFUNCTION("IFERROR(INDEX(FILTER('RE Portfolio'!G$2:G2000,'RE Portfolio'!D$2:D2000=""BUY""), INT((ROW()-2)/amortYears)+1), )
"),"")</f>
        <v/>
      </c>
      <c r="D1161" s="15">
        <f>MOD(ROW()-2, amortYears)+1</f>
        <v>20</v>
      </c>
      <c r="E1161" s="15" t="str">
        <f t="shared" si="1"/>
        <v/>
      </c>
      <c r="F1161" s="16">
        <f t="shared" si="2"/>
        <v>0</v>
      </c>
      <c r="G1161" s="16">
        <f>IF(D1161&lt;=mortTerm, -PMT(mortRate/12, mortTerm*12, C1161)*12, 0)
</f>
        <v>0</v>
      </c>
      <c r="H1161" s="16">
        <f>IF(D1161&lt;=mortTerm, G1161 - I1161, 0)
</f>
        <v>0</v>
      </c>
      <c r="I1161" s="16">
        <f>IF(D1161&lt;=mortTerm, F1161 - J1161, 0)
</f>
        <v>0</v>
      </c>
      <c r="J1161" s="16">
        <f>IF(D1161&lt;=mortTerm,
   F1161*(1+mortRate/12)^12 - (-PMT(mortRate/12, mortTerm*12, C1161))*(((1+mortRate/12)^12 - 1)/(mortRate/12)),
   0
)
</f>
        <v>0</v>
      </c>
      <c r="K1161" s="13" t="str">
        <f>IFERROR(__xludf.DUMMYFUNCTION("IF(A1161="""","""",
   IF(F1161&gt;0,
      INDEX(FILTER('RE Portfolio'!L$2:L2000,'RE Portfolio'!D$2:D2000=""BUY""), INT((ROW()-2)/amortYears)+1) - G1161,
      INDEX(FILTER('RE Portfolio'!L$2:L2000,'RE Portfolio'!D$2:D2000=""BUY""), INT((ROW()-2)/amortYears"&amp;")+1)
   )
)
"),"")</f>
        <v/>
      </c>
      <c r="L1161" s="15" t="str">
        <f>IFERROR(__xludf.DUMMYFUNCTION("IF(A1161="""","""",
  INDEX(FILTER('RE Portfolio'!C$2:C2000,'RE Portfolio'!D$2:D2000=""BUY""), INT((ROW()-2)/amortYears)+1)
  * (1 + VALUE(Assumptions!$B$11))^(D1161-1)
)
"),"")</f>
        <v/>
      </c>
    </row>
    <row r="1162">
      <c r="A1162" s="15" t="str">
        <f>IFERROR(__xludf.DUMMYFUNCTION("IFERROR(INDEX(FILTER('RE Portfolio'!A$2:A2000,'RE Portfolio'!D$2:D2000=""BUY""), INT((ROW()-2)/amortYears)+1), )
"),"")</f>
        <v/>
      </c>
      <c r="B1162" s="15" t="str">
        <f>IFERROR(__xludf.DUMMYFUNCTION("IFERROR(INDEX(FILTER('RE Portfolio'!B$2:B2000,'RE Portfolio'!D$2:D2000=""BUY""), INT((ROW()-2)/amortYears)+1), )
"),"")</f>
        <v/>
      </c>
      <c r="C1162" s="15" t="str">
        <f>IFERROR(__xludf.DUMMYFUNCTION("IFERROR(INDEX(FILTER('RE Portfolio'!G$2:G2000,'RE Portfolio'!D$2:D2000=""BUY""), INT((ROW()-2)/amortYears)+1), )
"),"")</f>
        <v/>
      </c>
      <c r="D1162" s="15">
        <f>MOD(ROW()-2, amortYears)+1</f>
        <v>21</v>
      </c>
      <c r="E1162" s="15" t="str">
        <f t="shared" si="1"/>
        <v/>
      </c>
      <c r="F1162" s="16">
        <f t="shared" si="2"/>
        <v>0</v>
      </c>
      <c r="G1162" s="16">
        <f>IF(D1162&lt;=mortTerm, -PMT(mortRate/12, mortTerm*12, C1162)*12, 0)
</f>
        <v>0</v>
      </c>
      <c r="H1162" s="16">
        <f>IF(D1162&lt;=mortTerm, G1162 - I1162, 0)
</f>
        <v>0</v>
      </c>
      <c r="I1162" s="16">
        <f>IF(D1162&lt;=mortTerm, F1162 - J1162, 0)
</f>
        <v>0</v>
      </c>
      <c r="J1162" s="16">
        <f>IF(D1162&lt;=mortTerm,
   F1162*(1+mortRate/12)^12 - (-PMT(mortRate/12, mortTerm*12, C1162))*(((1+mortRate/12)^12 - 1)/(mortRate/12)),
   0
)
</f>
        <v>0</v>
      </c>
      <c r="K1162" s="13" t="str">
        <f>IFERROR(__xludf.DUMMYFUNCTION("IF(A1162="""","""",
   IF(F1162&gt;0,
      INDEX(FILTER('RE Portfolio'!L$2:L2000,'RE Portfolio'!D$2:D2000=""BUY""), INT((ROW()-2)/amortYears)+1) - G1162,
      INDEX(FILTER('RE Portfolio'!L$2:L2000,'RE Portfolio'!D$2:D2000=""BUY""), INT((ROW()-2)/amortYears"&amp;")+1)
   )
)
"),"")</f>
        <v/>
      </c>
      <c r="L1162" s="15" t="str">
        <f>IFERROR(__xludf.DUMMYFUNCTION("IF(A1162="""","""",
  INDEX(FILTER('RE Portfolio'!C$2:C2000,'RE Portfolio'!D$2:D2000=""BUY""), INT((ROW()-2)/amortYears)+1)
  * (1 + VALUE(Assumptions!$B$11))^(D1162-1)
)
"),"")</f>
        <v/>
      </c>
    </row>
    <row r="1163">
      <c r="A1163" s="15" t="str">
        <f>IFERROR(__xludf.DUMMYFUNCTION("IFERROR(INDEX(FILTER('RE Portfolio'!A$2:A2000,'RE Portfolio'!D$2:D2000=""BUY""), INT((ROW()-2)/amortYears)+1), )
"),"")</f>
        <v/>
      </c>
      <c r="B1163" s="15" t="str">
        <f>IFERROR(__xludf.DUMMYFUNCTION("IFERROR(INDEX(FILTER('RE Portfolio'!B$2:B2000,'RE Portfolio'!D$2:D2000=""BUY""), INT((ROW()-2)/amortYears)+1), )
"),"")</f>
        <v/>
      </c>
      <c r="C1163" s="15" t="str">
        <f>IFERROR(__xludf.DUMMYFUNCTION("IFERROR(INDEX(FILTER('RE Portfolio'!G$2:G2000,'RE Portfolio'!D$2:D2000=""BUY""), INT((ROW()-2)/amortYears)+1), )
"),"")</f>
        <v/>
      </c>
      <c r="D1163" s="15">
        <f>MOD(ROW()-2, amortYears)+1</f>
        <v>22</v>
      </c>
      <c r="E1163" s="15" t="str">
        <f t="shared" si="1"/>
        <v/>
      </c>
      <c r="F1163" s="16">
        <f t="shared" si="2"/>
        <v>0</v>
      </c>
      <c r="G1163" s="16">
        <f>IF(D1163&lt;=mortTerm, -PMT(mortRate/12, mortTerm*12, C1163)*12, 0)
</f>
        <v>0</v>
      </c>
      <c r="H1163" s="16">
        <f>IF(D1163&lt;=mortTerm, G1163 - I1163, 0)
</f>
        <v>0</v>
      </c>
      <c r="I1163" s="16">
        <f>IF(D1163&lt;=mortTerm, F1163 - J1163, 0)
</f>
        <v>0</v>
      </c>
      <c r="J1163" s="16">
        <f>IF(D1163&lt;=mortTerm,
   F1163*(1+mortRate/12)^12 - (-PMT(mortRate/12, mortTerm*12, C1163))*(((1+mortRate/12)^12 - 1)/(mortRate/12)),
   0
)
</f>
        <v>0</v>
      </c>
      <c r="K1163" s="13" t="str">
        <f>IFERROR(__xludf.DUMMYFUNCTION("IF(A1163="""","""",
   IF(F1163&gt;0,
      INDEX(FILTER('RE Portfolio'!L$2:L2000,'RE Portfolio'!D$2:D2000=""BUY""), INT((ROW()-2)/amortYears)+1) - G1163,
      INDEX(FILTER('RE Portfolio'!L$2:L2000,'RE Portfolio'!D$2:D2000=""BUY""), INT((ROW()-2)/amortYears"&amp;")+1)
   )
)
"),"")</f>
        <v/>
      </c>
      <c r="L1163" s="15" t="str">
        <f>IFERROR(__xludf.DUMMYFUNCTION("IF(A1163="""","""",
  INDEX(FILTER('RE Portfolio'!C$2:C2000,'RE Portfolio'!D$2:D2000=""BUY""), INT((ROW()-2)/amortYears)+1)
  * (1 + VALUE(Assumptions!$B$11))^(D1163-1)
)
"),"")</f>
        <v/>
      </c>
    </row>
    <row r="1164">
      <c r="A1164" s="15" t="str">
        <f>IFERROR(__xludf.DUMMYFUNCTION("IFERROR(INDEX(FILTER('RE Portfolio'!A$2:A2000,'RE Portfolio'!D$2:D2000=""BUY""), INT((ROW()-2)/amortYears)+1), )
"),"")</f>
        <v/>
      </c>
      <c r="B1164" s="15" t="str">
        <f>IFERROR(__xludf.DUMMYFUNCTION("IFERROR(INDEX(FILTER('RE Portfolio'!B$2:B2000,'RE Portfolio'!D$2:D2000=""BUY""), INT((ROW()-2)/amortYears)+1), )
"),"")</f>
        <v/>
      </c>
      <c r="C1164" s="15" t="str">
        <f>IFERROR(__xludf.DUMMYFUNCTION("IFERROR(INDEX(FILTER('RE Portfolio'!G$2:G2000,'RE Portfolio'!D$2:D2000=""BUY""), INT((ROW()-2)/amortYears)+1), )
"),"")</f>
        <v/>
      </c>
      <c r="D1164" s="15">
        <f>MOD(ROW()-2, amortYears)+1</f>
        <v>23</v>
      </c>
      <c r="E1164" s="15" t="str">
        <f t="shared" si="1"/>
        <v/>
      </c>
      <c r="F1164" s="16">
        <f t="shared" si="2"/>
        <v>0</v>
      </c>
      <c r="G1164" s="16">
        <f>IF(D1164&lt;=mortTerm, -PMT(mortRate/12, mortTerm*12, C1164)*12, 0)
</f>
        <v>0</v>
      </c>
      <c r="H1164" s="16">
        <f>IF(D1164&lt;=mortTerm, G1164 - I1164, 0)
</f>
        <v>0</v>
      </c>
      <c r="I1164" s="16">
        <f>IF(D1164&lt;=mortTerm, F1164 - J1164, 0)
</f>
        <v>0</v>
      </c>
      <c r="J1164" s="16">
        <f>IF(D1164&lt;=mortTerm,
   F1164*(1+mortRate/12)^12 - (-PMT(mortRate/12, mortTerm*12, C1164))*(((1+mortRate/12)^12 - 1)/(mortRate/12)),
   0
)
</f>
        <v>0</v>
      </c>
      <c r="K1164" s="13" t="str">
        <f>IFERROR(__xludf.DUMMYFUNCTION("IF(A1164="""","""",
   IF(F1164&gt;0,
      INDEX(FILTER('RE Portfolio'!L$2:L2000,'RE Portfolio'!D$2:D2000=""BUY""), INT((ROW()-2)/amortYears)+1) - G1164,
      INDEX(FILTER('RE Portfolio'!L$2:L2000,'RE Portfolio'!D$2:D2000=""BUY""), INT((ROW()-2)/amortYears"&amp;")+1)
   )
)
"),"")</f>
        <v/>
      </c>
      <c r="L1164" s="15" t="str">
        <f>IFERROR(__xludf.DUMMYFUNCTION("IF(A1164="""","""",
  INDEX(FILTER('RE Portfolio'!C$2:C2000,'RE Portfolio'!D$2:D2000=""BUY""), INT((ROW()-2)/amortYears)+1)
  * (1 + VALUE(Assumptions!$B$11))^(D1164-1)
)
"),"")</f>
        <v/>
      </c>
    </row>
    <row r="1165">
      <c r="A1165" s="15" t="str">
        <f>IFERROR(__xludf.DUMMYFUNCTION("IFERROR(INDEX(FILTER('RE Portfolio'!A$2:A2000,'RE Portfolio'!D$2:D2000=""BUY""), INT((ROW()-2)/amortYears)+1), )
"),"")</f>
        <v/>
      </c>
      <c r="B1165" s="15" t="str">
        <f>IFERROR(__xludf.DUMMYFUNCTION("IFERROR(INDEX(FILTER('RE Portfolio'!B$2:B2000,'RE Portfolio'!D$2:D2000=""BUY""), INT((ROW()-2)/amortYears)+1), )
"),"")</f>
        <v/>
      </c>
      <c r="C1165" s="15" t="str">
        <f>IFERROR(__xludf.DUMMYFUNCTION("IFERROR(INDEX(FILTER('RE Portfolio'!G$2:G2000,'RE Portfolio'!D$2:D2000=""BUY""), INT((ROW()-2)/amortYears)+1), )
"),"")</f>
        <v/>
      </c>
      <c r="D1165" s="15">
        <f>MOD(ROW()-2, amortYears)+1</f>
        <v>24</v>
      </c>
      <c r="E1165" s="15" t="str">
        <f t="shared" si="1"/>
        <v/>
      </c>
      <c r="F1165" s="16">
        <f t="shared" si="2"/>
        <v>0</v>
      </c>
      <c r="G1165" s="16">
        <f>IF(D1165&lt;=mortTerm, -PMT(mortRate/12, mortTerm*12, C1165)*12, 0)
</f>
        <v>0</v>
      </c>
      <c r="H1165" s="16">
        <f>IF(D1165&lt;=mortTerm, G1165 - I1165, 0)
</f>
        <v>0</v>
      </c>
      <c r="I1165" s="16">
        <f>IF(D1165&lt;=mortTerm, F1165 - J1165, 0)
</f>
        <v>0</v>
      </c>
      <c r="J1165" s="16">
        <f>IF(D1165&lt;=mortTerm,
   F1165*(1+mortRate/12)^12 - (-PMT(mortRate/12, mortTerm*12, C1165))*(((1+mortRate/12)^12 - 1)/(mortRate/12)),
   0
)
</f>
        <v>0</v>
      </c>
      <c r="K1165" s="13" t="str">
        <f>IFERROR(__xludf.DUMMYFUNCTION("IF(A1165="""","""",
   IF(F1165&gt;0,
      INDEX(FILTER('RE Portfolio'!L$2:L2000,'RE Portfolio'!D$2:D2000=""BUY""), INT((ROW()-2)/amortYears)+1) - G1165,
      INDEX(FILTER('RE Portfolio'!L$2:L2000,'RE Portfolio'!D$2:D2000=""BUY""), INT((ROW()-2)/amortYears"&amp;")+1)
   )
)
"),"")</f>
        <v/>
      </c>
      <c r="L1165" s="15" t="str">
        <f>IFERROR(__xludf.DUMMYFUNCTION("IF(A1165="""","""",
  INDEX(FILTER('RE Portfolio'!C$2:C2000,'RE Portfolio'!D$2:D2000=""BUY""), INT((ROW()-2)/amortYears)+1)
  * (1 + VALUE(Assumptions!$B$11))^(D1165-1)
)
"),"")</f>
        <v/>
      </c>
    </row>
    <row r="1166">
      <c r="A1166" s="15" t="str">
        <f>IFERROR(__xludf.DUMMYFUNCTION("IFERROR(INDEX(FILTER('RE Portfolio'!A$2:A2000,'RE Portfolio'!D$2:D2000=""BUY""), INT((ROW()-2)/amortYears)+1), )
"),"")</f>
        <v/>
      </c>
      <c r="B1166" s="15" t="str">
        <f>IFERROR(__xludf.DUMMYFUNCTION("IFERROR(INDEX(FILTER('RE Portfolio'!B$2:B2000,'RE Portfolio'!D$2:D2000=""BUY""), INT((ROW()-2)/amortYears)+1), )
"),"")</f>
        <v/>
      </c>
      <c r="C1166" s="15" t="str">
        <f>IFERROR(__xludf.DUMMYFUNCTION("IFERROR(INDEX(FILTER('RE Portfolio'!G$2:G2000,'RE Portfolio'!D$2:D2000=""BUY""), INT((ROW()-2)/amortYears)+1), )
"),"")</f>
        <v/>
      </c>
      <c r="D1166" s="15">
        <f>MOD(ROW()-2, amortYears)+1</f>
        <v>25</v>
      </c>
      <c r="E1166" s="15" t="str">
        <f t="shared" si="1"/>
        <v/>
      </c>
      <c r="F1166" s="16">
        <f t="shared" si="2"/>
        <v>0</v>
      </c>
      <c r="G1166" s="16">
        <f>IF(D1166&lt;=mortTerm, -PMT(mortRate/12, mortTerm*12, C1166)*12, 0)
</f>
        <v>0</v>
      </c>
      <c r="H1166" s="16">
        <f>IF(D1166&lt;=mortTerm, G1166 - I1166, 0)
</f>
        <v>0</v>
      </c>
      <c r="I1166" s="16">
        <f>IF(D1166&lt;=mortTerm, F1166 - J1166, 0)
</f>
        <v>0</v>
      </c>
      <c r="J1166" s="16">
        <f>IF(D1166&lt;=mortTerm,
   F1166*(1+mortRate/12)^12 - (-PMT(mortRate/12, mortTerm*12, C1166))*(((1+mortRate/12)^12 - 1)/(mortRate/12)),
   0
)
</f>
        <v>0</v>
      </c>
      <c r="K1166" s="13" t="str">
        <f>IFERROR(__xludf.DUMMYFUNCTION("IF(A1166="""","""",
   IF(F1166&gt;0,
      INDEX(FILTER('RE Portfolio'!L$2:L2000,'RE Portfolio'!D$2:D2000=""BUY""), INT((ROW()-2)/amortYears)+1) - G1166,
      INDEX(FILTER('RE Portfolio'!L$2:L2000,'RE Portfolio'!D$2:D2000=""BUY""), INT((ROW()-2)/amortYears"&amp;")+1)
   )
)
"),"")</f>
        <v/>
      </c>
      <c r="L1166" s="15" t="str">
        <f>IFERROR(__xludf.DUMMYFUNCTION("IF(A1166="""","""",
  INDEX(FILTER('RE Portfolio'!C$2:C2000,'RE Portfolio'!D$2:D2000=""BUY""), INT((ROW()-2)/amortYears)+1)
  * (1 + VALUE(Assumptions!$B$11))^(D1166-1)
)
"),"")</f>
        <v/>
      </c>
    </row>
    <row r="1167">
      <c r="A1167" s="15" t="str">
        <f>IFERROR(__xludf.DUMMYFUNCTION("IFERROR(INDEX(FILTER('RE Portfolio'!A$2:A2000,'RE Portfolio'!D$2:D2000=""BUY""), INT((ROW()-2)/amortYears)+1), )
"),"")</f>
        <v/>
      </c>
      <c r="B1167" s="15" t="str">
        <f>IFERROR(__xludf.DUMMYFUNCTION("IFERROR(INDEX(FILTER('RE Portfolio'!B$2:B2000,'RE Portfolio'!D$2:D2000=""BUY""), INT((ROW()-2)/amortYears)+1), )
"),"")</f>
        <v/>
      </c>
      <c r="C1167" s="15" t="str">
        <f>IFERROR(__xludf.DUMMYFUNCTION("IFERROR(INDEX(FILTER('RE Portfolio'!G$2:G2000,'RE Portfolio'!D$2:D2000=""BUY""), INT((ROW()-2)/amortYears)+1), )
"),"")</f>
        <v/>
      </c>
      <c r="D1167" s="15">
        <f>MOD(ROW()-2, amortYears)+1</f>
        <v>26</v>
      </c>
      <c r="E1167" s="15" t="str">
        <f t="shared" si="1"/>
        <v/>
      </c>
      <c r="F1167" s="16">
        <f t="shared" si="2"/>
        <v>0</v>
      </c>
      <c r="G1167" s="16">
        <f>IF(D1167&lt;=mortTerm, -PMT(mortRate/12, mortTerm*12, C1167)*12, 0)
</f>
        <v>0</v>
      </c>
      <c r="H1167" s="16">
        <f>IF(D1167&lt;=mortTerm, G1167 - I1167, 0)
</f>
        <v>0</v>
      </c>
      <c r="I1167" s="16">
        <f>IF(D1167&lt;=mortTerm, F1167 - J1167, 0)
</f>
        <v>0</v>
      </c>
      <c r="J1167" s="16">
        <f>IF(D1167&lt;=mortTerm,
   F1167*(1+mortRate/12)^12 - (-PMT(mortRate/12, mortTerm*12, C1167))*(((1+mortRate/12)^12 - 1)/(mortRate/12)),
   0
)
</f>
        <v>0</v>
      </c>
      <c r="K1167" s="13" t="str">
        <f>IFERROR(__xludf.DUMMYFUNCTION("IF(A1167="""","""",
   IF(F1167&gt;0,
      INDEX(FILTER('RE Portfolio'!L$2:L2000,'RE Portfolio'!D$2:D2000=""BUY""), INT((ROW()-2)/amortYears)+1) - G1167,
      INDEX(FILTER('RE Portfolio'!L$2:L2000,'RE Portfolio'!D$2:D2000=""BUY""), INT((ROW()-2)/amortYears"&amp;")+1)
   )
)
"),"")</f>
        <v/>
      </c>
      <c r="L1167" s="15" t="str">
        <f>IFERROR(__xludf.DUMMYFUNCTION("IF(A1167="""","""",
  INDEX(FILTER('RE Portfolio'!C$2:C2000,'RE Portfolio'!D$2:D2000=""BUY""), INT((ROW()-2)/amortYears)+1)
  * (1 + VALUE(Assumptions!$B$11))^(D1167-1)
)
"),"")</f>
        <v/>
      </c>
    </row>
    <row r="1168">
      <c r="A1168" s="15" t="str">
        <f>IFERROR(__xludf.DUMMYFUNCTION("IFERROR(INDEX(FILTER('RE Portfolio'!A$2:A2000,'RE Portfolio'!D$2:D2000=""BUY""), INT((ROW()-2)/amortYears)+1), )
"),"")</f>
        <v/>
      </c>
      <c r="B1168" s="15" t="str">
        <f>IFERROR(__xludf.DUMMYFUNCTION("IFERROR(INDEX(FILTER('RE Portfolio'!B$2:B2000,'RE Portfolio'!D$2:D2000=""BUY""), INT((ROW()-2)/amortYears)+1), )
"),"")</f>
        <v/>
      </c>
      <c r="C1168" s="15" t="str">
        <f>IFERROR(__xludf.DUMMYFUNCTION("IFERROR(INDEX(FILTER('RE Portfolio'!G$2:G2000,'RE Portfolio'!D$2:D2000=""BUY""), INT((ROW()-2)/amortYears)+1), )
"),"")</f>
        <v/>
      </c>
      <c r="D1168" s="15">
        <f>MOD(ROW()-2, amortYears)+1</f>
        <v>27</v>
      </c>
      <c r="E1168" s="15" t="str">
        <f t="shared" si="1"/>
        <v/>
      </c>
      <c r="F1168" s="16">
        <f t="shared" si="2"/>
        <v>0</v>
      </c>
      <c r="G1168" s="16">
        <f>IF(D1168&lt;=mortTerm, -PMT(mortRate/12, mortTerm*12, C1168)*12, 0)
</f>
        <v>0</v>
      </c>
      <c r="H1168" s="16">
        <f>IF(D1168&lt;=mortTerm, G1168 - I1168, 0)
</f>
        <v>0</v>
      </c>
      <c r="I1168" s="16">
        <f>IF(D1168&lt;=mortTerm, F1168 - J1168, 0)
</f>
        <v>0</v>
      </c>
      <c r="J1168" s="16">
        <f>IF(D1168&lt;=mortTerm,
   F1168*(1+mortRate/12)^12 - (-PMT(mortRate/12, mortTerm*12, C1168))*(((1+mortRate/12)^12 - 1)/(mortRate/12)),
   0
)
</f>
        <v>0</v>
      </c>
      <c r="K1168" s="13" t="str">
        <f>IFERROR(__xludf.DUMMYFUNCTION("IF(A1168="""","""",
   IF(F1168&gt;0,
      INDEX(FILTER('RE Portfolio'!L$2:L2000,'RE Portfolio'!D$2:D2000=""BUY""), INT((ROW()-2)/amortYears)+1) - G1168,
      INDEX(FILTER('RE Portfolio'!L$2:L2000,'RE Portfolio'!D$2:D2000=""BUY""), INT((ROW()-2)/amortYears"&amp;")+1)
   )
)
"),"")</f>
        <v/>
      </c>
      <c r="L1168" s="15" t="str">
        <f>IFERROR(__xludf.DUMMYFUNCTION("IF(A1168="""","""",
  INDEX(FILTER('RE Portfolio'!C$2:C2000,'RE Portfolio'!D$2:D2000=""BUY""), INT((ROW()-2)/amortYears)+1)
  * (1 + VALUE(Assumptions!$B$11))^(D1168-1)
)
"),"")</f>
        <v/>
      </c>
    </row>
    <row r="1169">
      <c r="A1169" s="15" t="str">
        <f>IFERROR(__xludf.DUMMYFUNCTION("IFERROR(INDEX(FILTER('RE Portfolio'!A$2:A2000,'RE Portfolio'!D$2:D2000=""BUY""), INT((ROW()-2)/amortYears)+1), )
"),"")</f>
        <v/>
      </c>
      <c r="B1169" s="15" t="str">
        <f>IFERROR(__xludf.DUMMYFUNCTION("IFERROR(INDEX(FILTER('RE Portfolio'!B$2:B2000,'RE Portfolio'!D$2:D2000=""BUY""), INT((ROW()-2)/amortYears)+1), )
"),"")</f>
        <v/>
      </c>
      <c r="C1169" s="15" t="str">
        <f>IFERROR(__xludf.DUMMYFUNCTION("IFERROR(INDEX(FILTER('RE Portfolio'!G$2:G2000,'RE Portfolio'!D$2:D2000=""BUY""), INT((ROW()-2)/amortYears)+1), )
"),"")</f>
        <v/>
      </c>
      <c r="D1169" s="15">
        <f>MOD(ROW()-2, amortYears)+1</f>
        <v>28</v>
      </c>
      <c r="E1169" s="15" t="str">
        <f t="shared" si="1"/>
        <v/>
      </c>
      <c r="F1169" s="16">
        <f t="shared" si="2"/>
        <v>0</v>
      </c>
      <c r="G1169" s="16">
        <f>IF(D1169&lt;=mortTerm, -PMT(mortRate/12, mortTerm*12, C1169)*12, 0)
</f>
        <v>0</v>
      </c>
      <c r="H1169" s="16">
        <f>IF(D1169&lt;=mortTerm, G1169 - I1169, 0)
</f>
        <v>0</v>
      </c>
      <c r="I1169" s="16">
        <f>IF(D1169&lt;=mortTerm, F1169 - J1169, 0)
</f>
        <v>0</v>
      </c>
      <c r="J1169" s="16">
        <f>IF(D1169&lt;=mortTerm,
   F1169*(1+mortRate/12)^12 - (-PMT(mortRate/12, mortTerm*12, C1169))*(((1+mortRate/12)^12 - 1)/(mortRate/12)),
   0
)
</f>
        <v>0</v>
      </c>
      <c r="K1169" s="13" t="str">
        <f>IFERROR(__xludf.DUMMYFUNCTION("IF(A1169="""","""",
   IF(F1169&gt;0,
      INDEX(FILTER('RE Portfolio'!L$2:L2000,'RE Portfolio'!D$2:D2000=""BUY""), INT((ROW()-2)/amortYears)+1) - G1169,
      INDEX(FILTER('RE Portfolio'!L$2:L2000,'RE Portfolio'!D$2:D2000=""BUY""), INT((ROW()-2)/amortYears"&amp;")+1)
   )
)
"),"")</f>
        <v/>
      </c>
      <c r="L1169" s="15" t="str">
        <f>IFERROR(__xludf.DUMMYFUNCTION("IF(A1169="""","""",
  INDEX(FILTER('RE Portfolio'!C$2:C2000,'RE Portfolio'!D$2:D2000=""BUY""), INT((ROW()-2)/amortYears)+1)
  * (1 + VALUE(Assumptions!$B$11))^(D1169-1)
)
"),"")</f>
        <v/>
      </c>
    </row>
    <row r="1170">
      <c r="A1170" s="15" t="str">
        <f>IFERROR(__xludf.DUMMYFUNCTION("IFERROR(INDEX(FILTER('RE Portfolio'!A$2:A2000,'RE Portfolio'!D$2:D2000=""BUY""), INT((ROW()-2)/amortYears)+1), )
"),"")</f>
        <v/>
      </c>
      <c r="B1170" s="15" t="str">
        <f>IFERROR(__xludf.DUMMYFUNCTION("IFERROR(INDEX(FILTER('RE Portfolio'!B$2:B2000,'RE Portfolio'!D$2:D2000=""BUY""), INT((ROW()-2)/amortYears)+1), )
"),"")</f>
        <v/>
      </c>
      <c r="C1170" s="15" t="str">
        <f>IFERROR(__xludf.DUMMYFUNCTION("IFERROR(INDEX(FILTER('RE Portfolio'!G$2:G2000,'RE Portfolio'!D$2:D2000=""BUY""), INT((ROW()-2)/amortYears)+1), )
"),"")</f>
        <v/>
      </c>
      <c r="D1170" s="15">
        <f>MOD(ROW()-2, amortYears)+1</f>
        <v>29</v>
      </c>
      <c r="E1170" s="15" t="str">
        <f t="shared" si="1"/>
        <v/>
      </c>
      <c r="F1170" s="16">
        <f t="shared" si="2"/>
        <v>0</v>
      </c>
      <c r="G1170" s="16">
        <f>IF(D1170&lt;=mortTerm, -PMT(mortRate/12, mortTerm*12, C1170)*12, 0)
</f>
        <v>0</v>
      </c>
      <c r="H1170" s="16">
        <f>IF(D1170&lt;=mortTerm, G1170 - I1170, 0)
</f>
        <v>0</v>
      </c>
      <c r="I1170" s="16">
        <f>IF(D1170&lt;=mortTerm, F1170 - J1170, 0)
</f>
        <v>0</v>
      </c>
      <c r="J1170" s="16">
        <f>IF(D1170&lt;=mortTerm,
   F1170*(1+mortRate/12)^12 - (-PMT(mortRate/12, mortTerm*12, C1170))*(((1+mortRate/12)^12 - 1)/(mortRate/12)),
   0
)
</f>
        <v>0</v>
      </c>
      <c r="K1170" s="13" t="str">
        <f>IFERROR(__xludf.DUMMYFUNCTION("IF(A1170="""","""",
   IF(F1170&gt;0,
      INDEX(FILTER('RE Portfolio'!L$2:L2000,'RE Portfolio'!D$2:D2000=""BUY""), INT((ROW()-2)/amortYears)+1) - G1170,
      INDEX(FILTER('RE Portfolio'!L$2:L2000,'RE Portfolio'!D$2:D2000=""BUY""), INT((ROW()-2)/amortYears"&amp;")+1)
   )
)
"),"")</f>
        <v/>
      </c>
      <c r="L1170" s="15" t="str">
        <f>IFERROR(__xludf.DUMMYFUNCTION("IF(A1170="""","""",
  INDEX(FILTER('RE Portfolio'!C$2:C2000,'RE Portfolio'!D$2:D2000=""BUY""), INT((ROW()-2)/amortYears)+1)
  * (1 + VALUE(Assumptions!$B$11))^(D1170-1)
)
"),"")</f>
        <v/>
      </c>
    </row>
    <row r="1171">
      <c r="A1171" s="15" t="str">
        <f>IFERROR(__xludf.DUMMYFUNCTION("IFERROR(INDEX(FILTER('RE Portfolio'!A$2:A2000,'RE Portfolio'!D$2:D2000=""BUY""), INT((ROW()-2)/amortYears)+1), )
"),"")</f>
        <v/>
      </c>
      <c r="B1171" s="15" t="str">
        <f>IFERROR(__xludf.DUMMYFUNCTION("IFERROR(INDEX(FILTER('RE Portfolio'!B$2:B2000,'RE Portfolio'!D$2:D2000=""BUY""), INT((ROW()-2)/amortYears)+1), )
"),"")</f>
        <v/>
      </c>
      <c r="C1171" s="15" t="str">
        <f>IFERROR(__xludf.DUMMYFUNCTION("IFERROR(INDEX(FILTER('RE Portfolio'!G$2:G2000,'RE Portfolio'!D$2:D2000=""BUY""), INT((ROW()-2)/amortYears)+1), )
"),"")</f>
        <v/>
      </c>
      <c r="D1171" s="15">
        <f>MOD(ROW()-2, amortYears)+1</f>
        <v>30</v>
      </c>
      <c r="E1171" s="15" t="str">
        <f t="shared" si="1"/>
        <v/>
      </c>
      <c r="F1171" s="16">
        <f t="shared" si="2"/>
        <v>0</v>
      </c>
      <c r="G1171" s="16">
        <f>IF(D1171&lt;=mortTerm, -PMT(mortRate/12, mortTerm*12, C1171)*12, 0)
</f>
        <v>0</v>
      </c>
      <c r="H1171" s="16">
        <f>IF(D1171&lt;=mortTerm, G1171 - I1171, 0)
</f>
        <v>0</v>
      </c>
      <c r="I1171" s="16">
        <f>IF(D1171&lt;=mortTerm, F1171 - J1171, 0)
</f>
        <v>0</v>
      </c>
      <c r="J1171" s="16">
        <f>IF(D1171&lt;=mortTerm,
   F1171*(1+mortRate/12)^12 - (-PMT(mortRate/12, mortTerm*12, C1171))*(((1+mortRate/12)^12 - 1)/(mortRate/12)),
   0
)
</f>
        <v>0</v>
      </c>
      <c r="K1171" s="13" t="str">
        <f>IFERROR(__xludf.DUMMYFUNCTION("IF(A1171="""","""",
   IF(F1171&gt;0,
      INDEX(FILTER('RE Portfolio'!L$2:L2000,'RE Portfolio'!D$2:D2000=""BUY""), INT((ROW()-2)/amortYears)+1) - G1171,
      INDEX(FILTER('RE Portfolio'!L$2:L2000,'RE Portfolio'!D$2:D2000=""BUY""), INT((ROW()-2)/amortYears"&amp;")+1)
   )
)
"),"")</f>
        <v/>
      </c>
      <c r="L1171" s="15" t="str">
        <f>IFERROR(__xludf.DUMMYFUNCTION("IF(A1171="""","""",
  INDEX(FILTER('RE Portfolio'!C$2:C2000,'RE Portfolio'!D$2:D2000=""BUY""), INT((ROW()-2)/amortYears)+1)
  * (1 + VALUE(Assumptions!$B$11))^(D1171-1)
)
"),"")</f>
        <v/>
      </c>
    </row>
    <row r="1172">
      <c r="A1172" s="15" t="str">
        <f>IFERROR(__xludf.DUMMYFUNCTION("IFERROR(INDEX(FILTER('RE Portfolio'!A$2:A2000,'RE Portfolio'!D$2:D2000=""BUY""), INT((ROW()-2)/amortYears)+1), )
"),"")</f>
        <v/>
      </c>
      <c r="B1172" s="15" t="str">
        <f>IFERROR(__xludf.DUMMYFUNCTION("IFERROR(INDEX(FILTER('RE Portfolio'!B$2:B2000,'RE Portfolio'!D$2:D2000=""BUY""), INT((ROW()-2)/amortYears)+1), )
"),"")</f>
        <v/>
      </c>
      <c r="C1172" s="15" t="str">
        <f>IFERROR(__xludf.DUMMYFUNCTION("IFERROR(INDEX(FILTER('RE Portfolio'!G$2:G2000,'RE Portfolio'!D$2:D2000=""BUY""), INT((ROW()-2)/amortYears)+1), )
"),"")</f>
        <v/>
      </c>
      <c r="D1172" s="15">
        <f>MOD(ROW()-2, amortYears)+1</f>
        <v>31</v>
      </c>
      <c r="E1172" s="15" t="str">
        <f t="shared" si="1"/>
        <v/>
      </c>
      <c r="F1172" s="16">
        <f t="shared" si="2"/>
        <v>0</v>
      </c>
      <c r="G1172" s="15">
        <f>IF(D1172&lt;=mortTerm, -PMT(mortRate/12, mortTerm*12, C1172)*12, 0)
</f>
        <v>0</v>
      </c>
      <c r="H1172" s="15">
        <f>IF(D1172&lt;=mortTerm, G1172 - I1172, 0)
</f>
        <v>0</v>
      </c>
      <c r="I1172" s="15">
        <f>IF(D1172&lt;=mortTerm, F1172 - J1172, 0)
</f>
        <v>0</v>
      </c>
      <c r="J1172" s="15">
        <f>IF(D1172&lt;=mortTerm,
   F1172*(1+mortRate/12)^12 - (-PMT(mortRate/12, mortTerm*12, C1172))*(((1+mortRate/12)^12 - 1)/(mortRate/12)),
   0
)
</f>
        <v>0</v>
      </c>
      <c r="K1172" s="13" t="str">
        <f>IFERROR(__xludf.DUMMYFUNCTION("IF(A1172="""","""",
   IF(F1172&gt;0,
      INDEX(FILTER('RE Portfolio'!L$2:L2000,'RE Portfolio'!D$2:D2000=""BUY""), INT((ROW()-2)/amortYears)+1) - G1172,
      INDEX(FILTER('RE Portfolio'!L$2:L2000,'RE Portfolio'!D$2:D2000=""BUY""), INT((ROW()-2)/amortYears"&amp;")+1)
   )
)
"),"")</f>
        <v/>
      </c>
      <c r="L1172" s="15" t="str">
        <f>IFERROR(__xludf.DUMMYFUNCTION("IF(A1172="""","""",
  INDEX(FILTER('RE Portfolio'!C$2:C2000,'RE Portfolio'!D$2:D2000=""BUY""), INT((ROW()-2)/amortYears)+1)
  * (1 + VALUE(Assumptions!$B$11))^(D1172-1)
)
"),"")</f>
        <v/>
      </c>
    </row>
    <row r="1173">
      <c r="A1173" s="15" t="str">
        <f>IFERROR(__xludf.DUMMYFUNCTION("IFERROR(INDEX(FILTER('RE Portfolio'!A$2:A2000,'RE Portfolio'!D$2:D2000=""BUY""), INT((ROW()-2)/amortYears)+1), )
"),"")</f>
        <v/>
      </c>
      <c r="B1173" s="15" t="str">
        <f>IFERROR(__xludf.DUMMYFUNCTION("IFERROR(INDEX(FILTER('RE Portfolio'!B$2:B2000,'RE Portfolio'!D$2:D2000=""BUY""), INT((ROW()-2)/amortYears)+1), )
"),"")</f>
        <v/>
      </c>
      <c r="C1173" s="15" t="str">
        <f>IFERROR(__xludf.DUMMYFUNCTION("IFERROR(INDEX(FILTER('RE Portfolio'!G$2:G2000,'RE Portfolio'!D$2:D2000=""BUY""), INT((ROW()-2)/amortYears)+1), )
"),"")</f>
        <v/>
      </c>
      <c r="D1173" s="15">
        <f>MOD(ROW()-2, amortYears)+1</f>
        <v>32</v>
      </c>
      <c r="E1173" s="15" t="str">
        <f t="shared" si="1"/>
        <v/>
      </c>
      <c r="F1173" s="15">
        <f t="shared" si="2"/>
        <v>0</v>
      </c>
      <c r="G1173" s="15">
        <f>IF(D1173&lt;=mortTerm, -PMT(mortRate/12, mortTerm*12, C1173)*12, 0)
</f>
        <v>0</v>
      </c>
      <c r="H1173" s="15">
        <f>IF(D1173&lt;=mortTerm, G1173 - I1173, 0)
</f>
        <v>0</v>
      </c>
      <c r="I1173" s="15">
        <f>IF(D1173&lt;=mortTerm, F1173 - J1173, 0)
</f>
        <v>0</v>
      </c>
      <c r="J1173" s="15">
        <f>IF(D1173&lt;=mortTerm,
   F1173*(1+mortRate/12)^12 - (-PMT(mortRate/12, mortTerm*12, C1173))*(((1+mortRate/12)^12 - 1)/(mortRate/12)),
   0
)
</f>
        <v>0</v>
      </c>
      <c r="K1173" s="13" t="str">
        <f>IFERROR(__xludf.DUMMYFUNCTION("IF(A1173="""","""",
   IF(F1173&gt;0,
      INDEX(FILTER('RE Portfolio'!L$2:L2000,'RE Portfolio'!D$2:D2000=""BUY""), INT((ROW()-2)/amortYears)+1) - G1173,
      INDEX(FILTER('RE Portfolio'!L$2:L2000,'RE Portfolio'!D$2:D2000=""BUY""), INT((ROW()-2)/amortYears"&amp;")+1)
   )
)
"),"")</f>
        <v/>
      </c>
      <c r="L1173" s="15" t="str">
        <f>IFERROR(__xludf.DUMMYFUNCTION("IF(A1173="""","""",
  INDEX(FILTER('RE Portfolio'!C$2:C2000,'RE Portfolio'!D$2:D2000=""BUY""), INT((ROW()-2)/amortYears)+1)
  * (1 + VALUE(Assumptions!$B$11))^(D1173-1)
)
"),"")</f>
        <v/>
      </c>
    </row>
    <row r="1174">
      <c r="A1174" s="15" t="str">
        <f>IFERROR(__xludf.DUMMYFUNCTION("IFERROR(INDEX(FILTER('RE Portfolio'!A$2:A2000,'RE Portfolio'!D$2:D2000=""BUY""), INT((ROW()-2)/amortYears)+1), )
"),"")</f>
        <v/>
      </c>
      <c r="B1174" s="15" t="str">
        <f>IFERROR(__xludf.DUMMYFUNCTION("IFERROR(INDEX(FILTER('RE Portfolio'!B$2:B2000,'RE Portfolio'!D$2:D2000=""BUY""), INT((ROW()-2)/amortYears)+1), )
"),"")</f>
        <v/>
      </c>
      <c r="C1174" s="15" t="str">
        <f>IFERROR(__xludf.DUMMYFUNCTION("IFERROR(INDEX(FILTER('RE Portfolio'!G$2:G2000,'RE Portfolio'!D$2:D2000=""BUY""), INT((ROW()-2)/amortYears)+1), )
"),"")</f>
        <v/>
      </c>
      <c r="D1174" s="15">
        <f>MOD(ROW()-2, amortYears)+1</f>
        <v>33</v>
      </c>
      <c r="E1174" s="15" t="str">
        <f t="shared" si="1"/>
        <v/>
      </c>
      <c r="F1174" s="15">
        <f t="shared" si="2"/>
        <v>0</v>
      </c>
      <c r="G1174" s="15">
        <f>IF(D1174&lt;=mortTerm, -PMT(mortRate/12, mortTerm*12, C1174)*12, 0)
</f>
        <v>0</v>
      </c>
      <c r="H1174" s="15">
        <f>IF(D1174&lt;=mortTerm, G1174 - I1174, 0)
</f>
        <v>0</v>
      </c>
      <c r="I1174" s="15">
        <f>IF(D1174&lt;=mortTerm, F1174 - J1174, 0)
</f>
        <v>0</v>
      </c>
      <c r="J1174" s="15">
        <f>IF(D1174&lt;=mortTerm,
   F1174*(1+mortRate/12)^12 - (-PMT(mortRate/12, mortTerm*12, C1174))*(((1+mortRate/12)^12 - 1)/(mortRate/12)),
   0
)
</f>
        <v>0</v>
      </c>
      <c r="K1174" s="13" t="str">
        <f>IFERROR(__xludf.DUMMYFUNCTION("IF(A1174="""","""",
   IF(F1174&gt;0,
      INDEX(FILTER('RE Portfolio'!L$2:L2000,'RE Portfolio'!D$2:D2000=""BUY""), INT((ROW()-2)/amortYears)+1) - G1174,
      INDEX(FILTER('RE Portfolio'!L$2:L2000,'RE Portfolio'!D$2:D2000=""BUY""), INT((ROW()-2)/amortYears"&amp;")+1)
   )
)
"),"")</f>
        <v/>
      </c>
      <c r="L1174" s="15" t="str">
        <f>IFERROR(__xludf.DUMMYFUNCTION("IF(A1174="""","""",
  INDEX(FILTER('RE Portfolio'!C$2:C2000,'RE Portfolio'!D$2:D2000=""BUY""), INT((ROW()-2)/amortYears)+1)
  * (1 + VALUE(Assumptions!$B$11))^(D1174-1)
)
"),"")</f>
        <v/>
      </c>
    </row>
    <row r="1175">
      <c r="A1175" s="15" t="str">
        <f>IFERROR(__xludf.DUMMYFUNCTION("IFERROR(INDEX(FILTER('RE Portfolio'!A$2:A2000,'RE Portfolio'!D$2:D2000=""BUY""), INT((ROW()-2)/amortYears)+1), )
"),"")</f>
        <v/>
      </c>
      <c r="B1175" s="15" t="str">
        <f>IFERROR(__xludf.DUMMYFUNCTION("IFERROR(INDEX(FILTER('RE Portfolio'!B$2:B2000,'RE Portfolio'!D$2:D2000=""BUY""), INT((ROW()-2)/amortYears)+1), )
"),"")</f>
        <v/>
      </c>
      <c r="C1175" s="15" t="str">
        <f>IFERROR(__xludf.DUMMYFUNCTION("IFERROR(INDEX(FILTER('RE Portfolio'!G$2:G2000,'RE Portfolio'!D$2:D2000=""BUY""), INT((ROW()-2)/amortYears)+1), )
"),"")</f>
        <v/>
      </c>
      <c r="D1175" s="15">
        <f>MOD(ROW()-2, amortYears)+1</f>
        <v>34</v>
      </c>
      <c r="E1175" s="15" t="str">
        <f t="shared" si="1"/>
        <v/>
      </c>
      <c r="F1175" s="15">
        <f t="shared" si="2"/>
        <v>0</v>
      </c>
      <c r="G1175" s="15">
        <f>IF(D1175&lt;=mortTerm, -PMT(mortRate/12, mortTerm*12, C1175)*12, 0)
</f>
        <v>0</v>
      </c>
      <c r="H1175" s="15">
        <f>IF(D1175&lt;=mortTerm, G1175 - I1175, 0)
</f>
        <v>0</v>
      </c>
      <c r="I1175" s="15">
        <f>IF(D1175&lt;=mortTerm, F1175 - J1175, 0)
</f>
        <v>0</v>
      </c>
      <c r="J1175" s="15">
        <f>IF(D1175&lt;=mortTerm,
   F1175*(1+mortRate/12)^12 - (-PMT(mortRate/12, mortTerm*12, C1175))*(((1+mortRate/12)^12 - 1)/(mortRate/12)),
   0
)
</f>
        <v>0</v>
      </c>
      <c r="K1175" s="13" t="str">
        <f>IFERROR(__xludf.DUMMYFUNCTION("IF(A1175="""","""",
   IF(F1175&gt;0,
      INDEX(FILTER('RE Portfolio'!L$2:L2000,'RE Portfolio'!D$2:D2000=""BUY""), INT((ROW()-2)/amortYears)+1) - G1175,
      INDEX(FILTER('RE Portfolio'!L$2:L2000,'RE Portfolio'!D$2:D2000=""BUY""), INT((ROW()-2)/amortYears"&amp;")+1)
   )
)
"),"")</f>
        <v/>
      </c>
      <c r="L1175" s="15" t="str">
        <f>IFERROR(__xludf.DUMMYFUNCTION("IF(A1175="""","""",
  INDEX(FILTER('RE Portfolio'!C$2:C2000,'RE Portfolio'!D$2:D2000=""BUY""), INT((ROW()-2)/amortYears)+1)
  * (1 + VALUE(Assumptions!$B$11))^(D1175-1)
)
"),"")</f>
        <v/>
      </c>
    </row>
    <row r="1176">
      <c r="A1176" s="15" t="str">
        <f>IFERROR(__xludf.DUMMYFUNCTION("IFERROR(INDEX(FILTER('RE Portfolio'!A$2:A2000,'RE Portfolio'!D$2:D2000=""BUY""), INT((ROW()-2)/amortYears)+1), )
"),"")</f>
        <v/>
      </c>
      <c r="B1176" s="15" t="str">
        <f>IFERROR(__xludf.DUMMYFUNCTION("IFERROR(INDEX(FILTER('RE Portfolio'!B$2:B2000,'RE Portfolio'!D$2:D2000=""BUY""), INT((ROW()-2)/amortYears)+1), )
"),"")</f>
        <v/>
      </c>
      <c r="C1176" s="15" t="str">
        <f>IFERROR(__xludf.DUMMYFUNCTION("IFERROR(INDEX(FILTER('RE Portfolio'!G$2:G2000,'RE Portfolio'!D$2:D2000=""BUY""), INT((ROW()-2)/amortYears)+1), )
"),"")</f>
        <v/>
      </c>
      <c r="D1176" s="15">
        <f>MOD(ROW()-2, amortYears)+1</f>
        <v>35</v>
      </c>
      <c r="E1176" s="15" t="str">
        <f t="shared" si="1"/>
        <v/>
      </c>
      <c r="F1176" s="15">
        <f t="shared" si="2"/>
        <v>0</v>
      </c>
      <c r="G1176" s="15">
        <f>IF(D1176&lt;=mortTerm, -PMT(mortRate/12, mortTerm*12, C1176)*12, 0)
</f>
        <v>0</v>
      </c>
      <c r="H1176" s="15">
        <f>IF(D1176&lt;=mortTerm, G1176 - I1176, 0)
</f>
        <v>0</v>
      </c>
      <c r="I1176" s="15">
        <f>IF(D1176&lt;=mortTerm, F1176 - J1176, 0)
</f>
        <v>0</v>
      </c>
      <c r="J1176" s="15">
        <f>IF(D1176&lt;=mortTerm,
   F1176*(1+mortRate/12)^12 - (-PMT(mortRate/12, mortTerm*12, C1176))*(((1+mortRate/12)^12 - 1)/(mortRate/12)),
   0
)
</f>
        <v>0</v>
      </c>
      <c r="K1176" s="13" t="str">
        <f>IFERROR(__xludf.DUMMYFUNCTION("IF(A1176="""","""",
   IF(F1176&gt;0,
      INDEX(FILTER('RE Portfolio'!L$2:L2000,'RE Portfolio'!D$2:D2000=""BUY""), INT((ROW()-2)/amortYears)+1) - G1176,
      INDEX(FILTER('RE Portfolio'!L$2:L2000,'RE Portfolio'!D$2:D2000=""BUY""), INT((ROW()-2)/amortYears"&amp;")+1)
   )
)
"),"")</f>
        <v/>
      </c>
      <c r="L1176" s="15" t="str">
        <f>IFERROR(__xludf.DUMMYFUNCTION("IF(A1176="""","""",
  INDEX(FILTER('RE Portfolio'!C$2:C2000,'RE Portfolio'!D$2:D2000=""BUY""), INT((ROW()-2)/amortYears)+1)
  * (1 + VALUE(Assumptions!$B$11))^(D1176-1)
)
"),"")</f>
        <v/>
      </c>
    </row>
    <row r="1177">
      <c r="A1177" s="15" t="str">
        <f>IFERROR(__xludf.DUMMYFUNCTION("IFERROR(INDEX(FILTER('RE Portfolio'!A$2:A2000,'RE Portfolio'!D$2:D2000=""BUY""), INT((ROW()-2)/amortYears)+1), )
"),"")</f>
        <v/>
      </c>
      <c r="B1177" s="15" t="str">
        <f>IFERROR(__xludf.DUMMYFUNCTION("IFERROR(INDEX(FILTER('RE Portfolio'!B$2:B2000,'RE Portfolio'!D$2:D2000=""BUY""), INT((ROW()-2)/amortYears)+1), )
"),"")</f>
        <v/>
      </c>
      <c r="C1177" s="15" t="str">
        <f>IFERROR(__xludf.DUMMYFUNCTION("IFERROR(INDEX(FILTER('RE Portfolio'!G$2:G2000,'RE Portfolio'!D$2:D2000=""BUY""), INT((ROW()-2)/amortYears)+1), )
"),"")</f>
        <v/>
      </c>
      <c r="D1177" s="15">
        <f>MOD(ROW()-2, amortYears)+1</f>
        <v>36</v>
      </c>
      <c r="E1177" s="15" t="str">
        <f t="shared" si="1"/>
        <v/>
      </c>
      <c r="F1177" s="15">
        <f t="shared" si="2"/>
        <v>0</v>
      </c>
      <c r="G1177" s="15">
        <f>IF(D1177&lt;=mortTerm, -PMT(mortRate/12, mortTerm*12, C1177)*12, 0)
</f>
        <v>0</v>
      </c>
      <c r="H1177" s="15">
        <f>IF(D1177&lt;=mortTerm, G1177 - I1177, 0)
</f>
        <v>0</v>
      </c>
      <c r="I1177" s="15">
        <f>IF(D1177&lt;=mortTerm, F1177 - J1177, 0)
</f>
        <v>0</v>
      </c>
      <c r="J1177" s="15">
        <f>IF(D1177&lt;=mortTerm,
   F1177*(1+mortRate/12)^12 - (-PMT(mortRate/12, mortTerm*12, C1177))*(((1+mortRate/12)^12 - 1)/(mortRate/12)),
   0
)
</f>
        <v>0</v>
      </c>
      <c r="K1177" s="13" t="str">
        <f>IFERROR(__xludf.DUMMYFUNCTION("IF(A1177="""","""",
   IF(F1177&gt;0,
      INDEX(FILTER('RE Portfolio'!L$2:L2000,'RE Portfolio'!D$2:D2000=""BUY""), INT((ROW()-2)/amortYears)+1) - G1177,
      INDEX(FILTER('RE Portfolio'!L$2:L2000,'RE Portfolio'!D$2:D2000=""BUY""), INT((ROW()-2)/amortYears"&amp;")+1)
   )
)
"),"")</f>
        <v/>
      </c>
      <c r="L1177" s="15" t="str">
        <f>IFERROR(__xludf.DUMMYFUNCTION("IF(A1177="""","""",
  INDEX(FILTER('RE Portfolio'!C$2:C2000,'RE Portfolio'!D$2:D2000=""BUY""), INT((ROW()-2)/amortYears)+1)
  * (1 + VALUE(Assumptions!$B$11))^(D1177-1)
)
"),"")</f>
        <v/>
      </c>
    </row>
    <row r="1178">
      <c r="A1178" s="15" t="str">
        <f>IFERROR(__xludf.DUMMYFUNCTION("IFERROR(INDEX(FILTER('RE Portfolio'!A$2:A2000,'RE Portfolio'!D$2:D2000=""BUY""), INT((ROW()-2)/amortYears)+1), )
"),"")</f>
        <v/>
      </c>
      <c r="B1178" s="15" t="str">
        <f>IFERROR(__xludf.DUMMYFUNCTION("IFERROR(INDEX(FILTER('RE Portfolio'!B$2:B2000,'RE Portfolio'!D$2:D2000=""BUY""), INT((ROW()-2)/amortYears)+1), )
"),"")</f>
        <v/>
      </c>
      <c r="C1178" s="15" t="str">
        <f>IFERROR(__xludf.DUMMYFUNCTION("IFERROR(INDEX(FILTER('RE Portfolio'!G$2:G2000,'RE Portfolio'!D$2:D2000=""BUY""), INT((ROW()-2)/amortYears)+1), )
"),"")</f>
        <v/>
      </c>
      <c r="D1178" s="15">
        <f>MOD(ROW()-2, amortYears)+1</f>
        <v>37</v>
      </c>
      <c r="E1178" s="15" t="str">
        <f t="shared" si="1"/>
        <v/>
      </c>
      <c r="F1178" s="15">
        <f t="shared" si="2"/>
        <v>0</v>
      </c>
      <c r="G1178" s="15">
        <f>IF(D1178&lt;=mortTerm, -PMT(mortRate/12, mortTerm*12, C1178)*12, 0)
</f>
        <v>0</v>
      </c>
      <c r="H1178" s="15">
        <f>IF(D1178&lt;=mortTerm, G1178 - I1178, 0)
</f>
        <v>0</v>
      </c>
      <c r="I1178" s="15">
        <f>IF(D1178&lt;=mortTerm, F1178 - J1178, 0)
</f>
        <v>0</v>
      </c>
      <c r="J1178" s="15">
        <f>IF(D1178&lt;=mortTerm,
   F1178*(1+mortRate/12)^12 - (-PMT(mortRate/12, mortTerm*12, C1178))*(((1+mortRate/12)^12 - 1)/(mortRate/12)),
   0
)
</f>
        <v>0</v>
      </c>
      <c r="K1178" s="13" t="str">
        <f>IFERROR(__xludf.DUMMYFUNCTION("IF(A1178="""","""",
   IF(F1178&gt;0,
      INDEX(FILTER('RE Portfolio'!L$2:L2000,'RE Portfolio'!D$2:D2000=""BUY""), INT((ROW()-2)/amortYears)+1) - G1178,
      INDEX(FILTER('RE Portfolio'!L$2:L2000,'RE Portfolio'!D$2:D2000=""BUY""), INT((ROW()-2)/amortYears"&amp;")+1)
   )
)
"),"")</f>
        <v/>
      </c>
      <c r="L1178" s="15" t="str">
        <f>IFERROR(__xludf.DUMMYFUNCTION("IF(A1178="""","""",
  INDEX(FILTER('RE Portfolio'!C$2:C2000,'RE Portfolio'!D$2:D2000=""BUY""), INT((ROW()-2)/amortYears)+1)
  * (1 + VALUE(Assumptions!$B$11))^(D1178-1)
)
"),"")</f>
        <v/>
      </c>
    </row>
    <row r="1179">
      <c r="A1179" s="15" t="str">
        <f>IFERROR(__xludf.DUMMYFUNCTION("IFERROR(INDEX(FILTER('RE Portfolio'!A$2:A2000,'RE Portfolio'!D$2:D2000=""BUY""), INT((ROW()-2)/amortYears)+1), )
"),"")</f>
        <v/>
      </c>
      <c r="B1179" s="15" t="str">
        <f>IFERROR(__xludf.DUMMYFUNCTION("IFERROR(INDEX(FILTER('RE Portfolio'!B$2:B2000,'RE Portfolio'!D$2:D2000=""BUY""), INT((ROW()-2)/amortYears)+1), )
"),"")</f>
        <v/>
      </c>
      <c r="C1179" s="15" t="str">
        <f>IFERROR(__xludf.DUMMYFUNCTION("IFERROR(INDEX(FILTER('RE Portfolio'!G$2:G2000,'RE Portfolio'!D$2:D2000=""BUY""), INT((ROW()-2)/amortYears)+1), )
"),"")</f>
        <v/>
      </c>
      <c r="D1179" s="15">
        <f>MOD(ROW()-2, amortYears)+1</f>
        <v>38</v>
      </c>
      <c r="E1179" s="15" t="str">
        <f t="shared" si="1"/>
        <v/>
      </c>
      <c r="F1179" s="15">
        <f t="shared" si="2"/>
        <v>0</v>
      </c>
      <c r="G1179" s="15">
        <f>IF(D1179&lt;=mortTerm, -PMT(mortRate/12, mortTerm*12, C1179)*12, 0)
</f>
        <v>0</v>
      </c>
      <c r="H1179" s="15">
        <f>IF(D1179&lt;=mortTerm, G1179 - I1179, 0)
</f>
        <v>0</v>
      </c>
      <c r="I1179" s="15">
        <f>IF(D1179&lt;=mortTerm, F1179 - J1179, 0)
</f>
        <v>0</v>
      </c>
      <c r="J1179" s="15">
        <f>IF(D1179&lt;=mortTerm,
   F1179*(1+mortRate/12)^12 - (-PMT(mortRate/12, mortTerm*12, C1179))*(((1+mortRate/12)^12 - 1)/(mortRate/12)),
   0
)
</f>
        <v>0</v>
      </c>
      <c r="K1179" s="13" t="str">
        <f>IFERROR(__xludf.DUMMYFUNCTION("IF(A1179="""","""",
   IF(F1179&gt;0,
      INDEX(FILTER('RE Portfolio'!L$2:L2000,'RE Portfolio'!D$2:D2000=""BUY""), INT((ROW()-2)/amortYears)+1) - G1179,
      INDEX(FILTER('RE Portfolio'!L$2:L2000,'RE Portfolio'!D$2:D2000=""BUY""), INT((ROW()-2)/amortYears"&amp;")+1)
   )
)
"),"")</f>
        <v/>
      </c>
      <c r="L1179" s="15" t="str">
        <f>IFERROR(__xludf.DUMMYFUNCTION("IF(A1179="""","""",
  INDEX(FILTER('RE Portfolio'!C$2:C2000,'RE Portfolio'!D$2:D2000=""BUY""), INT((ROW()-2)/amortYears)+1)
  * (1 + VALUE(Assumptions!$B$11))^(D1179-1)
)
"),"")</f>
        <v/>
      </c>
    </row>
    <row r="1180">
      <c r="A1180" s="15" t="str">
        <f>IFERROR(__xludf.DUMMYFUNCTION("IFERROR(INDEX(FILTER('RE Portfolio'!A$2:A2000,'RE Portfolio'!D$2:D2000=""BUY""), INT((ROW()-2)/amortYears)+1), )
"),"")</f>
        <v/>
      </c>
      <c r="B1180" s="15" t="str">
        <f>IFERROR(__xludf.DUMMYFUNCTION("IFERROR(INDEX(FILTER('RE Portfolio'!B$2:B2000,'RE Portfolio'!D$2:D2000=""BUY""), INT((ROW()-2)/amortYears)+1), )
"),"")</f>
        <v/>
      </c>
      <c r="C1180" s="15" t="str">
        <f>IFERROR(__xludf.DUMMYFUNCTION("IFERROR(INDEX(FILTER('RE Portfolio'!G$2:G2000,'RE Portfolio'!D$2:D2000=""BUY""), INT((ROW()-2)/amortYears)+1), )
"),"")</f>
        <v/>
      </c>
      <c r="D1180" s="15">
        <f>MOD(ROW()-2, amortYears)+1</f>
        <v>1</v>
      </c>
      <c r="E1180" s="15" t="str">
        <f t="shared" si="1"/>
        <v/>
      </c>
      <c r="F1180" s="15" t="str">
        <f t="shared" si="2"/>
        <v/>
      </c>
      <c r="G1180" s="16">
        <f>IF(D1180&lt;=mortTerm, -PMT(mortRate/12, mortTerm*12, C1180)*12, 0)
</f>
        <v>0</v>
      </c>
      <c r="H1180" s="16">
        <f>IF(D1180&lt;=mortTerm, G1180 - I1180, 0)
</f>
        <v>0</v>
      </c>
      <c r="I1180" s="16">
        <f>IF(D1180&lt;=mortTerm, F1180 - J1180, 0)
</f>
        <v>0</v>
      </c>
      <c r="J1180" s="16">
        <f>IF(D1180&lt;=mortTerm,
   F1180*(1+mortRate/12)^12 - (-PMT(mortRate/12, mortTerm*12, C1180))*(((1+mortRate/12)^12 - 1)/(mortRate/12)),
   0
)
</f>
        <v>0</v>
      </c>
      <c r="K1180" s="13" t="str">
        <f>IFERROR(__xludf.DUMMYFUNCTION("IF(A1180="""","""",
   IF(F1180&gt;0,
      INDEX(FILTER('RE Portfolio'!L$2:L2000,'RE Portfolio'!D$2:D2000=""BUY""), INT((ROW()-2)/amortYears)+1) - G1180,
      INDEX(FILTER('RE Portfolio'!L$2:L2000,'RE Portfolio'!D$2:D2000=""BUY""), INT((ROW()-2)/amortYears"&amp;")+1)
   )
)
"),"")</f>
        <v/>
      </c>
      <c r="L1180" s="15" t="str">
        <f>IFERROR(__xludf.DUMMYFUNCTION("IF(A1180="""","""",
  INDEX(FILTER('RE Portfolio'!C$2:C2000,'RE Portfolio'!D$2:D2000=""BUY""), INT((ROW()-2)/amortYears)+1)
  * (1 + VALUE(Assumptions!$B$11))^(D1180-1)
)
"),"")</f>
        <v/>
      </c>
    </row>
    <row r="1181">
      <c r="A1181" s="15" t="str">
        <f>IFERROR(__xludf.DUMMYFUNCTION("IFERROR(INDEX(FILTER('RE Portfolio'!A$2:A2000,'RE Portfolio'!D$2:D2000=""BUY""), INT((ROW()-2)/amortYears)+1), )
"),"")</f>
        <v/>
      </c>
      <c r="B1181" s="15" t="str">
        <f>IFERROR(__xludf.DUMMYFUNCTION("IFERROR(INDEX(FILTER('RE Portfolio'!B$2:B2000,'RE Portfolio'!D$2:D2000=""BUY""), INT((ROW()-2)/amortYears)+1), )
"),"")</f>
        <v/>
      </c>
      <c r="C1181" s="15" t="str">
        <f>IFERROR(__xludf.DUMMYFUNCTION("IFERROR(INDEX(FILTER('RE Portfolio'!G$2:G2000,'RE Portfolio'!D$2:D2000=""BUY""), INT((ROW()-2)/amortYears)+1), )
"),"")</f>
        <v/>
      </c>
      <c r="D1181" s="15">
        <f>MOD(ROW()-2, amortYears)+1</f>
        <v>2</v>
      </c>
      <c r="E1181" s="15" t="str">
        <f t="shared" si="1"/>
        <v/>
      </c>
      <c r="F1181" s="16">
        <f t="shared" si="2"/>
        <v>0</v>
      </c>
      <c r="G1181" s="16">
        <f>IF(D1181&lt;=mortTerm, -PMT(mortRate/12, mortTerm*12, C1181)*12, 0)
</f>
        <v>0</v>
      </c>
      <c r="H1181" s="16">
        <f>IF(D1181&lt;=mortTerm, G1181 - I1181, 0)
</f>
        <v>0</v>
      </c>
      <c r="I1181" s="16">
        <f>IF(D1181&lt;=mortTerm, F1181 - J1181, 0)
</f>
        <v>0</v>
      </c>
      <c r="J1181" s="16">
        <f>IF(D1181&lt;=mortTerm,
   F1181*(1+mortRate/12)^12 - (-PMT(mortRate/12, mortTerm*12, C1181))*(((1+mortRate/12)^12 - 1)/(mortRate/12)),
   0
)
</f>
        <v>0</v>
      </c>
      <c r="K1181" s="13" t="str">
        <f>IFERROR(__xludf.DUMMYFUNCTION("IF(A1181="""","""",
   IF(F1181&gt;0,
      INDEX(FILTER('RE Portfolio'!L$2:L2000,'RE Portfolio'!D$2:D2000=""BUY""), INT((ROW()-2)/amortYears)+1) - G1181,
      INDEX(FILTER('RE Portfolio'!L$2:L2000,'RE Portfolio'!D$2:D2000=""BUY""), INT((ROW()-2)/amortYears"&amp;")+1)
   )
)
"),"")</f>
        <v/>
      </c>
      <c r="L1181" s="15" t="str">
        <f>IFERROR(__xludf.DUMMYFUNCTION("IF(A1181="""","""",
  INDEX(FILTER('RE Portfolio'!C$2:C2000,'RE Portfolio'!D$2:D2000=""BUY""), INT((ROW()-2)/amortYears)+1)
  * (1 + VALUE(Assumptions!$B$11))^(D1181-1)
)
"),"")</f>
        <v/>
      </c>
    </row>
    <row r="1182">
      <c r="A1182" s="15" t="str">
        <f>IFERROR(__xludf.DUMMYFUNCTION("IFERROR(INDEX(FILTER('RE Portfolio'!A$2:A2000,'RE Portfolio'!D$2:D2000=""BUY""), INT((ROW()-2)/amortYears)+1), )
"),"")</f>
        <v/>
      </c>
      <c r="B1182" s="15" t="str">
        <f>IFERROR(__xludf.DUMMYFUNCTION("IFERROR(INDEX(FILTER('RE Portfolio'!B$2:B2000,'RE Portfolio'!D$2:D2000=""BUY""), INT((ROW()-2)/amortYears)+1), )
"),"")</f>
        <v/>
      </c>
      <c r="C1182" s="15" t="str">
        <f>IFERROR(__xludf.DUMMYFUNCTION("IFERROR(INDEX(FILTER('RE Portfolio'!G$2:G2000,'RE Portfolio'!D$2:D2000=""BUY""), INT((ROW()-2)/amortYears)+1), )
"),"")</f>
        <v/>
      </c>
      <c r="D1182" s="15">
        <f>MOD(ROW()-2, amortYears)+1</f>
        <v>3</v>
      </c>
      <c r="E1182" s="15" t="str">
        <f t="shared" si="1"/>
        <v/>
      </c>
      <c r="F1182" s="16">
        <f t="shared" si="2"/>
        <v>0</v>
      </c>
      <c r="G1182" s="16">
        <f>IF(D1182&lt;=mortTerm, -PMT(mortRate/12, mortTerm*12, C1182)*12, 0)
</f>
        <v>0</v>
      </c>
      <c r="H1182" s="16">
        <f>IF(D1182&lt;=mortTerm, G1182 - I1182, 0)
</f>
        <v>0</v>
      </c>
      <c r="I1182" s="16">
        <f>IF(D1182&lt;=mortTerm, F1182 - J1182, 0)
</f>
        <v>0</v>
      </c>
      <c r="J1182" s="16">
        <f>IF(D1182&lt;=mortTerm,
   F1182*(1+mortRate/12)^12 - (-PMT(mortRate/12, mortTerm*12, C1182))*(((1+mortRate/12)^12 - 1)/(mortRate/12)),
   0
)
</f>
        <v>0</v>
      </c>
      <c r="K1182" s="13" t="str">
        <f>IFERROR(__xludf.DUMMYFUNCTION("IF(A1182="""","""",
   IF(F1182&gt;0,
      INDEX(FILTER('RE Portfolio'!L$2:L2000,'RE Portfolio'!D$2:D2000=""BUY""), INT((ROW()-2)/amortYears)+1) - G1182,
      INDEX(FILTER('RE Portfolio'!L$2:L2000,'RE Portfolio'!D$2:D2000=""BUY""), INT((ROW()-2)/amortYears"&amp;")+1)
   )
)
"),"")</f>
        <v/>
      </c>
      <c r="L1182" s="15" t="str">
        <f>IFERROR(__xludf.DUMMYFUNCTION("IF(A1182="""","""",
  INDEX(FILTER('RE Portfolio'!C$2:C2000,'RE Portfolio'!D$2:D2000=""BUY""), INT((ROW()-2)/amortYears)+1)
  * (1 + VALUE(Assumptions!$B$11))^(D1182-1)
)
"),"")</f>
        <v/>
      </c>
    </row>
    <row r="1183">
      <c r="A1183" s="15" t="str">
        <f>IFERROR(__xludf.DUMMYFUNCTION("IFERROR(INDEX(FILTER('RE Portfolio'!A$2:A2000,'RE Portfolio'!D$2:D2000=""BUY""), INT((ROW()-2)/amortYears)+1), )
"),"")</f>
        <v/>
      </c>
      <c r="B1183" s="15" t="str">
        <f>IFERROR(__xludf.DUMMYFUNCTION("IFERROR(INDEX(FILTER('RE Portfolio'!B$2:B2000,'RE Portfolio'!D$2:D2000=""BUY""), INT((ROW()-2)/amortYears)+1), )
"),"")</f>
        <v/>
      </c>
      <c r="C1183" s="15" t="str">
        <f>IFERROR(__xludf.DUMMYFUNCTION("IFERROR(INDEX(FILTER('RE Portfolio'!G$2:G2000,'RE Portfolio'!D$2:D2000=""BUY""), INT((ROW()-2)/amortYears)+1), )
"),"")</f>
        <v/>
      </c>
      <c r="D1183" s="15">
        <f>MOD(ROW()-2, amortYears)+1</f>
        <v>4</v>
      </c>
      <c r="E1183" s="15" t="str">
        <f t="shared" si="1"/>
        <v/>
      </c>
      <c r="F1183" s="16">
        <f t="shared" si="2"/>
        <v>0</v>
      </c>
      <c r="G1183" s="16">
        <f>IF(D1183&lt;=mortTerm, -PMT(mortRate/12, mortTerm*12, C1183)*12, 0)
</f>
        <v>0</v>
      </c>
      <c r="H1183" s="16">
        <f>IF(D1183&lt;=mortTerm, G1183 - I1183, 0)
</f>
        <v>0</v>
      </c>
      <c r="I1183" s="16">
        <f>IF(D1183&lt;=mortTerm, F1183 - J1183, 0)
</f>
        <v>0</v>
      </c>
      <c r="J1183" s="16">
        <f>IF(D1183&lt;=mortTerm,
   F1183*(1+mortRate/12)^12 - (-PMT(mortRate/12, mortTerm*12, C1183))*(((1+mortRate/12)^12 - 1)/(mortRate/12)),
   0
)
</f>
        <v>0</v>
      </c>
      <c r="K1183" s="13" t="str">
        <f>IFERROR(__xludf.DUMMYFUNCTION("IF(A1183="""","""",
   IF(F1183&gt;0,
      INDEX(FILTER('RE Portfolio'!L$2:L2000,'RE Portfolio'!D$2:D2000=""BUY""), INT((ROW()-2)/amortYears)+1) - G1183,
      INDEX(FILTER('RE Portfolio'!L$2:L2000,'RE Portfolio'!D$2:D2000=""BUY""), INT((ROW()-2)/amortYears"&amp;")+1)
   )
)
"),"")</f>
        <v/>
      </c>
      <c r="L1183" s="15" t="str">
        <f>IFERROR(__xludf.DUMMYFUNCTION("IF(A1183="""","""",
  INDEX(FILTER('RE Portfolio'!C$2:C2000,'RE Portfolio'!D$2:D2000=""BUY""), INT((ROW()-2)/amortYears)+1)
  * (1 + VALUE(Assumptions!$B$11))^(D1183-1)
)
"),"")</f>
        <v/>
      </c>
    </row>
    <row r="1184">
      <c r="A1184" s="15" t="str">
        <f>IFERROR(__xludf.DUMMYFUNCTION("IFERROR(INDEX(FILTER('RE Portfolio'!A$2:A2000,'RE Portfolio'!D$2:D2000=""BUY""), INT((ROW()-2)/amortYears)+1), )
"),"")</f>
        <v/>
      </c>
      <c r="B1184" s="15" t="str">
        <f>IFERROR(__xludf.DUMMYFUNCTION("IFERROR(INDEX(FILTER('RE Portfolio'!B$2:B2000,'RE Portfolio'!D$2:D2000=""BUY""), INT((ROW()-2)/amortYears)+1), )
"),"")</f>
        <v/>
      </c>
      <c r="C1184" s="15" t="str">
        <f>IFERROR(__xludf.DUMMYFUNCTION("IFERROR(INDEX(FILTER('RE Portfolio'!G$2:G2000,'RE Portfolio'!D$2:D2000=""BUY""), INT((ROW()-2)/amortYears)+1), )
"),"")</f>
        <v/>
      </c>
      <c r="D1184" s="15">
        <f>MOD(ROW()-2, amortYears)+1</f>
        <v>5</v>
      </c>
      <c r="E1184" s="15" t="str">
        <f t="shared" si="1"/>
        <v/>
      </c>
      <c r="F1184" s="16">
        <f t="shared" si="2"/>
        <v>0</v>
      </c>
      <c r="G1184" s="16">
        <f>IF(D1184&lt;=mortTerm, -PMT(mortRate/12, mortTerm*12, C1184)*12, 0)
</f>
        <v>0</v>
      </c>
      <c r="H1184" s="16">
        <f>IF(D1184&lt;=mortTerm, G1184 - I1184, 0)
</f>
        <v>0</v>
      </c>
      <c r="I1184" s="16">
        <f>IF(D1184&lt;=mortTerm, F1184 - J1184, 0)
</f>
        <v>0</v>
      </c>
      <c r="J1184" s="16">
        <f>IF(D1184&lt;=mortTerm,
   F1184*(1+mortRate/12)^12 - (-PMT(mortRate/12, mortTerm*12, C1184))*(((1+mortRate/12)^12 - 1)/(mortRate/12)),
   0
)
</f>
        <v>0</v>
      </c>
      <c r="K1184" s="13" t="str">
        <f>IFERROR(__xludf.DUMMYFUNCTION("IF(A1184="""","""",
   IF(F1184&gt;0,
      INDEX(FILTER('RE Portfolio'!L$2:L2000,'RE Portfolio'!D$2:D2000=""BUY""), INT((ROW()-2)/amortYears)+1) - G1184,
      INDEX(FILTER('RE Portfolio'!L$2:L2000,'RE Portfolio'!D$2:D2000=""BUY""), INT((ROW()-2)/amortYears"&amp;")+1)
   )
)
"),"")</f>
        <v/>
      </c>
      <c r="L1184" s="15" t="str">
        <f>IFERROR(__xludf.DUMMYFUNCTION("IF(A1184="""","""",
  INDEX(FILTER('RE Portfolio'!C$2:C2000,'RE Portfolio'!D$2:D2000=""BUY""), INT((ROW()-2)/amortYears)+1)
  * (1 + VALUE(Assumptions!$B$11))^(D1184-1)
)
"),"")</f>
        <v/>
      </c>
    </row>
    <row r="1185">
      <c r="A1185" s="15" t="str">
        <f>IFERROR(__xludf.DUMMYFUNCTION("IFERROR(INDEX(FILTER('RE Portfolio'!A$2:A2000,'RE Portfolio'!D$2:D2000=""BUY""), INT((ROW()-2)/amortYears)+1), )
"),"")</f>
        <v/>
      </c>
      <c r="B1185" s="15" t="str">
        <f>IFERROR(__xludf.DUMMYFUNCTION("IFERROR(INDEX(FILTER('RE Portfolio'!B$2:B2000,'RE Portfolio'!D$2:D2000=""BUY""), INT((ROW()-2)/amortYears)+1), )
"),"")</f>
        <v/>
      </c>
      <c r="C1185" s="15" t="str">
        <f>IFERROR(__xludf.DUMMYFUNCTION("IFERROR(INDEX(FILTER('RE Portfolio'!G$2:G2000,'RE Portfolio'!D$2:D2000=""BUY""), INT((ROW()-2)/amortYears)+1), )
"),"")</f>
        <v/>
      </c>
      <c r="D1185" s="15">
        <f>MOD(ROW()-2, amortYears)+1</f>
        <v>6</v>
      </c>
      <c r="E1185" s="15" t="str">
        <f t="shared" si="1"/>
        <v/>
      </c>
      <c r="F1185" s="16">
        <f t="shared" si="2"/>
        <v>0</v>
      </c>
      <c r="G1185" s="16">
        <f>IF(D1185&lt;=mortTerm, -PMT(mortRate/12, mortTerm*12, C1185)*12, 0)
</f>
        <v>0</v>
      </c>
      <c r="H1185" s="16">
        <f>IF(D1185&lt;=mortTerm, G1185 - I1185, 0)
</f>
        <v>0</v>
      </c>
      <c r="I1185" s="16">
        <f>IF(D1185&lt;=mortTerm, F1185 - J1185, 0)
</f>
        <v>0</v>
      </c>
      <c r="J1185" s="16">
        <f>IF(D1185&lt;=mortTerm,
   F1185*(1+mortRate/12)^12 - (-PMT(mortRate/12, mortTerm*12, C1185))*(((1+mortRate/12)^12 - 1)/(mortRate/12)),
   0
)
</f>
        <v>0</v>
      </c>
      <c r="K1185" s="13" t="str">
        <f>IFERROR(__xludf.DUMMYFUNCTION("IF(A1185="""","""",
   IF(F1185&gt;0,
      INDEX(FILTER('RE Portfolio'!L$2:L2000,'RE Portfolio'!D$2:D2000=""BUY""), INT((ROW()-2)/amortYears)+1) - G1185,
      INDEX(FILTER('RE Portfolio'!L$2:L2000,'RE Portfolio'!D$2:D2000=""BUY""), INT((ROW()-2)/amortYears"&amp;")+1)
   )
)
"),"")</f>
        <v/>
      </c>
      <c r="L1185" s="15" t="str">
        <f>IFERROR(__xludf.DUMMYFUNCTION("IF(A1185="""","""",
  INDEX(FILTER('RE Portfolio'!C$2:C2000,'RE Portfolio'!D$2:D2000=""BUY""), INT((ROW()-2)/amortYears)+1)
  * (1 + VALUE(Assumptions!$B$11))^(D1185-1)
)
"),"")</f>
        <v/>
      </c>
    </row>
    <row r="1186">
      <c r="A1186" s="15" t="str">
        <f>IFERROR(__xludf.DUMMYFUNCTION("IFERROR(INDEX(FILTER('RE Portfolio'!A$2:A2000,'RE Portfolio'!D$2:D2000=""BUY""), INT((ROW()-2)/amortYears)+1), )
"),"")</f>
        <v/>
      </c>
      <c r="B1186" s="15" t="str">
        <f>IFERROR(__xludf.DUMMYFUNCTION("IFERROR(INDEX(FILTER('RE Portfolio'!B$2:B2000,'RE Portfolio'!D$2:D2000=""BUY""), INT((ROW()-2)/amortYears)+1), )
"),"")</f>
        <v/>
      </c>
      <c r="C1186" s="15" t="str">
        <f>IFERROR(__xludf.DUMMYFUNCTION("IFERROR(INDEX(FILTER('RE Portfolio'!G$2:G2000,'RE Portfolio'!D$2:D2000=""BUY""), INT((ROW()-2)/amortYears)+1), )
"),"")</f>
        <v/>
      </c>
      <c r="D1186" s="15">
        <f>MOD(ROW()-2, amortYears)+1</f>
        <v>7</v>
      </c>
      <c r="E1186" s="15" t="str">
        <f t="shared" si="1"/>
        <v/>
      </c>
      <c r="F1186" s="16">
        <f t="shared" si="2"/>
        <v>0</v>
      </c>
      <c r="G1186" s="16">
        <f>IF(D1186&lt;=mortTerm, -PMT(mortRate/12, mortTerm*12, C1186)*12, 0)
</f>
        <v>0</v>
      </c>
      <c r="H1186" s="16">
        <f>IF(D1186&lt;=mortTerm, G1186 - I1186, 0)
</f>
        <v>0</v>
      </c>
      <c r="I1186" s="16">
        <f>IF(D1186&lt;=mortTerm, F1186 - J1186, 0)
</f>
        <v>0</v>
      </c>
      <c r="J1186" s="16">
        <f>IF(D1186&lt;=mortTerm,
   F1186*(1+mortRate/12)^12 - (-PMT(mortRate/12, mortTerm*12, C1186))*(((1+mortRate/12)^12 - 1)/(mortRate/12)),
   0
)
</f>
        <v>0</v>
      </c>
      <c r="K1186" s="13" t="str">
        <f>IFERROR(__xludf.DUMMYFUNCTION("IF(A1186="""","""",
   IF(F1186&gt;0,
      INDEX(FILTER('RE Portfolio'!L$2:L2000,'RE Portfolio'!D$2:D2000=""BUY""), INT((ROW()-2)/amortYears)+1) - G1186,
      INDEX(FILTER('RE Portfolio'!L$2:L2000,'RE Portfolio'!D$2:D2000=""BUY""), INT((ROW()-2)/amortYears"&amp;")+1)
   )
)
"),"")</f>
        <v/>
      </c>
      <c r="L1186" s="15" t="str">
        <f>IFERROR(__xludf.DUMMYFUNCTION("IF(A1186="""","""",
  INDEX(FILTER('RE Portfolio'!C$2:C2000,'RE Portfolio'!D$2:D2000=""BUY""), INT((ROW()-2)/amortYears)+1)
  * (1 + VALUE(Assumptions!$B$11))^(D1186-1)
)
"),"")</f>
        <v/>
      </c>
    </row>
    <row r="1187">
      <c r="A1187" s="15" t="str">
        <f>IFERROR(__xludf.DUMMYFUNCTION("IFERROR(INDEX(FILTER('RE Portfolio'!A$2:A2000,'RE Portfolio'!D$2:D2000=""BUY""), INT((ROW()-2)/amortYears)+1), )
"),"")</f>
        <v/>
      </c>
      <c r="B1187" s="15" t="str">
        <f>IFERROR(__xludf.DUMMYFUNCTION("IFERROR(INDEX(FILTER('RE Portfolio'!B$2:B2000,'RE Portfolio'!D$2:D2000=""BUY""), INT((ROW()-2)/amortYears)+1), )
"),"")</f>
        <v/>
      </c>
      <c r="C1187" s="15" t="str">
        <f>IFERROR(__xludf.DUMMYFUNCTION("IFERROR(INDEX(FILTER('RE Portfolio'!G$2:G2000,'RE Portfolio'!D$2:D2000=""BUY""), INT((ROW()-2)/amortYears)+1), )
"),"")</f>
        <v/>
      </c>
      <c r="D1187" s="15">
        <f>MOD(ROW()-2, amortYears)+1</f>
        <v>8</v>
      </c>
      <c r="E1187" s="15" t="str">
        <f t="shared" si="1"/>
        <v/>
      </c>
      <c r="F1187" s="16">
        <f t="shared" si="2"/>
        <v>0</v>
      </c>
      <c r="G1187" s="16">
        <f>IF(D1187&lt;=mortTerm, -PMT(mortRate/12, mortTerm*12, C1187)*12, 0)
</f>
        <v>0</v>
      </c>
      <c r="H1187" s="16">
        <f>IF(D1187&lt;=mortTerm, G1187 - I1187, 0)
</f>
        <v>0</v>
      </c>
      <c r="I1187" s="16">
        <f>IF(D1187&lt;=mortTerm, F1187 - J1187, 0)
</f>
        <v>0</v>
      </c>
      <c r="J1187" s="16">
        <f>IF(D1187&lt;=mortTerm,
   F1187*(1+mortRate/12)^12 - (-PMT(mortRate/12, mortTerm*12, C1187))*(((1+mortRate/12)^12 - 1)/(mortRate/12)),
   0
)
</f>
        <v>0</v>
      </c>
      <c r="K1187" s="13" t="str">
        <f>IFERROR(__xludf.DUMMYFUNCTION("IF(A1187="""","""",
   IF(F1187&gt;0,
      INDEX(FILTER('RE Portfolio'!L$2:L2000,'RE Portfolio'!D$2:D2000=""BUY""), INT((ROW()-2)/amortYears)+1) - G1187,
      INDEX(FILTER('RE Portfolio'!L$2:L2000,'RE Portfolio'!D$2:D2000=""BUY""), INT((ROW()-2)/amortYears"&amp;")+1)
   )
)
"),"")</f>
        <v/>
      </c>
      <c r="L1187" s="15" t="str">
        <f>IFERROR(__xludf.DUMMYFUNCTION("IF(A1187="""","""",
  INDEX(FILTER('RE Portfolio'!C$2:C2000,'RE Portfolio'!D$2:D2000=""BUY""), INT((ROW()-2)/amortYears)+1)
  * (1 + VALUE(Assumptions!$B$11))^(D1187-1)
)
"),"")</f>
        <v/>
      </c>
    </row>
    <row r="1188">
      <c r="A1188" s="15" t="str">
        <f>IFERROR(__xludf.DUMMYFUNCTION("IFERROR(INDEX(FILTER('RE Portfolio'!A$2:A2000,'RE Portfolio'!D$2:D2000=""BUY""), INT((ROW()-2)/amortYears)+1), )
"),"")</f>
        <v/>
      </c>
      <c r="B1188" s="15" t="str">
        <f>IFERROR(__xludf.DUMMYFUNCTION("IFERROR(INDEX(FILTER('RE Portfolio'!B$2:B2000,'RE Portfolio'!D$2:D2000=""BUY""), INT((ROW()-2)/amortYears)+1), )
"),"")</f>
        <v/>
      </c>
      <c r="C1188" s="15" t="str">
        <f>IFERROR(__xludf.DUMMYFUNCTION("IFERROR(INDEX(FILTER('RE Portfolio'!G$2:G2000,'RE Portfolio'!D$2:D2000=""BUY""), INT((ROW()-2)/amortYears)+1), )
"),"")</f>
        <v/>
      </c>
      <c r="D1188" s="15">
        <f>MOD(ROW()-2, amortYears)+1</f>
        <v>9</v>
      </c>
      <c r="E1188" s="15" t="str">
        <f t="shared" si="1"/>
        <v/>
      </c>
      <c r="F1188" s="16">
        <f t="shared" si="2"/>
        <v>0</v>
      </c>
      <c r="G1188" s="16">
        <f>IF(D1188&lt;=mortTerm, -PMT(mortRate/12, mortTerm*12, C1188)*12, 0)
</f>
        <v>0</v>
      </c>
      <c r="H1188" s="16">
        <f>IF(D1188&lt;=mortTerm, G1188 - I1188, 0)
</f>
        <v>0</v>
      </c>
      <c r="I1188" s="16">
        <f>IF(D1188&lt;=mortTerm, F1188 - J1188, 0)
</f>
        <v>0</v>
      </c>
      <c r="J1188" s="16">
        <f>IF(D1188&lt;=mortTerm,
   F1188*(1+mortRate/12)^12 - (-PMT(mortRate/12, mortTerm*12, C1188))*(((1+mortRate/12)^12 - 1)/(mortRate/12)),
   0
)
</f>
        <v>0</v>
      </c>
      <c r="K1188" s="13" t="str">
        <f>IFERROR(__xludf.DUMMYFUNCTION("IF(A1188="""","""",
   IF(F1188&gt;0,
      INDEX(FILTER('RE Portfolio'!L$2:L2000,'RE Portfolio'!D$2:D2000=""BUY""), INT((ROW()-2)/amortYears)+1) - G1188,
      INDEX(FILTER('RE Portfolio'!L$2:L2000,'RE Portfolio'!D$2:D2000=""BUY""), INT((ROW()-2)/amortYears"&amp;")+1)
   )
)
"),"")</f>
        <v/>
      </c>
      <c r="L1188" s="15" t="str">
        <f>IFERROR(__xludf.DUMMYFUNCTION("IF(A1188="""","""",
  INDEX(FILTER('RE Portfolio'!C$2:C2000,'RE Portfolio'!D$2:D2000=""BUY""), INT((ROW()-2)/amortYears)+1)
  * (1 + VALUE(Assumptions!$B$11))^(D1188-1)
)
"),"")</f>
        <v/>
      </c>
    </row>
    <row r="1189">
      <c r="A1189" s="15" t="str">
        <f>IFERROR(__xludf.DUMMYFUNCTION("IFERROR(INDEX(FILTER('RE Portfolio'!A$2:A2000,'RE Portfolio'!D$2:D2000=""BUY""), INT((ROW()-2)/amortYears)+1), )
"),"")</f>
        <v/>
      </c>
      <c r="B1189" s="15" t="str">
        <f>IFERROR(__xludf.DUMMYFUNCTION("IFERROR(INDEX(FILTER('RE Portfolio'!B$2:B2000,'RE Portfolio'!D$2:D2000=""BUY""), INT((ROW()-2)/amortYears)+1), )
"),"")</f>
        <v/>
      </c>
      <c r="C1189" s="15" t="str">
        <f>IFERROR(__xludf.DUMMYFUNCTION("IFERROR(INDEX(FILTER('RE Portfolio'!G$2:G2000,'RE Portfolio'!D$2:D2000=""BUY""), INT((ROW()-2)/amortYears)+1), )
"),"")</f>
        <v/>
      </c>
      <c r="D1189" s="15">
        <f>MOD(ROW()-2, amortYears)+1</f>
        <v>10</v>
      </c>
      <c r="E1189" s="15" t="str">
        <f t="shared" si="1"/>
        <v/>
      </c>
      <c r="F1189" s="16">
        <f t="shared" si="2"/>
        <v>0</v>
      </c>
      <c r="G1189" s="16">
        <f>IF(D1189&lt;=mortTerm, -PMT(mortRate/12, mortTerm*12, C1189)*12, 0)
</f>
        <v>0</v>
      </c>
      <c r="H1189" s="16">
        <f>IF(D1189&lt;=mortTerm, G1189 - I1189, 0)
</f>
        <v>0</v>
      </c>
      <c r="I1189" s="16">
        <f>IF(D1189&lt;=mortTerm, F1189 - J1189, 0)
</f>
        <v>0</v>
      </c>
      <c r="J1189" s="16">
        <f>IF(D1189&lt;=mortTerm,
   F1189*(1+mortRate/12)^12 - (-PMT(mortRate/12, mortTerm*12, C1189))*(((1+mortRate/12)^12 - 1)/(mortRate/12)),
   0
)
</f>
        <v>0</v>
      </c>
      <c r="K1189" s="13" t="str">
        <f>IFERROR(__xludf.DUMMYFUNCTION("IF(A1189="""","""",
   IF(F1189&gt;0,
      INDEX(FILTER('RE Portfolio'!L$2:L2000,'RE Portfolio'!D$2:D2000=""BUY""), INT((ROW()-2)/amortYears)+1) - G1189,
      INDEX(FILTER('RE Portfolio'!L$2:L2000,'RE Portfolio'!D$2:D2000=""BUY""), INT((ROW()-2)/amortYears"&amp;")+1)
   )
)
"),"")</f>
        <v/>
      </c>
      <c r="L1189" s="15" t="str">
        <f>IFERROR(__xludf.DUMMYFUNCTION("IF(A1189="""","""",
  INDEX(FILTER('RE Portfolio'!C$2:C2000,'RE Portfolio'!D$2:D2000=""BUY""), INT((ROW()-2)/amortYears)+1)
  * (1 + VALUE(Assumptions!$B$11))^(D1189-1)
)
"),"")</f>
        <v/>
      </c>
    </row>
    <row r="1190">
      <c r="A1190" s="15" t="str">
        <f>IFERROR(__xludf.DUMMYFUNCTION("IFERROR(INDEX(FILTER('RE Portfolio'!A$2:A2000,'RE Portfolio'!D$2:D2000=""BUY""), INT((ROW()-2)/amortYears)+1), )
"),"")</f>
        <v/>
      </c>
      <c r="B1190" s="15" t="str">
        <f>IFERROR(__xludf.DUMMYFUNCTION("IFERROR(INDEX(FILTER('RE Portfolio'!B$2:B2000,'RE Portfolio'!D$2:D2000=""BUY""), INT((ROW()-2)/amortYears)+1), )
"),"")</f>
        <v/>
      </c>
      <c r="C1190" s="15" t="str">
        <f>IFERROR(__xludf.DUMMYFUNCTION("IFERROR(INDEX(FILTER('RE Portfolio'!G$2:G2000,'RE Portfolio'!D$2:D2000=""BUY""), INT((ROW()-2)/amortYears)+1), )
"),"")</f>
        <v/>
      </c>
      <c r="D1190" s="15">
        <f>MOD(ROW()-2, amortYears)+1</f>
        <v>11</v>
      </c>
      <c r="E1190" s="15" t="str">
        <f t="shared" si="1"/>
        <v/>
      </c>
      <c r="F1190" s="16">
        <f t="shared" si="2"/>
        <v>0</v>
      </c>
      <c r="G1190" s="16">
        <f>IF(D1190&lt;=mortTerm, -PMT(mortRate/12, mortTerm*12, C1190)*12, 0)
</f>
        <v>0</v>
      </c>
      <c r="H1190" s="16">
        <f>IF(D1190&lt;=mortTerm, G1190 - I1190, 0)
</f>
        <v>0</v>
      </c>
      <c r="I1190" s="16">
        <f>IF(D1190&lt;=mortTerm, F1190 - J1190, 0)
</f>
        <v>0</v>
      </c>
      <c r="J1190" s="16">
        <f>IF(D1190&lt;=mortTerm,
   F1190*(1+mortRate/12)^12 - (-PMT(mortRate/12, mortTerm*12, C1190))*(((1+mortRate/12)^12 - 1)/(mortRate/12)),
   0
)
</f>
        <v>0</v>
      </c>
      <c r="K1190" s="13" t="str">
        <f>IFERROR(__xludf.DUMMYFUNCTION("IF(A1190="""","""",
   IF(F1190&gt;0,
      INDEX(FILTER('RE Portfolio'!L$2:L2000,'RE Portfolio'!D$2:D2000=""BUY""), INT((ROW()-2)/amortYears)+1) - G1190,
      INDEX(FILTER('RE Portfolio'!L$2:L2000,'RE Portfolio'!D$2:D2000=""BUY""), INT((ROW()-2)/amortYears"&amp;")+1)
   )
)
"),"")</f>
        <v/>
      </c>
      <c r="L1190" s="15" t="str">
        <f>IFERROR(__xludf.DUMMYFUNCTION("IF(A1190="""","""",
  INDEX(FILTER('RE Portfolio'!C$2:C2000,'RE Portfolio'!D$2:D2000=""BUY""), INT((ROW()-2)/amortYears)+1)
  * (1 + VALUE(Assumptions!$B$11))^(D1190-1)
)
"),"")</f>
        <v/>
      </c>
    </row>
    <row r="1191">
      <c r="A1191" s="15" t="str">
        <f>IFERROR(__xludf.DUMMYFUNCTION("IFERROR(INDEX(FILTER('RE Portfolio'!A$2:A2000,'RE Portfolio'!D$2:D2000=""BUY""), INT((ROW()-2)/amortYears)+1), )
"),"")</f>
        <v/>
      </c>
      <c r="B1191" s="15" t="str">
        <f>IFERROR(__xludf.DUMMYFUNCTION("IFERROR(INDEX(FILTER('RE Portfolio'!B$2:B2000,'RE Portfolio'!D$2:D2000=""BUY""), INT((ROW()-2)/amortYears)+1), )
"),"")</f>
        <v/>
      </c>
      <c r="C1191" s="15" t="str">
        <f>IFERROR(__xludf.DUMMYFUNCTION("IFERROR(INDEX(FILTER('RE Portfolio'!G$2:G2000,'RE Portfolio'!D$2:D2000=""BUY""), INT((ROW()-2)/amortYears)+1), )
"),"")</f>
        <v/>
      </c>
      <c r="D1191" s="15">
        <f>MOD(ROW()-2, amortYears)+1</f>
        <v>12</v>
      </c>
      <c r="E1191" s="15" t="str">
        <f t="shared" si="1"/>
        <v/>
      </c>
      <c r="F1191" s="16">
        <f t="shared" si="2"/>
        <v>0</v>
      </c>
      <c r="G1191" s="16">
        <f>IF(D1191&lt;=mortTerm, -PMT(mortRate/12, mortTerm*12, C1191)*12, 0)
</f>
        <v>0</v>
      </c>
      <c r="H1191" s="16">
        <f>IF(D1191&lt;=mortTerm, G1191 - I1191, 0)
</f>
        <v>0</v>
      </c>
      <c r="I1191" s="16">
        <f>IF(D1191&lt;=mortTerm, F1191 - J1191, 0)
</f>
        <v>0</v>
      </c>
      <c r="J1191" s="16">
        <f>IF(D1191&lt;=mortTerm,
   F1191*(1+mortRate/12)^12 - (-PMT(mortRate/12, mortTerm*12, C1191))*(((1+mortRate/12)^12 - 1)/(mortRate/12)),
   0
)
</f>
        <v>0</v>
      </c>
      <c r="K1191" s="13" t="str">
        <f>IFERROR(__xludf.DUMMYFUNCTION("IF(A1191="""","""",
   IF(F1191&gt;0,
      INDEX(FILTER('RE Portfolio'!L$2:L2000,'RE Portfolio'!D$2:D2000=""BUY""), INT((ROW()-2)/amortYears)+1) - G1191,
      INDEX(FILTER('RE Portfolio'!L$2:L2000,'RE Portfolio'!D$2:D2000=""BUY""), INT((ROW()-2)/amortYears"&amp;")+1)
   )
)
"),"")</f>
        <v/>
      </c>
      <c r="L1191" s="15" t="str">
        <f>IFERROR(__xludf.DUMMYFUNCTION("IF(A1191="""","""",
  INDEX(FILTER('RE Portfolio'!C$2:C2000,'RE Portfolio'!D$2:D2000=""BUY""), INT((ROW()-2)/amortYears)+1)
  * (1 + VALUE(Assumptions!$B$11))^(D1191-1)
)
"),"")</f>
        <v/>
      </c>
    </row>
    <row r="1192">
      <c r="A1192" s="15" t="str">
        <f>IFERROR(__xludf.DUMMYFUNCTION("IFERROR(INDEX(FILTER('RE Portfolio'!A$2:A2000,'RE Portfolio'!D$2:D2000=""BUY""), INT((ROW()-2)/amortYears)+1), )
"),"")</f>
        <v/>
      </c>
      <c r="B1192" s="15" t="str">
        <f>IFERROR(__xludf.DUMMYFUNCTION("IFERROR(INDEX(FILTER('RE Portfolio'!B$2:B2000,'RE Portfolio'!D$2:D2000=""BUY""), INT((ROW()-2)/amortYears)+1), )
"),"")</f>
        <v/>
      </c>
      <c r="C1192" s="15" t="str">
        <f>IFERROR(__xludf.DUMMYFUNCTION("IFERROR(INDEX(FILTER('RE Portfolio'!G$2:G2000,'RE Portfolio'!D$2:D2000=""BUY""), INT((ROW()-2)/amortYears)+1), )
"),"")</f>
        <v/>
      </c>
      <c r="D1192" s="15">
        <f>MOD(ROW()-2, amortYears)+1</f>
        <v>13</v>
      </c>
      <c r="E1192" s="15" t="str">
        <f t="shared" si="1"/>
        <v/>
      </c>
      <c r="F1192" s="16">
        <f t="shared" si="2"/>
        <v>0</v>
      </c>
      <c r="G1192" s="16">
        <f>IF(D1192&lt;=mortTerm, -PMT(mortRate/12, mortTerm*12, C1192)*12, 0)
</f>
        <v>0</v>
      </c>
      <c r="H1192" s="16">
        <f>IF(D1192&lt;=mortTerm, G1192 - I1192, 0)
</f>
        <v>0</v>
      </c>
      <c r="I1192" s="16">
        <f>IF(D1192&lt;=mortTerm, F1192 - J1192, 0)
</f>
        <v>0</v>
      </c>
      <c r="J1192" s="16">
        <f>IF(D1192&lt;=mortTerm,
   F1192*(1+mortRate/12)^12 - (-PMT(mortRate/12, mortTerm*12, C1192))*(((1+mortRate/12)^12 - 1)/(mortRate/12)),
   0
)
</f>
        <v>0</v>
      </c>
      <c r="K1192" s="13" t="str">
        <f>IFERROR(__xludf.DUMMYFUNCTION("IF(A1192="""","""",
   IF(F1192&gt;0,
      INDEX(FILTER('RE Portfolio'!L$2:L2000,'RE Portfolio'!D$2:D2000=""BUY""), INT((ROW()-2)/amortYears)+1) - G1192,
      INDEX(FILTER('RE Portfolio'!L$2:L2000,'RE Portfolio'!D$2:D2000=""BUY""), INT((ROW()-2)/amortYears"&amp;")+1)
   )
)
"),"")</f>
        <v/>
      </c>
      <c r="L1192" s="15" t="str">
        <f>IFERROR(__xludf.DUMMYFUNCTION("IF(A1192="""","""",
  INDEX(FILTER('RE Portfolio'!C$2:C2000,'RE Portfolio'!D$2:D2000=""BUY""), INT((ROW()-2)/amortYears)+1)
  * (1 + VALUE(Assumptions!$B$11))^(D1192-1)
)
"),"")</f>
        <v/>
      </c>
    </row>
    <row r="1193">
      <c r="A1193" s="15" t="str">
        <f>IFERROR(__xludf.DUMMYFUNCTION("IFERROR(INDEX(FILTER('RE Portfolio'!A$2:A2000,'RE Portfolio'!D$2:D2000=""BUY""), INT((ROW()-2)/amortYears)+1), )
"),"")</f>
        <v/>
      </c>
      <c r="B1193" s="15" t="str">
        <f>IFERROR(__xludf.DUMMYFUNCTION("IFERROR(INDEX(FILTER('RE Portfolio'!B$2:B2000,'RE Portfolio'!D$2:D2000=""BUY""), INT((ROW()-2)/amortYears)+1), )
"),"")</f>
        <v/>
      </c>
      <c r="C1193" s="15" t="str">
        <f>IFERROR(__xludf.DUMMYFUNCTION("IFERROR(INDEX(FILTER('RE Portfolio'!G$2:G2000,'RE Portfolio'!D$2:D2000=""BUY""), INT((ROW()-2)/amortYears)+1), )
"),"")</f>
        <v/>
      </c>
      <c r="D1193" s="15">
        <f>MOD(ROW()-2, amortYears)+1</f>
        <v>14</v>
      </c>
      <c r="E1193" s="15" t="str">
        <f t="shared" si="1"/>
        <v/>
      </c>
      <c r="F1193" s="16">
        <f t="shared" si="2"/>
        <v>0</v>
      </c>
      <c r="G1193" s="16">
        <f>IF(D1193&lt;=mortTerm, -PMT(mortRate/12, mortTerm*12, C1193)*12, 0)
</f>
        <v>0</v>
      </c>
      <c r="H1193" s="16">
        <f>IF(D1193&lt;=mortTerm, G1193 - I1193, 0)
</f>
        <v>0</v>
      </c>
      <c r="I1193" s="16">
        <f>IF(D1193&lt;=mortTerm, F1193 - J1193, 0)
</f>
        <v>0</v>
      </c>
      <c r="J1193" s="16">
        <f>IF(D1193&lt;=mortTerm,
   F1193*(1+mortRate/12)^12 - (-PMT(mortRate/12, mortTerm*12, C1193))*(((1+mortRate/12)^12 - 1)/(mortRate/12)),
   0
)
</f>
        <v>0</v>
      </c>
      <c r="K1193" s="13" t="str">
        <f>IFERROR(__xludf.DUMMYFUNCTION("IF(A1193="""","""",
   IF(F1193&gt;0,
      INDEX(FILTER('RE Portfolio'!L$2:L2000,'RE Portfolio'!D$2:D2000=""BUY""), INT((ROW()-2)/amortYears)+1) - G1193,
      INDEX(FILTER('RE Portfolio'!L$2:L2000,'RE Portfolio'!D$2:D2000=""BUY""), INT((ROW()-2)/amortYears"&amp;")+1)
   )
)
"),"")</f>
        <v/>
      </c>
      <c r="L1193" s="15" t="str">
        <f>IFERROR(__xludf.DUMMYFUNCTION("IF(A1193="""","""",
  INDEX(FILTER('RE Portfolio'!C$2:C2000,'RE Portfolio'!D$2:D2000=""BUY""), INT((ROW()-2)/amortYears)+1)
  * (1 + VALUE(Assumptions!$B$11))^(D1193-1)
)
"),"")</f>
        <v/>
      </c>
    </row>
    <row r="1194">
      <c r="A1194" s="15" t="str">
        <f>IFERROR(__xludf.DUMMYFUNCTION("IFERROR(INDEX(FILTER('RE Portfolio'!A$2:A2000,'RE Portfolio'!D$2:D2000=""BUY""), INT((ROW()-2)/amortYears)+1), )
"),"")</f>
        <v/>
      </c>
      <c r="B1194" s="15" t="str">
        <f>IFERROR(__xludf.DUMMYFUNCTION("IFERROR(INDEX(FILTER('RE Portfolio'!B$2:B2000,'RE Portfolio'!D$2:D2000=""BUY""), INT((ROW()-2)/amortYears)+1), )
"),"")</f>
        <v/>
      </c>
      <c r="C1194" s="15" t="str">
        <f>IFERROR(__xludf.DUMMYFUNCTION("IFERROR(INDEX(FILTER('RE Portfolio'!G$2:G2000,'RE Portfolio'!D$2:D2000=""BUY""), INT((ROW()-2)/amortYears)+1), )
"),"")</f>
        <v/>
      </c>
      <c r="D1194" s="15">
        <f>MOD(ROW()-2, amortYears)+1</f>
        <v>15</v>
      </c>
      <c r="E1194" s="15" t="str">
        <f t="shared" si="1"/>
        <v/>
      </c>
      <c r="F1194" s="16">
        <f t="shared" si="2"/>
        <v>0</v>
      </c>
      <c r="G1194" s="16">
        <f>IF(D1194&lt;=mortTerm, -PMT(mortRate/12, mortTerm*12, C1194)*12, 0)
</f>
        <v>0</v>
      </c>
      <c r="H1194" s="16">
        <f>IF(D1194&lt;=mortTerm, G1194 - I1194, 0)
</f>
        <v>0</v>
      </c>
      <c r="I1194" s="16">
        <f>IF(D1194&lt;=mortTerm, F1194 - J1194, 0)
</f>
        <v>0</v>
      </c>
      <c r="J1194" s="16">
        <f>IF(D1194&lt;=mortTerm,
   F1194*(1+mortRate/12)^12 - (-PMT(mortRate/12, mortTerm*12, C1194))*(((1+mortRate/12)^12 - 1)/(mortRate/12)),
   0
)
</f>
        <v>0</v>
      </c>
      <c r="K1194" s="13" t="str">
        <f>IFERROR(__xludf.DUMMYFUNCTION("IF(A1194="""","""",
   IF(F1194&gt;0,
      INDEX(FILTER('RE Portfolio'!L$2:L2000,'RE Portfolio'!D$2:D2000=""BUY""), INT((ROW()-2)/amortYears)+1) - G1194,
      INDEX(FILTER('RE Portfolio'!L$2:L2000,'RE Portfolio'!D$2:D2000=""BUY""), INT((ROW()-2)/amortYears"&amp;")+1)
   )
)
"),"")</f>
        <v/>
      </c>
      <c r="L1194" s="15" t="str">
        <f>IFERROR(__xludf.DUMMYFUNCTION("IF(A1194="""","""",
  INDEX(FILTER('RE Portfolio'!C$2:C2000,'RE Portfolio'!D$2:D2000=""BUY""), INT((ROW()-2)/amortYears)+1)
  * (1 + VALUE(Assumptions!$B$11))^(D1194-1)
)
"),"")</f>
        <v/>
      </c>
    </row>
    <row r="1195">
      <c r="A1195" s="15" t="str">
        <f>IFERROR(__xludf.DUMMYFUNCTION("IFERROR(INDEX(FILTER('RE Portfolio'!A$2:A2000,'RE Portfolio'!D$2:D2000=""BUY""), INT((ROW()-2)/amortYears)+1), )
"),"")</f>
        <v/>
      </c>
      <c r="B1195" s="15" t="str">
        <f>IFERROR(__xludf.DUMMYFUNCTION("IFERROR(INDEX(FILTER('RE Portfolio'!B$2:B2000,'RE Portfolio'!D$2:D2000=""BUY""), INT((ROW()-2)/amortYears)+1), )
"),"")</f>
        <v/>
      </c>
      <c r="C1195" s="15" t="str">
        <f>IFERROR(__xludf.DUMMYFUNCTION("IFERROR(INDEX(FILTER('RE Portfolio'!G$2:G2000,'RE Portfolio'!D$2:D2000=""BUY""), INT((ROW()-2)/amortYears)+1), )
"),"")</f>
        <v/>
      </c>
      <c r="D1195" s="15">
        <f>MOD(ROW()-2, amortYears)+1</f>
        <v>16</v>
      </c>
      <c r="E1195" s="15" t="str">
        <f t="shared" si="1"/>
        <v/>
      </c>
      <c r="F1195" s="16">
        <f t="shared" si="2"/>
        <v>0</v>
      </c>
      <c r="G1195" s="16">
        <f>IF(D1195&lt;=mortTerm, -PMT(mortRate/12, mortTerm*12, C1195)*12, 0)
</f>
        <v>0</v>
      </c>
      <c r="H1195" s="16">
        <f>IF(D1195&lt;=mortTerm, G1195 - I1195, 0)
</f>
        <v>0</v>
      </c>
      <c r="I1195" s="16">
        <f>IF(D1195&lt;=mortTerm, F1195 - J1195, 0)
</f>
        <v>0</v>
      </c>
      <c r="J1195" s="16">
        <f>IF(D1195&lt;=mortTerm,
   F1195*(1+mortRate/12)^12 - (-PMT(mortRate/12, mortTerm*12, C1195))*(((1+mortRate/12)^12 - 1)/(mortRate/12)),
   0
)
</f>
        <v>0</v>
      </c>
      <c r="K1195" s="13" t="str">
        <f>IFERROR(__xludf.DUMMYFUNCTION("IF(A1195="""","""",
   IF(F1195&gt;0,
      INDEX(FILTER('RE Portfolio'!L$2:L2000,'RE Portfolio'!D$2:D2000=""BUY""), INT((ROW()-2)/amortYears)+1) - G1195,
      INDEX(FILTER('RE Portfolio'!L$2:L2000,'RE Portfolio'!D$2:D2000=""BUY""), INT((ROW()-2)/amortYears"&amp;")+1)
   )
)
"),"")</f>
        <v/>
      </c>
      <c r="L1195" s="15" t="str">
        <f>IFERROR(__xludf.DUMMYFUNCTION("IF(A1195="""","""",
  INDEX(FILTER('RE Portfolio'!C$2:C2000,'RE Portfolio'!D$2:D2000=""BUY""), INT((ROW()-2)/amortYears)+1)
  * (1 + VALUE(Assumptions!$B$11))^(D1195-1)
)
"),"")</f>
        <v/>
      </c>
    </row>
    <row r="1196">
      <c r="A1196" s="15" t="str">
        <f>IFERROR(__xludf.DUMMYFUNCTION("IFERROR(INDEX(FILTER('RE Portfolio'!A$2:A2000,'RE Portfolio'!D$2:D2000=""BUY""), INT((ROW()-2)/amortYears)+1), )
"),"")</f>
        <v/>
      </c>
      <c r="B1196" s="15" t="str">
        <f>IFERROR(__xludf.DUMMYFUNCTION("IFERROR(INDEX(FILTER('RE Portfolio'!B$2:B2000,'RE Portfolio'!D$2:D2000=""BUY""), INT((ROW()-2)/amortYears)+1), )
"),"")</f>
        <v/>
      </c>
      <c r="C1196" s="15" t="str">
        <f>IFERROR(__xludf.DUMMYFUNCTION("IFERROR(INDEX(FILTER('RE Portfolio'!G$2:G2000,'RE Portfolio'!D$2:D2000=""BUY""), INT((ROW()-2)/amortYears)+1), )
"),"")</f>
        <v/>
      </c>
      <c r="D1196" s="15">
        <f>MOD(ROW()-2, amortYears)+1</f>
        <v>17</v>
      </c>
      <c r="E1196" s="15" t="str">
        <f t="shared" si="1"/>
        <v/>
      </c>
      <c r="F1196" s="16">
        <f t="shared" si="2"/>
        <v>0</v>
      </c>
      <c r="G1196" s="16">
        <f>IF(D1196&lt;=mortTerm, -PMT(mortRate/12, mortTerm*12, C1196)*12, 0)
</f>
        <v>0</v>
      </c>
      <c r="H1196" s="16">
        <f>IF(D1196&lt;=mortTerm, G1196 - I1196, 0)
</f>
        <v>0</v>
      </c>
      <c r="I1196" s="16">
        <f>IF(D1196&lt;=mortTerm, F1196 - J1196, 0)
</f>
        <v>0</v>
      </c>
      <c r="J1196" s="16">
        <f>IF(D1196&lt;=mortTerm,
   F1196*(1+mortRate/12)^12 - (-PMT(mortRate/12, mortTerm*12, C1196))*(((1+mortRate/12)^12 - 1)/(mortRate/12)),
   0
)
</f>
        <v>0</v>
      </c>
      <c r="K1196" s="13" t="str">
        <f>IFERROR(__xludf.DUMMYFUNCTION("IF(A1196="""","""",
   IF(F1196&gt;0,
      INDEX(FILTER('RE Portfolio'!L$2:L2000,'RE Portfolio'!D$2:D2000=""BUY""), INT((ROW()-2)/amortYears)+1) - G1196,
      INDEX(FILTER('RE Portfolio'!L$2:L2000,'RE Portfolio'!D$2:D2000=""BUY""), INT((ROW()-2)/amortYears"&amp;")+1)
   )
)
"),"")</f>
        <v/>
      </c>
      <c r="L1196" s="15" t="str">
        <f>IFERROR(__xludf.DUMMYFUNCTION("IF(A1196="""","""",
  INDEX(FILTER('RE Portfolio'!C$2:C2000,'RE Portfolio'!D$2:D2000=""BUY""), INT((ROW()-2)/amortYears)+1)
  * (1 + VALUE(Assumptions!$B$11))^(D1196-1)
)
"),"")</f>
        <v/>
      </c>
    </row>
    <row r="1197">
      <c r="A1197" s="15" t="str">
        <f>IFERROR(__xludf.DUMMYFUNCTION("IFERROR(INDEX(FILTER('RE Portfolio'!A$2:A2000,'RE Portfolio'!D$2:D2000=""BUY""), INT((ROW()-2)/amortYears)+1), )
"),"")</f>
        <v/>
      </c>
      <c r="B1197" s="15" t="str">
        <f>IFERROR(__xludf.DUMMYFUNCTION("IFERROR(INDEX(FILTER('RE Portfolio'!B$2:B2000,'RE Portfolio'!D$2:D2000=""BUY""), INT((ROW()-2)/amortYears)+1), )
"),"")</f>
        <v/>
      </c>
      <c r="C1197" s="15" t="str">
        <f>IFERROR(__xludf.DUMMYFUNCTION("IFERROR(INDEX(FILTER('RE Portfolio'!G$2:G2000,'RE Portfolio'!D$2:D2000=""BUY""), INT((ROW()-2)/amortYears)+1), )
"),"")</f>
        <v/>
      </c>
      <c r="D1197" s="15">
        <f>MOD(ROW()-2, amortYears)+1</f>
        <v>18</v>
      </c>
      <c r="E1197" s="15" t="str">
        <f t="shared" si="1"/>
        <v/>
      </c>
      <c r="F1197" s="16">
        <f t="shared" si="2"/>
        <v>0</v>
      </c>
      <c r="G1197" s="16">
        <f>IF(D1197&lt;=mortTerm, -PMT(mortRate/12, mortTerm*12, C1197)*12, 0)
</f>
        <v>0</v>
      </c>
      <c r="H1197" s="16">
        <f>IF(D1197&lt;=mortTerm, G1197 - I1197, 0)
</f>
        <v>0</v>
      </c>
      <c r="I1197" s="16">
        <f>IF(D1197&lt;=mortTerm, F1197 - J1197, 0)
</f>
        <v>0</v>
      </c>
      <c r="J1197" s="16">
        <f>IF(D1197&lt;=mortTerm,
   F1197*(1+mortRate/12)^12 - (-PMT(mortRate/12, mortTerm*12, C1197))*(((1+mortRate/12)^12 - 1)/(mortRate/12)),
   0
)
</f>
        <v>0</v>
      </c>
      <c r="K1197" s="13" t="str">
        <f>IFERROR(__xludf.DUMMYFUNCTION("IF(A1197="""","""",
   IF(F1197&gt;0,
      INDEX(FILTER('RE Portfolio'!L$2:L2000,'RE Portfolio'!D$2:D2000=""BUY""), INT((ROW()-2)/amortYears)+1) - G1197,
      INDEX(FILTER('RE Portfolio'!L$2:L2000,'RE Portfolio'!D$2:D2000=""BUY""), INT((ROW()-2)/amortYears"&amp;")+1)
   )
)
"),"")</f>
        <v/>
      </c>
      <c r="L1197" s="15" t="str">
        <f>IFERROR(__xludf.DUMMYFUNCTION("IF(A1197="""","""",
  INDEX(FILTER('RE Portfolio'!C$2:C2000,'RE Portfolio'!D$2:D2000=""BUY""), INT((ROW()-2)/amortYears)+1)
  * (1 + VALUE(Assumptions!$B$11))^(D1197-1)
)
"),"")</f>
        <v/>
      </c>
    </row>
    <row r="1198">
      <c r="A1198" s="15" t="str">
        <f>IFERROR(__xludf.DUMMYFUNCTION("IFERROR(INDEX(FILTER('RE Portfolio'!A$2:A2000,'RE Portfolio'!D$2:D2000=""BUY""), INT((ROW()-2)/amortYears)+1), )
"),"")</f>
        <v/>
      </c>
      <c r="B1198" s="15" t="str">
        <f>IFERROR(__xludf.DUMMYFUNCTION("IFERROR(INDEX(FILTER('RE Portfolio'!B$2:B2000,'RE Portfolio'!D$2:D2000=""BUY""), INT((ROW()-2)/amortYears)+1), )
"),"")</f>
        <v/>
      </c>
      <c r="C1198" s="15" t="str">
        <f>IFERROR(__xludf.DUMMYFUNCTION("IFERROR(INDEX(FILTER('RE Portfolio'!G$2:G2000,'RE Portfolio'!D$2:D2000=""BUY""), INT((ROW()-2)/amortYears)+1), )
"),"")</f>
        <v/>
      </c>
      <c r="D1198" s="15">
        <f>MOD(ROW()-2, amortYears)+1</f>
        <v>19</v>
      </c>
      <c r="E1198" s="15" t="str">
        <f t="shared" si="1"/>
        <v/>
      </c>
      <c r="F1198" s="16">
        <f t="shared" si="2"/>
        <v>0</v>
      </c>
      <c r="G1198" s="16">
        <f>IF(D1198&lt;=mortTerm, -PMT(mortRate/12, mortTerm*12, C1198)*12, 0)
</f>
        <v>0</v>
      </c>
      <c r="H1198" s="16">
        <f>IF(D1198&lt;=mortTerm, G1198 - I1198, 0)
</f>
        <v>0</v>
      </c>
      <c r="I1198" s="16">
        <f>IF(D1198&lt;=mortTerm, F1198 - J1198, 0)
</f>
        <v>0</v>
      </c>
      <c r="J1198" s="16">
        <f>IF(D1198&lt;=mortTerm,
   F1198*(1+mortRate/12)^12 - (-PMT(mortRate/12, mortTerm*12, C1198))*(((1+mortRate/12)^12 - 1)/(mortRate/12)),
   0
)
</f>
        <v>0</v>
      </c>
      <c r="K1198" s="13" t="str">
        <f>IFERROR(__xludf.DUMMYFUNCTION("IF(A1198="""","""",
   IF(F1198&gt;0,
      INDEX(FILTER('RE Portfolio'!L$2:L2000,'RE Portfolio'!D$2:D2000=""BUY""), INT((ROW()-2)/amortYears)+1) - G1198,
      INDEX(FILTER('RE Portfolio'!L$2:L2000,'RE Portfolio'!D$2:D2000=""BUY""), INT((ROW()-2)/amortYears"&amp;")+1)
   )
)
"),"")</f>
        <v/>
      </c>
      <c r="L1198" s="15" t="str">
        <f>IFERROR(__xludf.DUMMYFUNCTION("IF(A1198="""","""",
  INDEX(FILTER('RE Portfolio'!C$2:C2000,'RE Portfolio'!D$2:D2000=""BUY""), INT((ROW()-2)/amortYears)+1)
  * (1 + VALUE(Assumptions!$B$11))^(D1198-1)
)
"),"")</f>
        <v/>
      </c>
    </row>
    <row r="1199">
      <c r="A1199" s="15" t="str">
        <f>IFERROR(__xludf.DUMMYFUNCTION("IFERROR(INDEX(FILTER('RE Portfolio'!A$2:A2000,'RE Portfolio'!D$2:D2000=""BUY""), INT((ROW()-2)/amortYears)+1), )
"),"")</f>
        <v/>
      </c>
      <c r="B1199" s="15" t="str">
        <f>IFERROR(__xludf.DUMMYFUNCTION("IFERROR(INDEX(FILTER('RE Portfolio'!B$2:B2000,'RE Portfolio'!D$2:D2000=""BUY""), INT((ROW()-2)/amortYears)+1), )
"),"")</f>
        <v/>
      </c>
      <c r="C1199" s="15" t="str">
        <f>IFERROR(__xludf.DUMMYFUNCTION("IFERROR(INDEX(FILTER('RE Portfolio'!G$2:G2000,'RE Portfolio'!D$2:D2000=""BUY""), INT((ROW()-2)/amortYears)+1), )
"),"")</f>
        <v/>
      </c>
      <c r="D1199" s="15">
        <f>MOD(ROW()-2, amortYears)+1</f>
        <v>20</v>
      </c>
      <c r="E1199" s="15" t="str">
        <f t="shared" si="1"/>
        <v/>
      </c>
      <c r="F1199" s="16">
        <f t="shared" si="2"/>
        <v>0</v>
      </c>
      <c r="G1199" s="16">
        <f>IF(D1199&lt;=mortTerm, -PMT(mortRate/12, mortTerm*12, C1199)*12, 0)
</f>
        <v>0</v>
      </c>
      <c r="H1199" s="16">
        <f>IF(D1199&lt;=mortTerm, G1199 - I1199, 0)
</f>
        <v>0</v>
      </c>
      <c r="I1199" s="16">
        <f>IF(D1199&lt;=mortTerm, F1199 - J1199, 0)
</f>
        <v>0</v>
      </c>
      <c r="J1199" s="16">
        <f>IF(D1199&lt;=mortTerm,
   F1199*(1+mortRate/12)^12 - (-PMT(mortRate/12, mortTerm*12, C1199))*(((1+mortRate/12)^12 - 1)/(mortRate/12)),
   0
)
</f>
        <v>0</v>
      </c>
      <c r="K1199" s="13" t="str">
        <f>IFERROR(__xludf.DUMMYFUNCTION("IF(A1199="""","""",
   IF(F1199&gt;0,
      INDEX(FILTER('RE Portfolio'!L$2:L2000,'RE Portfolio'!D$2:D2000=""BUY""), INT((ROW()-2)/amortYears)+1) - G1199,
      INDEX(FILTER('RE Portfolio'!L$2:L2000,'RE Portfolio'!D$2:D2000=""BUY""), INT((ROW()-2)/amortYears"&amp;")+1)
   )
)
"),"")</f>
        <v/>
      </c>
      <c r="L1199" s="15" t="str">
        <f>IFERROR(__xludf.DUMMYFUNCTION("IF(A1199="""","""",
  INDEX(FILTER('RE Portfolio'!C$2:C2000,'RE Portfolio'!D$2:D2000=""BUY""), INT((ROW()-2)/amortYears)+1)
  * (1 + VALUE(Assumptions!$B$11))^(D1199-1)
)
"),"")</f>
        <v/>
      </c>
    </row>
    <row r="1200">
      <c r="A1200" s="15" t="str">
        <f>IFERROR(__xludf.DUMMYFUNCTION("IFERROR(INDEX(FILTER('RE Portfolio'!A$2:A2000,'RE Portfolio'!D$2:D2000=""BUY""), INT((ROW()-2)/amortYears)+1), )
"),"")</f>
        <v/>
      </c>
      <c r="B1200" s="15" t="str">
        <f>IFERROR(__xludf.DUMMYFUNCTION("IFERROR(INDEX(FILTER('RE Portfolio'!B$2:B2000,'RE Portfolio'!D$2:D2000=""BUY""), INT((ROW()-2)/amortYears)+1), )
"),"")</f>
        <v/>
      </c>
      <c r="C1200" s="15" t="str">
        <f>IFERROR(__xludf.DUMMYFUNCTION("IFERROR(INDEX(FILTER('RE Portfolio'!G$2:G2000,'RE Portfolio'!D$2:D2000=""BUY""), INT((ROW()-2)/amortYears)+1), )
"),"")</f>
        <v/>
      </c>
      <c r="D1200" s="15">
        <f>MOD(ROW()-2, amortYears)+1</f>
        <v>21</v>
      </c>
      <c r="E1200" s="15" t="str">
        <f t="shared" si="1"/>
        <v/>
      </c>
      <c r="F1200" s="16">
        <f t="shared" si="2"/>
        <v>0</v>
      </c>
      <c r="G1200" s="16">
        <f>IF(D1200&lt;=mortTerm, -PMT(mortRate/12, mortTerm*12, C1200)*12, 0)
</f>
        <v>0</v>
      </c>
      <c r="H1200" s="16">
        <f>IF(D1200&lt;=mortTerm, G1200 - I1200, 0)
</f>
        <v>0</v>
      </c>
      <c r="I1200" s="16">
        <f>IF(D1200&lt;=mortTerm, F1200 - J1200, 0)
</f>
        <v>0</v>
      </c>
      <c r="J1200" s="16">
        <f>IF(D1200&lt;=mortTerm,
   F1200*(1+mortRate/12)^12 - (-PMT(mortRate/12, mortTerm*12, C1200))*(((1+mortRate/12)^12 - 1)/(mortRate/12)),
   0
)
</f>
        <v>0</v>
      </c>
      <c r="K1200" s="13" t="str">
        <f>IFERROR(__xludf.DUMMYFUNCTION("IF(A1200="""","""",
   IF(F1200&gt;0,
      INDEX(FILTER('RE Portfolio'!L$2:L2000,'RE Portfolio'!D$2:D2000=""BUY""), INT((ROW()-2)/amortYears)+1) - G1200,
      INDEX(FILTER('RE Portfolio'!L$2:L2000,'RE Portfolio'!D$2:D2000=""BUY""), INT((ROW()-2)/amortYears"&amp;")+1)
   )
)
"),"")</f>
        <v/>
      </c>
      <c r="L1200" s="15" t="str">
        <f>IFERROR(__xludf.DUMMYFUNCTION("IF(A1200="""","""",
  INDEX(FILTER('RE Portfolio'!C$2:C2000,'RE Portfolio'!D$2:D2000=""BUY""), INT((ROW()-2)/amortYears)+1)
  * (1 + VALUE(Assumptions!$B$11))^(D1200-1)
)
"),"")</f>
        <v/>
      </c>
    </row>
    <row r="1201">
      <c r="A1201" s="15" t="str">
        <f>IFERROR(__xludf.DUMMYFUNCTION("IFERROR(INDEX(FILTER('RE Portfolio'!A$2:A2000,'RE Portfolio'!D$2:D2000=""BUY""), INT((ROW()-2)/amortYears)+1), )
"),"")</f>
        <v/>
      </c>
      <c r="B1201" s="15" t="str">
        <f>IFERROR(__xludf.DUMMYFUNCTION("IFERROR(INDEX(FILTER('RE Portfolio'!B$2:B2000,'RE Portfolio'!D$2:D2000=""BUY""), INT((ROW()-2)/amortYears)+1), )
"),"")</f>
        <v/>
      </c>
      <c r="C1201" s="15" t="str">
        <f>IFERROR(__xludf.DUMMYFUNCTION("IFERROR(INDEX(FILTER('RE Portfolio'!G$2:G2000,'RE Portfolio'!D$2:D2000=""BUY""), INT((ROW()-2)/amortYears)+1), )
"),"")</f>
        <v/>
      </c>
      <c r="D1201" s="15">
        <f>MOD(ROW()-2, amortYears)+1</f>
        <v>22</v>
      </c>
      <c r="E1201" s="15" t="str">
        <f t="shared" si="1"/>
        <v/>
      </c>
      <c r="F1201" s="16">
        <f t="shared" si="2"/>
        <v>0</v>
      </c>
      <c r="G1201" s="16">
        <f>IF(D1201&lt;=mortTerm, -PMT(mortRate/12, mortTerm*12, C1201)*12, 0)
</f>
        <v>0</v>
      </c>
      <c r="H1201" s="16">
        <f>IF(D1201&lt;=mortTerm, G1201 - I1201, 0)
</f>
        <v>0</v>
      </c>
      <c r="I1201" s="16">
        <f>IF(D1201&lt;=mortTerm, F1201 - J1201, 0)
</f>
        <v>0</v>
      </c>
      <c r="J1201" s="16">
        <f>IF(D1201&lt;=mortTerm,
   F1201*(1+mortRate/12)^12 - (-PMT(mortRate/12, mortTerm*12, C1201))*(((1+mortRate/12)^12 - 1)/(mortRate/12)),
   0
)
</f>
        <v>0</v>
      </c>
      <c r="K1201" s="13" t="str">
        <f>IFERROR(__xludf.DUMMYFUNCTION("IF(A1201="""","""",
   IF(F1201&gt;0,
      INDEX(FILTER('RE Portfolio'!L$2:L2000,'RE Portfolio'!D$2:D2000=""BUY""), INT((ROW()-2)/amortYears)+1) - G1201,
      INDEX(FILTER('RE Portfolio'!L$2:L2000,'RE Portfolio'!D$2:D2000=""BUY""), INT((ROW()-2)/amortYears"&amp;")+1)
   )
)
"),"")</f>
        <v/>
      </c>
      <c r="L1201" s="15" t="str">
        <f>IFERROR(__xludf.DUMMYFUNCTION("IF(A1201="""","""",
  INDEX(FILTER('RE Portfolio'!C$2:C2000,'RE Portfolio'!D$2:D2000=""BUY""), INT((ROW()-2)/amortYears)+1)
  * (1 + VALUE(Assumptions!$B$11))^(D1201-1)
)
"),"")</f>
        <v/>
      </c>
    </row>
    <row r="1202">
      <c r="A1202" s="15" t="str">
        <f>IFERROR(__xludf.DUMMYFUNCTION("IFERROR(INDEX(FILTER('RE Portfolio'!A$2:A2000,'RE Portfolio'!D$2:D2000=""BUY""), INT((ROW()-2)/amortYears)+1), )
"),"")</f>
        <v/>
      </c>
      <c r="B1202" s="15" t="str">
        <f>IFERROR(__xludf.DUMMYFUNCTION("IFERROR(INDEX(FILTER('RE Portfolio'!B$2:B2000,'RE Portfolio'!D$2:D2000=""BUY""), INT((ROW()-2)/amortYears)+1), )
"),"")</f>
        <v/>
      </c>
      <c r="C1202" s="15" t="str">
        <f>IFERROR(__xludf.DUMMYFUNCTION("IFERROR(INDEX(FILTER('RE Portfolio'!G$2:G2000,'RE Portfolio'!D$2:D2000=""BUY""), INT((ROW()-2)/amortYears)+1), )
"),"")</f>
        <v/>
      </c>
      <c r="D1202" s="15">
        <f>MOD(ROW()-2, amortYears)+1</f>
        <v>23</v>
      </c>
      <c r="E1202" s="15" t="str">
        <f t="shared" si="1"/>
        <v/>
      </c>
      <c r="F1202" s="16">
        <f t="shared" si="2"/>
        <v>0</v>
      </c>
      <c r="G1202" s="16">
        <f>IF(D1202&lt;=mortTerm, -PMT(mortRate/12, mortTerm*12, C1202)*12, 0)
</f>
        <v>0</v>
      </c>
      <c r="H1202" s="16">
        <f>IF(D1202&lt;=mortTerm, G1202 - I1202, 0)
</f>
        <v>0</v>
      </c>
      <c r="I1202" s="16">
        <f>IF(D1202&lt;=mortTerm, F1202 - J1202, 0)
</f>
        <v>0</v>
      </c>
      <c r="J1202" s="16">
        <f>IF(D1202&lt;=mortTerm,
   F1202*(1+mortRate/12)^12 - (-PMT(mortRate/12, mortTerm*12, C1202))*(((1+mortRate/12)^12 - 1)/(mortRate/12)),
   0
)
</f>
        <v>0</v>
      </c>
      <c r="K1202" s="13" t="str">
        <f>IFERROR(__xludf.DUMMYFUNCTION("IF(A1202="""","""",
   IF(F1202&gt;0,
      INDEX(FILTER('RE Portfolio'!L$2:L2000,'RE Portfolio'!D$2:D2000=""BUY""), INT((ROW()-2)/amortYears)+1) - G1202,
      INDEX(FILTER('RE Portfolio'!L$2:L2000,'RE Portfolio'!D$2:D2000=""BUY""), INT((ROW()-2)/amortYears"&amp;")+1)
   )
)
"),"")</f>
        <v/>
      </c>
      <c r="L1202" s="15" t="str">
        <f>IFERROR(__xludf.DUMMYFUNCTION("IF(A1202="""","""",
  INDEX(FILTER('RE Portfolio'!C$2:C2000,'RE Portfolio'!D$2:D2000=""BUY""), INT((ROW()-2)/amortYears)+1)
  * (1 + VALUE(Assumptions!$B$11))^(D1202-1)
)
"),"")</f>
        <v/>
      </c>
    </row>
    <row r="1203">
      <c r="A1203" s="15" t="str">
        <f>IFERROR(__xludf.DUMMYFUNCTION("IFERROR(INDEX(FILTER('RE Portfolio'!A$2:A2000,'RE Portfolio'!D$2:D2000=""BUY""), INT((ROW()-2)/amortYears)+1), )
"),"")</f>
        <v/>
      </c>
      <c r="B1203" s="15" t="str">
        <f>IFERROR(__xludf.DUMMYFUNCTION("IFERROR(INDEX(FILTER('RE Portfolio'!B$2:B2000,'RE Portfolio'!D$2:D2000=""BUY""), INT((ROW()-2)/amortYears)+1), )
"),"")</f>
        <v/>
      </c>
      <c r="C1203" s="15" t="str">
        <f>IFERROR(__xludf.DUMMYFUNCTION("IFERROR(INDEX(FILTER('RE Portfolio'!G$2:G2000,'RE Portfolio'!D$2:D2000=""BUY""), INT((ROW()-2)/amortYears)+1), )
"),"")</f>
        <v/>
      </c>
      <c r="D1203" s="15">
        <f>MOD(ROW()-2, amortYears)+1</f>
        <v>24</v>
      </c>
      <c r="E1203" s="15" t="str">
        <f t="shared" si="1"/>
        <v/>
      </c>
      <c r="F1203" s="16">
        <f t="shared" si="2"/>
        <v>0</v>
      </c>
      <c r="G1203" s="16">
        <f>IF(D1203&lt;=mortTerm, -PMT(mortRate/12, mortTerm*12, C1203)*12, 0)
</f>
        <v>0</v>
      </c>
      <c r="H1203" s="16">
        <f>IF(D1203&lt;=mortTerm, G1203 - I1203, 0)
</f>
        <v>0</v>
      </c>
      <c r="I1203" s="16">
        <f>IF(D1203&lt;=mortTerm, F1203 - J1203, 0)
</f>
        <v>0</v>
      </c>
      <c r="J1203" s="16">
        <f>IF(D1203&lt;=mortTerm,
   F1203*(1+mortRate/12)^12 - (-PMT(mortRate/12, mortTerm*12, C1203))*(((1+mortRate/12)^12 - 1)/(mortRate/12)),
   0
)
</f>
        <v>0</v>
      </c>
      <c r="K1203" s="13" t="str">
        <f>IFERROR(__xludf.DUMMYFUNCTION("IF(A1203="""","""",
   IF(F1203&gt;0,
      INDEX(FILTER('RE Portfolio'!L$2:L2000,'RE Portfolio'!D$2:D2000=""BUY""), INT((ROW()-2)/amortYears)+1) - G1203,
      INDEX(FILTER('RE Portfolio'!L$2:L2000,'RE Portfolio'!D$2:D2000=""BUY""), INT((ROW()-2)/amortYears"&amp;")+1)
   )
)
"),"")</f>
        <v/>
      </c>
      <c r="L1203" s="15" t="str">
        <f>IFERROR(__xludf.DUMMYFUNCTION("IF(A1203="""","""",
  INDEX(FILTER('RE Portfolio'!C$2:C2000,'RE Portfolio'!D$2:D2000=""BUY""), INT((ROW()-2)/amortYears)+1)
  * (1 + VALUE(Assumptions!$B$11))^(D1203-1)
)
"),"")</f>
        <v/>
      </c>
    </row>
    <row r="1204">
      <c r="A1204" s="15" t="str">
        <f>IFERROR(__xludf.DUMMYFUNCTION("IFERROR(INDEX(FILTER('RE Portfolio'!A$2:A2000,'RE Portfolio'!D$2:D2000=""BUY""), INT((ROW()-2)/amortYears)+1), )
"),"")</f>
        <v/>
      </c>
      <c r="B1204" s="15" t="str">
        <f>IFERROR(__xludf.DUMMYFUNCTION("IFERROR(INDEX(FILTER('RE Portfolio'!B$2:B2000,'RE Portfolio'!D$2:D2000=""BUY""), INT((ROW()-2)/amortYears)+1), )
"),"")</f>
        <v/>
      </c>
      <c r="C1204" s="15" t="str">
        <f>IFERROR(__xludf.DUMMYFUNCTION("IFERROR(INDEX(FILTER('RE Portfolio'!G$2:G2000,'RE Portfolio'!D$2:D2000=""BUY""), INT((ROW()-2)/amortYears)+1), )
"),"")</f>
        <v/>
      </c>
      <c r="D1204" s="15">
        <f>MOD(ROW()-2, amortYears)+1</f>
        <v>25</v>
      </c>
      <c r="E1204" s="15" t="str">
        <f t="shared" si="1"/>
        <v/>
      </c>
      <c r="F1204" s="16">
        <f t="shared" si="2"/>
        <v>0</v>
      </c>
      <c r="G1204" s="16">
        <f>IF(D1204&lt;=mortTerm, -PMT(mortRate/12, mortTerm*12, C1204)*12, 0)
</f>
        <v>0</v>
      </c>
      <c r="H1204" s="16">
        <f>IF(D1204&lt;=mortTerm, G1204 - I1204, 0)
</f>
        <v>0</v>
      </c>
      <c r="I1204" s="16">
        <f>IF(D1204&lt;=mortTerm, F1204 - J1204, 0)
</f>
        <v>0</v>
      </c>
      <c r="J1204" s="16">
        <f>IF(D1204&lt;=mortTerm,
   F1204*(1+mortRate/12)^12 - (-PMT(mortRate/12, mortTerm*12, C1204))*(((1+mortRate/12)^12 - 1)/(mortRate/12)),
   0
)
</f>
        <v>0</v>
      </c>
      <c r="K1204" s="13" t="str">
        <f>IFERROR(__xludf.DUMMYFUNCTION("IF(A1204="""","""",
   IF(F1204&gt;0,
      INDEX(FILTER('RE Portfolio'!L$2:L2000,'RE Portfolio'!D$2:D2000=""BUY""), INT((ROW()-2)/amortYears)+1) - G1204,
      INDEX(FILTER('RE Portfolio'!L$2:L2000,'RE Portfolio'!D$2:D2000=""BUY""), INT((ROW()-2)/amortYears"&amp;")+1)
   )
)
"),"")</f>
        <v/>
      </c>
      <c r="L1204" s="15" t="str">
        <f>IFERROR(__xludf.DUMMYFUNCTION("IF(A1204="""","""",
  INDEX(FILTER('RE Portfolio'!C$2:C2000,'RE Portfolio'!D$2:D2000=""BUY""), INT((ROW()-2)/amortYears)+1)
  * (1 + VALUE(Assumptions!$B$11))^(D1204-1)
)
"),"")</f>
        <v/>
      </c>
    </row>
    <row r="1205">
      <c r="A1205" s="15" t="str">
        <f>IFERROR(__xludf.DUMMYFUNCTION("IFERROR(INDEX(FILTER('RE Portfolio'!A$2:A2000,'RE Portfolio'!D$2:D2000=""BUY""), INT((ROW()-2)/amortYears)+1), )
"),"")</f>
        <v/>
      </c>
      <c r="B1205" s="15" t="str">
        <f>IFERROR(__xludf.DUMMYFUNCTION("IFERROR(INDEX(FILTER('RE Portfolio'!B$2:B2000,'RE Portfolio'!D$2:D2000=""BUY""), INT((ROW()-2)/amortYears)+1), )
"),"")</f>
        <v/>
      </c>
      <c r="C1205" s="15" t="str">
        <f>IFERROR(__xludf.DUMMYFUNCTION("IFERROR(INDEX(FILTER('RE Portfolio'!G$2:G2000,'RE Portfolio'!D$2:D2000=""BUY""), INT((ROW()-2)/amortYears)+1), )
"),"")</f>
        <v/>
      </c>
      <c r="D1205" s="15">
        <f>MOD(ROW()-2, amortYears)+1</f>
        <v>26</v>
      </c>
      <c r="E1205" s="15" t="str">
        <f t="shared" si="1"/>
        <v/>
      </c>
      <c r="F1205" s="16">
        <f t="shared" si="2"/>
        <v>0</v>
      </c>
      <c r="G1205" s="16">
        <f>IF(D1205&lt;=mortTerm, -PMT(mortRate/12, mortTerm*12, C1205)*12, 0)
</f>
        <v>0</v>
      </c>
      <c r="H1205" s="16">
        <f>IF(D1205&lt;=mortTerm, G1205 - I1205, 0)
</f>
        <v>0</v>
      </c>
      <c r="I1205" s="16">
        <f>IF(D1205&lt;=mortTerm, F1205 - J1205, 0)
</f>
        <v>0</v>
      </c>
      <c r="J1205" s="16">
        <f>IF(D1205&lt;=mortTerm,
   F1205*(1+mortRate/12)^12 - (-PMT(mortRate/12, mortTerm*12, C1205))*(((1+mortRate/12)^12 - 1)/(mortRate/12)),
   0
)
</f>
        <v>0</v>
      </c>
      <c r="K1205" s="13" t="str">
        <f>IFERROR(__xludf.DUMMYFUNCTION("IF(A1205="""","""",
   IF(F1205&gt;0,
      INDEX(FILTER('RE Portfolio'!L$2:L2000,'RE Portfolio'!D$2:D2000=""BUY""), INT((ROW()-2)/amortYears)+1) - G1205,
      INDEX(FILTER('RE Portfolio'!L$2:L2000,'RE Portfolio'!D$2:D2000=""BUY""), INT((ROW()-2)/amortYears"&amp;")+1)
   )
)
"),"")</f>
        <v/>
      </c>
      <c r="L1205" s="15" t="str">
        <f>IFERROR(__xludf.DUMMYFUNCTION("IF(A1205="""","""",
  INDEX(FILTER('RE Portfolio'!C$2:C2000,'RE Portfolio'!D$2:D2000=""BUY""), INT((ROW()-2)/amortYears)+1)
  * (1 + VALUE(Assumptions!$B$11))^(D1205-1)
)
"),"")</f>
        <v/>
      </c>
    </row>
    <row r="1206">
      <c r="A1206" s="15" t="str">
        <f>IFERROR(__xludf.DUMMYFUNCTION("IFERROR(INDEX(FILTER('RE Portfolio'!A$2:A2000,'RE Portfolio'!D$2:D2000=""BUY""), INT((ROW()-2)/amortYears)+1), )
"),"")</f>
        <v/>
      </c>
      <c r="B1206" s="15" t="str">
        <f>IFERROR(__xludf.DUMMYFUNCTION("IFERROR(INDEX(FILTER('RE Portfolio'!B$2:B2000,'RE Portfolio'!D$2:D2000=""BUY""), INT((ROW()-2)/amortYears)+1), )
"),"")</f>
        <v/>
      </c>
      <c r="C1206" s="15" t="str">
        <f>IFERROR(__xludf.DUMMYFUNCTION("IFERROR(INDEX(FILTER('RE Portfolio'!G$2:G2000,'RE Portfolio'!D$2:D2000=""BUY""), INT((ROW()-2)/amortYears)+1), )
"),"")</f>
        <v/>
      </c>
      <c r="D1206" s="15">
        <f>MOD(ROW()-2, amortYears)+1</f>
        <v>27</v>
      </c>
      <c r="E1206" s="15" t="str">
        <f t="shared" si="1"/>
        <v/>
      </c>
      <c r="F1206" s="16">
        <f t="shared" si="2"/>
        <v>0</v>
      </c>
      <c r="G1206" s="16">
        <f>IF(D1206&lt;=mortTerm, -PMT(mortRate/12, mortTerm*12, C1206)*12, 0)
</f>
        <v>0</v>
      </c>
      <c r="H1206" s="16">
        <f>IF(D1206&lt;=mortTerm, G1206 - I1206, 0)
</f>
        <v>0</v>
      </c>
      <c r="I1206" s="16">
        <f>IF(D1206&lt;=mortTerm, F1206 - J1206, 0)
</f>
        <v>0</v>
      </c>
      <c r="J1206" s="16">
        <f>IF(D1206&lt;=mortTerm,
   F1206*(1+mortRate/12)^12 - (-PMT(mortRate/12, mortTerm*12, C1206))*(((1+mortRate/12)^12 - 1)/(mortRate/12)),
   0
)
</f>
        <v>0</v>
      </c>
      <c r="K1206" s="13" t="str">
        <f>IFERROR(__xludf.DUMMYFUNCTION("IF(A1206="""","""",
   IF(F1206&gt;0,
      INDEX(FILTER('RE Portfolio'!L$2:L2000,'RE Portfolio'!D$2:D2000=""BUY""), INT((ROW()-2)/amortYears)+1) - G1206,
      INDEX(FILTER('RE Portfolio'!L$2:L2000,'RE Portfolio'!D$2:D2000=""BUY""), INT((ROW()-2)/amortYears"&amp;")+1)
   )
)
"),"")</f>
        <v/>
      </c>
      <c r="L1206" s="15" t="str">
        <f>IFERROR(__xludf.DUMMYFUNCTION("IF(A1206="""","""",
  INDEX(FILTER('RE Portfolio'!C$2:C2000,'RE Portfolio'!D$2:D2000=""BUY""), INT((ROW()-2)/amortYears)+1)
  * (1 + VALUE(Assumptions!$B$11))^(D1206-1)
)
"),"")</f>
        <v/>
      </c>
    </row>
    <row r="1207">
      <c r="A1207" s="15" t="str">
        <f>IFERROR(__xludf.DUMMYFUNCTION("IFERROR(INDEX(FILTER('RE Portfolio'!A$2:A2000,'RE Portfolio'!D$2:D2000=""BUY""), INT((ROW()-2)/amortYears)+1), )
"),"")</f>
        <v/>
      </c>
      <c r="B1207" s="15" t="str">
        <f>IFERROR(__xludf.DUMMYFUNCTION("IFERROR(INDEX(FILTER('RE Portfolio'!B$2:B2000,'RE Portfolio'!D$2:D2000=""BUY""), INT((ROW()-2)/amortYears)+1), )
"),"")</f>
        <v/>
      </c>
      <c r="C1207" s="15" t="str">
        <f>IFERROR(__xludf.DUMMYFUNCTION("IFERROR(INDEX(FILTER('RE Portfolio'!G$2:G2000,'RE Portfolio'!D$2:D2000=""BUY""), INT((ROW()-2)/amortYears)+1), )
"),"")</f>
        <v/>
      </c>
      <c r="D1207" s="15">
        <f>MOD(ROW()-2, amortYears)+1</f>
        <v>28</v>
      </c>
      <c r="E1207" s="15" t="str">
        <f t="shared" si="1"/>
        <v/>
      </c>
      <c r="F1207" s="16">
        <f t="shared" si="2"/>
        <v>0</v>
      </c>
      <c r="G1207" s="16">
        <f>IF(D1207&lt;=mortTerm, -PMT(mortRate/12, mortTerm*12, C1207)*12, 0)
</f>
        <v>0</v>
      </c>
      <c r="H1207" s="16">
        <f>IF(D1207&lt;=mortTerm, G1207 - I1207, 0)
</f>
        <v>0</v>
      </c>
      <c r="I1207" s="16">
        <f>IF(D1207&lt;=mortTerm, F1207 - J1207, 0)
</f>
        <v>0</v>
      </c>
      <c r="J1207" s="16">
        <f>IF(D1207&lt;=mortTerm,
   F1207*(1+mortRate/12)^12 - (-PMT(mortRate/12, mortTerm*12, C1207))*(((1+mortRate/12)^12 - 1)/(mortRate/12)),
   0
)
</f>
        <v>0</v>
      </c>
      <c r="K1207" s="13" t="str">
        <f>IFERROR(__xludf.DUMMYFUNCTION("IF(A1207="""","""",
   IF(F1207&gt;0,
      INDEX(FILTER('RE Portfolio'!L$2:L2000,'RE Portfolio'!D$2:D2000=""BUY""), INT((ROW()-2)/amortYears)+1) - G1207,
      INDEX(FILTER('RE Portfolio'!L$2:L2000,'RE Portfolio'!D$2:D2000=""BUY""), INT((ROW()-2)/amortYears"&amp;")+1)
   )
)
"),"")</f>
        <v/>
      </c>
      <c r="L1207" s="15" t="str">
        <f>IFERROR(__xludf.DUMMYFUNCTION("IF(A1207="""","""",
  INDEX(FILTER('RE Portfolio'!C$2:C2000,'RE Portfolio'!D$2:D2000=""BUY""), INT((ROW()-2)/amortYears)+1)
  * (1 + VALUE(Assumptions!$B$11))^(D1207-1)
)
"),"")</f>
        <v/>
      </c>
    </row>
    <row r="1208">
      <c r="A1208" s="15" t="str">
        <f>IFERROR(__xludf.DUMMYFUNCTION("IFERROR(INDEX(FILTER('RE Portfolio'!A$2:A2000,'RE Portfolio'!D$2:D2000=""BUY""), INT((ROW()-2)/amortYears)+1), )
"),"")</f>
        <v/>
      </c>
      <c r="B1208" s="15" t="str">
        <f>IFERROR(__xludf.DUMMYFUNCTION("IFERROR(INDEX(FILTER('RE Portfolio'!B$2:B2000,'RE Portfolio'!D$2:D2000=""BUY""), INT((ROW()-2)/amortYears)+1), )
"),"")</f>
        <v/>
      </c>
      <c r="C1208" s="15" t="str">
        <f>IFERROR(__xludf.DUMMYFUNCTION("IFERROR(INDEX(FILTER('RE Portfolio'!G$2:G2000,'RE Portfolio'!D$2:D2000=""BUY""), INT((ROW()-2)/amortYears)+1), )
"),"")</f>
        <v/>
      </c>
      <c r="D1208" s="15">
        <f>MOD(ROW()-2, amortYears)+1</f>
        <v>29</v>
      </c>
      <c r="E1208" s="15" t="str">
        <f t="shared" si="1"/>
        <v/>
      </c>
      <c r="F1208" s="16">
        <f t="shared" si="2"/>
        <v>0</v>
      </c>
      <c r="G1208" s="16">
        <f>IF(D1208&lt;=mortTerm, -PMT(mortRate/12, mortTerm*12, C1208)*12, 0)
</f>
        <v>0</v>
      </c>
      <c r="H1208" s="16">
        <f>IF(D1208&lt;=mortTerm, G1208 - I1208, 0)
</f>
        <v>0</v>
      </c>
      <c r="I1208" s="16">
        <f>IF(D1208&lt;=mortTerm, F1208 - J1208, 0)
</f>
        <v>0</v>
      </c>
      <c r="J1208" s="16">
        <f>IF(D1208&lt;=mortTerm,
   F1208*(1+mortRate/12)^12 - (-PMT(mortRate/12, mortTerm*12, C1208))*(((1+mortRate/12)^12 - 1)/(mortRate/12)),
   0
)
</f>
        <v>0</v>
      </c>
      <c r="K1208" s="13" t="str">
        <f>IFERROR(__xludf.DUMMYFUNCTION("IF(A1208="""","""",
   IF(F1208&gt;0,
      INDEX(FILTER('RE Portfolio'!L$2:L2000,'RE Portfolio'!D$2:D2000=""BUY""), INT((ROW()-2)/amortYears)+1) - G1208,
      INDEX(FILTER('RE Portfolio'!L$2:L2000,'RE Portfolio'!D$2:D2000=""BUY""), INT((ROW()-2)/amortYears"&amp;")+1)
   )
)
"),"")</f>
        <v/>
      </c>
      <c r="L1208" s="15" t="str">
        <f>IFERROR(__xludf.DUMMYFUNCTION("IF(A1208="""","""",
  INDEX(FILTER('RE Portfolio'!C$2:C2000,'RE Portfolio'!D$2:D2000=""BUY""), INT((ROW()-2)/amortYears)+1)
  * (1 + VALUE(Assumptions!$B$11))^(D1208-1)
)
"),"")</f>
        <v/>
      </c>
    </row>
    <row r="1209">
      <c r="A1209" s="15" t="str">
        <f>IFERROR(__xludf.DUMMYFUNCTION("IFERROR(INDEX(FILTER('RE Portfolio'!A$2:A2000,'RE Portfolio'!D$2:D2000=""BUY""), INT((ROW()-2)/amortYears)+1), )
"),"")</f>
        <v/>
      </c>
      <c r="B1209" s="15" t="str">
        <f>IFERROR(__xludf.DUMMYFUNCTION("IFERROR(INDEX(FILTER('RE Portfolio'!B$2:B2000,'RE Portfolio'!D$2:D2000=""BUY""), INT((ROW()-2)/amortYears)+1), )
"),"")</f>
        <v/>
      </c>
      <c r="C1209" s="15" t="str">
        <f>IFERROR(__xludf.DUMMYFUNCTION("IFERROR(INDEX(FILTER('RE Portfolio'!G$2:G2000,'RE Portfolio'!D$2:D2000=""BUY""), INT((ROW()-2)/amortYears)+1), )
"),"")</f>
        <v/>
      </c>
      <c r="D1209" s="15">
        <f>MOD(ROW()-2, amortYears)+1</f>
        <v>30</v>
      </c>
      <c r="E1209" s="15" t="str">
        <f t="shared" si="1"/>
        <v/>
      </c>
      <c r="F1209" s="16">
        <f t="shared" si="2"/>
        <v>0</v>
      </c>
      <c r="G1209" s="16">
        <f>IF(D1209&lt;=mortTerm, -PMT(mortRate/12, mortTerm*12, C1209)*12, 0)
</f>
        <v>0</v>
      </c>
      <c r="H1209" s="16">
        <f>IF(D1209&lt;=mortTerm, G1209 - I1209, 0)
</f>
        <v>0</v>
      </c>
      <c r="I1209" s="16">
        <f>IF(D1209&lt;=mortTerm, F1209 - J1209, 0)
</f>
        <v>0</v>
      </c>
      <c r="J1209" s="16">
        <f>IF(D1209&lt;=mortTerm,
   F1209*(1+mortRate/12)^12 - (-PMT(mortRate/12, mortTerm*12, C1209))*(((1+mortRate/12)^12 - 1)/(mortRate/12)),
   0
)
</f>
        <v>0</v>
      </c>
      <c r="K1209" s="13" t="str">
        <f>IFERROR(__xludf.DUMMYFUNCTION("IF(A1209="""","""",
   IF(F1209&gt;0,
      INDEX(FILTER('RE Portfolio'!L$2:L2000,'RE Portfolio'!D$2:D2000=""BUY""), INT((ROW()-2)/amortYears)+1) - G1209,
      INDEX(FILTER('RE Portfolio'!L$2:L2000,'RE Portfolio'!D$2:D2000=""BUY""), INT((ROW()-2)/amortYears"&amp;")+1)
   )
)
"),"")</f>
        <v/>
      </c>
      <c r="L1209" s="15" t="str">
        <f>IFERROR(__xludf.DUMMYFUNCTION("IF(A1209="""","""",
  INDEX(FILTER('RE Portfolio'!C$2:C2000,'RE Portfolio'!D$2:D2000=""BUY""), INT((ROW()-2)/amortYears)+1)
  * (1 + VALUE(Assumptions!$B$11))^(D1209-1)
)
"),"")</f>
        <v/>
      </c>
    </row>
    <row r="1210">
      <c r="A1210" s="15" t="str">
        <f>IFERROR(__xludf.DUMMYFUNCTION("IFERROR(INDEX(FILTER('RE Portfolio'!A$2:A2000,'RE Portfolio'!D$2:D2000=""BUY""), INT((ROW()-2)/amortYears)+1), )
"),"")</f>
        <v/>
      </c>
      <c r="B1210" s="15" t="str">
        <f>IFERROR(__xludf.DUMMYFUNCTION("IFERROR(INDEX(FILTER('RE Portfolio'!B$2:B2000,'RE Portfolio'!D$2:D2000=""BUY""), INT((ROW()-2)/amortYears)+1), )
"),"")</f>
        <v/>
      </c>
      <c r="C1210" s="15" t="str">
        <f>IFERROR(__xludf.DUMMYFUNCTION("IFERROR(INDEX(FILTER('RE Portfolio'!G$2:G2000,'RE Portfolio'!D$2:D2000=""BUY""), INT((ROW()-2)/amortYears)+1), )
"),"")</f>
        <v/>
      </c>
      <c r="D1210" s="15">
        <f>MOD(ROW()-2, amortYears)+1</f>
        <v>31</v>
      </c>
      <c r="E1210" s="15" t="str">
        <f t="shared" si="1"/>
        <v/>
      </c>
      <c r="F1210" s="16">
        <f t="shared" si="2"/>
        <v>0</v>
      </c>
      <c r="G1210" s="15">
        <f>IF(D1210&lt;=mortTerm, -PMT(mortRate/12, mortTerm*12, C1210)*12, 0)
</f>
        <v>0</v>
      </c>
      <c r="H1210" s="15">
        <f>IF(D1210&lt;=mortTerm, G1210 - I1210, 0)
</f>
        <v>0</v>
      </c>
      <c r="I1210" s="15">
        <f>IF(D1210&lt;=mortTerm, F1210 - J1210, 0)
</f>
        <v>0</v>
      </c>
      <c r="J1210" s="15">
        <f>IF(D1210&lt;=mortTerm,
   F1210*(1+mortRate/12)^12 - (-PMT(mortRate/12, mortTerm*12, C1210))*(((1+mortRate/12)^12 - 1)/(mortRate/12)),
   0
)
</f>
        <v>0</v>
      </c>
      <c r="K1210" s="13" t="str">
        <f>IFERROR(__xludf.DUMMYFUNCTION("IF(A1210="""","""",
   IF(F1210&gt;0,
      INDEX(FILTER('RE Portfolio'!L$2:L2000,'RE Portfolio'!D$2:D2000=""BUY""), INT((ROW()-2)/amortYears)+1) - G1210,
      INDEX(FILTER('RE Portfolio'!L$2:L2000,'RE Portfolio'!D$2:D2000=""BUY""), INT((ROW()-2)/amortYears"&amp;")+1)
   )
)
"),"")</f>
        <v/>
      </c>
      <c r="L1210" s="15" t="str">
        <f>IFERROR(__xludf.DUMMYFUNCTION("IF(A1210="""","""",
  INDEX(FILTER('RE Portfolio'!C$2:C2000,'RE Portfolio'!D$2:D2000=""BUY""), INT((ROW()-2)/amortYears)+1)
  * (1 + VALUE(Assumptions!$B$11))^(D1210-1)
)
"),"")</f>
        <v/>
      </c>
    </row>
    <row r="1211">
      <c r="A1211" s="15" t="str">
        <f>IFERROR(__xludf.DUMMYFUNCTION("IFERROR(INDEX(FILTER('RE Portfolio'!A$2:A2000,'RE Portfolio'!D$2:D2000=""BUY""), INT((ROW()-2)/amortYears)+1), )
"),"")</f>
        <v/>
      </c>
      <c r="B1211" s="15" t="str">
        <f>IFERROR(__xludf.DUMMYFUNCTION("IFERROR(INDEX(FILTER('RE Portfolio'!B$2:B2000,'RE Portfolio'!D$2:D2000=""BUY""), INT((ROW()-2)/amortYears)+1), )
"),"")</f>
        <v/>
      </c>
      <c r="C1211" s="15" t="str">
        <f>IFERROR(__xludf.DUMMYFUNCTION("IFERROR(INDEX(FILTER('RE Portfolio'!G$2:G2000,'RE Portfolio'!D$2:D2000=""BUY""), INT((ROW()-2)/amortYears)+1), )
"),"")</f>
        <v/>
      </c>
      <c r="D1211" s="15">
        <f>MOD(ROW()-2, amortYears)+1</f>
        <v>32</v>
      </c>
      <c r="E1211" s="15" t="str">
        <f t="shared" si="1"/>
        <v/>
      </c>
      <c r="F1211" s="15">
        <f t="shared" si="2"/>
        <v>0</v>
      </c>
      <c r="G1211" s="15">
        <f>IF(D1211&lt;=mortTerm, -PMT(mortRate/12, mortTerm*12, C1211)*12, 0)
</f>
        <v>0</v>
      </c>
      <c r="H1211" s="15">
        <f>IF(D1211&lt;=mortTerm, G1211 - I1211, 0)
</f>
        <v>0</v>
      </c>
      <c r="I1211" s="15">
        <f>IF(D1211&lt;=mortTerm, F1211 - J1211, 0)
</f>
        <v>0</v>
      </c>
      <c r="J1211" s="15">
        <f>IF(D1211&lt;=mortTerm,
   F1211*(1+mortRate/12)^12 - (-PMT(mortRate/12, mortTerm*12, C1211))*(((1+mortRate/12)^12 - 1)/(mortRate/12)),
   0
)
</f>
        <v>0</v>
      </c>
      <c r="K1211" s="13" t="str">
        <f>IFERROR(__xludf.DUMMYFUNCTION("IF(A1211="""","""",
   IF(F1211&gt;0,
      INDEX(FILTER('RE Portfolio'!L$2:L2000,'RE Portfolio'!D$2:D2000=""BUY""), INT((ROW()-2)/amortYears)+1) - G1211,
      INDEX(FILTER('RE Portfolio'!L$2:L2000,'RE Portfolio'!D$2:D2000=""BUY""), INT((ROW()-2)/amortYears"&amp;")+1)
   )
)
"),"")</f>
        <v/>
      </c>
      <c r="L1211" s="15" t="str">
        <f>IFERROR(__xludf.DUMMYFUNCTION("IF(A1211="""","""",
  INDEX(FILTER('RE Portfolio'!C$2:C2000,'RE Portfolio'!D$2:D2000=""BUY""), INT((ROW()-2)/amortYears)+1)
  * (1 + VALUE(Assumptions!$B$11))^(D1211-1)
)
"),"")</f>
        <v/>
      </c>
    </row>
    <row r="1212">
      <c r="A1212" s="15" t="str">
        <f>IFERROR(__xludf.DUMMYFUNCTION("IFERROR(INDEX(FILTER('RE Portfolio'!A$2:A2000,'RE Portfolio'!D$2:D2000=""BUY""), INT((ROW()-2)/amortYears)+1), )
"),"")</f>
        <v/>
      </c>
      <c r="B1212" s="15" t="str">
        <f>IFERROR(__xludf.DUMMYFUNCTION("IFERROR(INDEX(FILTER('RE Portfolio'!B$2:B2000,'RE Portfolio'!D$2:D2000=""BUY""), INT((ROW()-2)/amortYears)+1), )
"),"")</f>
        <v/>
      </c>
      <c r="C1212" s="15" t="str">
        <f>IFERROR(__xludf.DUMMYFUNCTION("IFERROR(INDEX(FILTER('RE Portfolio'!G$2:G2000,'RE Portfolio'!D$2:D2000=""BUY""), INT((ROW()-2)/amortYears)+1), )
"),"")</f>
        <v/>
      </c>
      <c r="D1212" s="15">
        <f>MOD(ROW()-2, amortYears)+1</f>
        <v>33</v>
      </c>
      <c r="E1212" s="15" t="str">
        <f t="shared" si="1"/>
        <v/>
      </c>
      <c r="F1212" s="15">
        <f t="shared" si="2"/>
        <v>0</v>
      </c>
      <c r="G1212" s="15">
        <f>IF(D1212&lt;=mortTerm, -PMT(mortRate/12, mortTerm*12, C1212)*12, 0)
</f>
        <v>0</v>
      </c>
      <c r="H1212" s="15">
        <f>IF(D1212&lt;=mortTerm, G1212 - I1212, 0)
</f>
        <v>0</v>
      </c>
      <c r="I1212" s="15">
        <f>IF(D1212&lt;=mortTerm, F1212 - J1212, 0)
</f>
        <v>0</v>
      </c>
      <c r="J1212" s="15">
        <f>IF(D1212&lt;=mortTerm,
   F1212*(1+mortRate/12)^12 - (-PMT(mortRate/12, mortTerm*12, C1212))*(((1+mortRate/12)^12 - 1)/(mortRate/12)),
   0
)
</f>
        <v>0</v>
      </c>
      <c r="K1212" s="13" t="str">
        <f>IFERROR(__xludf.DUMMYFUNCTION("IF(A1212="""","""",
   IF(F1212&gt;0,
      INDEX(FILTER('RE Portfolio'!L$2:L2000,'RE Portfolio'!D$2:D2000=""BUY""), INT((ROW()-2)/amortYears)+1) - G1212,
      INDEX(FILTER('RE Portfolio'!L$2:L2000,'RE Portfolio'!D$2:D2000=""BUY""), INT((ROW()-2)/amortYears"&amp;")+1)
   )
)
"),"")</f>
        <v/>
      </c>
      <c r="L1212" s="15" t="str">
        <f>IFERROR(__xludf.DUMMYFUNCTION("IF(A1212="""","""",
  INDEX(FILTER('RE Portfolio'!C$2:C2000,'RE Portfolio'!D$2:D2000=""BUY""), INT((ROW()-2)/amortYears)+1)
  * (1 + VALUE(Assumptions!$B$11))^(D1212-1)
)
"),"")</f>
        <v/>
      </c>
    </row>
    <row r="1213">
      <c r="A1213" s="15" t="str">
        <f>IFERROR(__xludf.DUMMYFUNCTION("IFERROR(INDEX(FILTER('RE Portfolio'!A$2:A2000,'RE Portfolio'!D$2:D2000=""BUY""), INT((ROW()-2)/amortYears)+1), )
"),"")</f>
        <v/>
      </c>
      <c r="B1213" s="15" t="str">
        <f>IFERROR(__xludf.DUMMYFUNCTION("IFERROR(INDEX(FILTER('RE Portfolio'!B$2:B2000,'RE Portfolio'!D$2:D2000=""BUY""), INT((ROW()-2)/amortYears)+1), )
"),"")</f>
        <v/>
      </c>
      <c r="C1213" s="15" t="str">
        <f>IFERROR(__xludf.DUMMYFUNCTION("IFERROR(INDEX(FILTER('RE Portfolio'!G$2:G2000,'RE Portfolio'!D$2:D2000=""BUY""), INT((ROW()-2)/amortYears)+1), )
"),"")</f>
        <v/>
      </c>
      <c r="D1213" s="15">
        <f>MOD(ROW()-2, amortYears)+1</f>
        <v>34</v>
      </c>
      <c r="E1213" s="15" t="str">
        <f t="shared" si="1"/>
        <v/>
      </c>
      <c r="F1213" s="15">
        <f t="shared" si="2"/>
        <v>0</v>
      </c>
      <c r="G1213" s="15">
        <f>IF(D1213&lt;=mortTerm, -PMT(mortRate/12, mortTerm*12, C1213)*12, 0)
</f>
        <v>0</v>
      </c>
      <c r="H1213" s="15">
        <f>IF(D1213&lt;=mortTerm, G1213 - I1213, 0)
</f>
        <v>0</v>
      </c>
      <c r="I1213" s="15">
        <f>IF(D1213&lt;=mortTerm, F1213 - J1213, 0)
</f>
        <v>0</v>
      </c>
      <c r="J1213" s="15">
        <f>IF(D1213&lt;=mortTerm,
   F1213*(1+mortRate/12)^12 - (-PMT(mortRate/12, mortTerm*12, C1213))*(((1+mortRate/12)^12 - 1)/(mortRate/12)),
   0
)
</f>
        <v>0</v>
      </c>
      <c r="K1213" s="13" t="str">
        <f>IFERROR(__xludf.DUMMYFUNCTION("IF(A1213="""","""",
   IF(F1213&gt;0,
      INDEX(FILTER('RE Portfolio'!L$2:L2000,'RE Portfolio'!D$2:D2000=""BUY""), INT((ROW()-2)/amortYears)+1) - G1213,
      INDEX(FILTER('RE Portfolio'!L$2:L2000,'RE Portfolio'!D$2:D2000=""BUY""), INT((ROW()-2)/amortYears"&amp;")+1)
   )
)
"),"")</f>
        <v/>
      </c>
      <c r="L1213" s="15" t="str">
        <f>IFERROR(__xludf.DUMMYFUNCTION("IF(A1213="""","""",
  INDEX(FILTER('RE Portfolio'!C$2:C2000,'RE Portfolio'!D$2:D2000=""BUY""), INT((ROW()-2)/amortYears)+1)
  * (1 + VALUE(Assumptions!$B$11))^(D1213-1)
)
"),"")</f>
        <v/>
      </c>
    </row>
    <row r="1214">
      <c r="A1214" s="15" t="str">
        <f>IFERROR(__xludf.DUMMYFUNCTION("IFERROR(INDEX(FILTER('RE Portfolio'!A$2:A2000,'RE Portfolio'!D$2:D2000=""BUY""), INT((ROW()-2)/amortYears)+1), )
"),"")</f>
        <v/>
      </c>
      <c r="B1214" s="15" t="str">
        <f>IFERROR(__xludf.DUMMYFUNCTION("IFERROR(INDEX(FILTER('RE Portfolio'!B$2:B2000,'RE Portfolio'!D$2:D2000=""BUY""), INT((ROW()-2)/amortYears)+1), )
"),"")</f>
        <v/>
      </c>
      <c r="C1214" s="15" t="str">
        <f>IFERROR(__xludf.DUMMYFUNCTION("IFERROR(INDEX(FILTER('RE Portfolio'!G$2:G2000,'RE Portfolio'!D$2:D2000=""BUY""), INT((ROW()-2)/amortYears)+1), )
"),"")</f>
        <v/>
      </c>
      <c r="D1214" s="15">
        <f>MOD(ROW()-2, amortYears)+1</f>
        <v>35</v>
      </c>
      <c r="E1214" s="15" t="str">
        <f t="shared" si="1"/>
        <v/>
      </c>
      <c r="F1214" s="15">
        <f t="shared" si="2"/>
        <v>0</v>
      </c>
      <c r="G1214" s="15">
        <f>IF(D1214&lt;=mortTerm, -PMT(mortRate/12, mortTerm*12, C1214)*12, 0)
</f>
        <v>0</v>
      </c>
      <c r="H1214" s="15">
        <f>IF(D1214&lt;=mortTerm, G1214 - I1214, 0)
</f>
        <v>0</v>
      </c>
      <c r="I1214" s="15">
        <f>IF(D1214&lt;=mortTerm, F1214 - J1214, 0)
</f>
        <v>0</v>
      </c>
      <c r="J1214" s="15">
        <f>IF(D1214&lt;=mortTerm,
   F1214*(1+mortRate/12)^12 - (-PMT(mortRate/12, mortTerm*12, C1214))*(((1+mortRate/12)^12 - 1)/(mortRate/12)),
   0
)
</f>
        <v>0</v>
      </c>
      <c r="K1214" s="13" t="str">
        <f>IFERROR(__xludf.DUMMYFUNCTION("IF(A1214="""","""",
   IF(F1214&gt;0,
      INDEX(FILTER('RE Portfolio'!L$2:L2000,'RE Portfolio'!D$2:D2000=""BUY""), INT((ROW()-2)/amortYears)+1) - G1214,
      INDEX(FILTER('RE Portfolio'!L$2:L2000,'RE Portfolio'!D$2:D2000=""BUY""), INT((ROW()-2)/amortYears"&amp;")+1)
   )
)
"),"")</f>
        <v/>
      </c>
      <c r="L1214" s="15" t="str">
        <f>IFERROR(__xludf.DUMMYFUNCTION("IF(A1214="""","""",
  INDEX(FILTER('RE Portfolio'!C$2:C2000,'RE Portfolio'!D$2:D2000=""BUY""), INT((ROW()-2)/amortYears)+1)
  * (1 + VALUE(Assumptions!$B$11))^(D1214-1)
)
"),"")</f>
        <v/>
      </c>
    </row>
    <row r="1215">
      <c r="A1215" s="15" t="str">
        <f>IFERROR(__xludf.DUMMYFUNCTION("IFERROR(INDEX(FILTER('RE Portfolio'!A$2:A2000,'RE Portfolio'!D$2:D2000=""BUY""), INT((ROW()-2)/amortYears)+1), )
"),"")</f>
        <v/>
      </c>
      <c r="B1215" s="15" t="str">
        <f>IFERROR(__xludf.DUMMYFUNCTION("IFERROR(INDEX(FILTER('RE Portfolio'!B$2:B2000,'RE Portfolio'!D$2:D2000=""BUY""), INT((ROW()-2)/amortYears)+1), )
"),"")</f>
        <v/>
      </c>
      <c r="C1215" s="15" t="str">
        <f>IFERROR(__xludf.DUMMYFUNCTION("IFERROR(INDEX(FILTER('RE Portfolio'!G$2:G2000,'RE Portfolio'!D$2:D2000=""BUY""), INT((ROW()-2)/amortYears)+1), )
"),"")</f>
        <v/>
      </c>
      <c r="D1215" s="15">
        <f>MOD(ROW()-2, amortYears)+1</f>
        <v>36</v>
      </c>
      <c r="E1215" s="15" t="str">
        <f t="shared" si="1"/>
        <v/>
      </c>
      <c r="F1215" s="15">
        <f t="shared" si="2"/>
        <v>0</v>
      </c>
      <c r="G1215" s="15">
        <f>IF(D1215&lt;=mortTerm, -PMT(mortRate/12, mortTerm*12, C1215)*12, 0)
</f>
        <v>0</v>
      </c>
      <c r="H1215" s="15">
        <f>IF(D1215&lt;=mortTerm, G1215 - I1215, 0)
</f>
        <v>0</v>
      </c>
      <c r="I1215" s="15">
        <f>IF(D1215&lt;=mortTerm, F1215 - J1215, 0)
</f>
        <v>0</v>
      </c>
      <c r="J1215" s="15">
        <f>IF(D1215&lt;=mortTerm,
   F1215*(1+mortRate/12)^12 - (-PMT(mortRate/12, mortTerm*12, C1215))*(((1+mortRate/12)^12 - 1)/(mortRate/12)),
   0
)
</f>
        <v>0</v>
      </c>
      <c r="K1215" s="13" t="str">
        <f>IFERROR(__xludf.DUMMYFUNCTION("IF(A1215="""","""",
   IF(F1215&gt;0,
      INDEX(FILTER('RE Portfolio'!L$2:L2000,'RE Portfolio'!D$2:D2000=""BUY""), INT((ROW()-2)/amortYears)+1) - G1215,
      INDEX(FILTER('RE Portfolio'!L$2:L2000,'RE Portfolio'!D$2:D2000=""BUY""), INT((ROW()-2)/amortYears"&amp;")+1)
   )
)
"),"")</f>
        <v/>
      </c>
      <c r="L1215" s="15" t="str">
        <f>IFERROR(__xludf.DUMMYFUNCTION("IF(A1215="""","""",
  INDEX(FILTER('RE Portfolio'!C$2:C2000,'RE Portfolio'!D$2:D2000=""BUY""), INT((ROW()-2)/amortYears)+1)
  * (1 + VALUE(Assumptions!$B$11))^(D1215-1)
)
"),"")</f>
        <v/>
      </c>
    </row>
    <row r="1216">
      <c r="A1216" s="15" t="str">
        <f>IFERROR(__xludf.DUMMYFUNCTION("IFERROR(INDEX(FILTER('RE Portfolio'!A$2:A2000,'RE Portfolio'!D$2:D2000=""BUY""), INT((ROW()-2)/amortYears)+1), )
"),"")</f>
        <v/>
      </c>
      <c r="B1216" s="15" t="str">
        <f>IFERROR(__xludf.DUMMYFUNCTION("IFERROR(INDEX(FILTER('RE Portfolio'!B$2:B2000,'RE Portfolio'!D$2:D2000=""BUY""), INT((ROW()-2)/amortYears)+1), )
"),"")</f>
        <v/>
      </c>
      <c r="C1216" s="15" t="str">
        <f>IFERROR(__xludf.DUMMYFUNCTION("IFERROR(INDEX(FILTER('RE Portfolio'!G$2:G2000,'RE Portfolio'!D$2:D2000=""BUY""), INT((ROW()-2)/amortYears)+1), )
"),"")</f>
        <v/>
      </c>
      <c r="D1216" s="15">
        <f>MOD(ROW()-2, amortYears)+1</f>
        <v>37</v>
      </c>
      <c r="E1216" s="15" t="str">
        <f t="shared" si="1"/>
        <v/>
      </c>
      <c r="F1216" s="15">
        <f t="shared" si="2"/>
        <v>0</v>
      </c>
      <c r="G1216" s="15">
        <f>IF(D1216&lt;=mortTerm, -PMT(mortRate/12, mortTerm*12, C1216)*12, 0)
</f>
        <v>0</v>
      </c>
      <c r="H1216" s="15">
        <f>IF(D1216&lt;=mortTerm, G1216 - I1216, 0)
</f>
        <v>0</v>
      </c>
      <c r="I1216" s="15">
        <f>IF(D1216&lt;=mortTerm, F1216 - J1216, 0)
</f>
        <v>0</v>
      </c>
      <c r="J1216" s="15">
        <f>IF(D1216&lt;=mortTerm,
   F1216*(1+mortRate/12)^12 - (-PMT(mortRate/12, mortTerm*12, C1216))*(((1+mortRate/12)^12 - 1)/(mortRate/12)),
   0
)
</f>
        <v>0</v>
      </c>
      <c r="K1216" s="13" t="str">
        <f>IFERROR(__xludf.DUMMYFUNCTION("IF(A1216="""","""",
   IF(F1216&gt;0,
      INDEX(FILTER('RE Portfolio'!L$2:L2000,'RE Portfolio'!D$2:D2000=""BUY""), INT((ROW()-2)/amortYears)+1) - G1216,
      INDEX(FILTER('RE Portfolio'!L$2:L2000,'RE Portfolio'!D$2:D2000=""BUY""), INT((ROW()-2)/amortYears"&amp;")+1)
   )
)
"),"")</f>
        <v/>
      </c>
      <c r="L1216" s="15" t="str">
        <f>IFERROR(__xludf.DUMMYFUNCTION("IF(A1216="""","""",
  INDEX(FILTER('RE Portfolio'!C$2:C2000,'RE Portfolio'!D$2:D2000=""BUY""), INT((ROW()-2)/amortYears)+1)
  * (1 + VALUE(Assumptions!$B$11))^(D1216-1)
)
"),"")</f>
        <v/>
      </c>
    </row>
    <row r="1217">
      <c r="A1217" s="15" t="str">
        <f>IFERROR(__xludf.DUMMYFUNCTION("IFERROR(INDEX(FILTER('RE Portfolio'!A$2:A2000,'RE Portfolio'!D$2:D2000=""BUY""), INT((ROW()-2)/amortYears)+1), )
"),"")</f>
        <v/>
      </c>
      <c r="B1217" s="15" t="str">
        <f>IFERROR(__xludf.DUMMYFUNCTION("IFERROR(INDEX(FILTER('RE Portfolio'!B$2:B2000,'RE Portfolio'!D$2:D2000=""BUY""), INT((ROW()-2)/amortYears)+1), )
"),"")</f>
        <v/>
      </c>
      <c r="C1217" s="15" t="str">
        <f>IFERROR(__xludf.DUMMYFUNCTION("IFERROR(INDEX(FILTER('RE Portfolio'!G$2:G2000,'RE Portfolio'!D$2:D2000=""BUY""), INT((ROW()-2)/amortYears)+1), )
"),"")</f>
        <v/>
      </c>
      <c r="D1217" s="15">
        <f>MOD(ROW()-2, amortYears)+1</f>
        <v>38</v>
      </c>
      <c r="E1217" s="15" t="str">
        <f t="shared" si="1"/>
        <v/>
      </c>
      <c r="F1217" s="15">
        <f t="shared" si="2"/>
        <v>0</v>
      </c>
      <c r="G1217" s="15">
        <f>IF(D1217&lt;=mortTerm, -PMT(mortRate/12, mortTerm*12, C1217)*12, 0)
</f>
        <v>0</v>
      </c>
      <c r="H1217" s="15">
        <f>IF(D1217&lt;=mortTerm, G1217 - I1217, 0)
</f>
        <v>0</v>
      </c>
      <c r="I1217" s="15">
        <f>IF(D1217&lt;=mortTerm, F1217 - J1217, 0)
</f>
        <v>0</v>
      </c>
      <c r="J1217" s="15">
        <f>IF(D1217&lt;=mortTerm,
   F1217*(1+mortRate/12)^12 - (-PMT(mortRate/12, mortTerm*12, C1217))*(((1+mortRate/12)^12 - 1)/(mortRate/12)),
   0
)
</f>
        <v>0</v>
      </c>
      <c r="K1217" s="13" t="str">
        <f>IFERROR(__xludf.DUMMYFUNCTION("IF(A1217="""","""",
   IF(F1217&gt;0,
      INDEX(FILTER('RE Portfolio'!L$2:L2000,'RE Portfolio'!D$2:D2000=""BUY""), INT((ROW()-2)/amortYears)+1) - G1217,
      INDEX(FILTER('RE Portfolio'!L$2:L2000,'RE Portfolio'!D$2:D2000=""BUY""), INT((ROW()-2)/amortYears"&amp;")+1)
   )
)
"),"")</f>
        <v/>
      </c>
      <c r="L1217" s="15" t="str">
        <f>IFERROR(__xludf.DUMMYFUNCTION("IF(A1217="""","""",
  INDEX(FILTER('RE Portfolio'!C$2:C2000,'RE Portfolio'!D$2:D2000=""BUY""), INT((ROW()-2)/amortYears)+1)
  * (1 + VALUE(Assumptions!$B$11))^(D1217-1)
)
"),"")</f>
        <v/>
      </c>
    </row>
    <row r="1218">
      <c r="A1218" s="15" t="str">
        <f>IFERROR(__xludf.DUMMYFUNCTION("IFERROR(INDEX(FILTER('RE Portfolio'!A$2:A2000,'RE Portfolio'!D$2:D2000=""BUY""), INT((ROW()-2)/amortYears)+1), )
"),"")</f>
        <v/>
      </c>
      <c r="B1218" s="15" t="str">
        <f>IFERROR(__xludf.DUMMYFUNCTION("IFERROR(INDEX(FILTER('RE Portfolio'!B$2:B2000,'RE Portfolio'!D$2:D2000=""BUY""), INT((ROW()-2)/amortYears)+1), )
"),"")</f>
        <v/>
      </c>
      <c r="C1218" s="15" t="str">
        <f>IFERROR(__xludf.DUMMYFUNCTION("IFERROR(INDEX(FILTER('RE Portfolio'!G$2:G2000,'RE Portfolio'!D$2:D2000=""BUY""), INT((ROW()-2)/amortYears)+1), )
"),"")</f>
        <v/>
      </c>
      <c r="D1218" s="15">
        <f>MOD(ROW()-2, amortYears)+1</f>
        <v>1</v>
      </c>
      <c r="E1218" s="15" t="str">
        <f t="shared" si="1"/>
        <v/>
      </c>
      <c r="F1218" s="15" t="str">
        <f t="shared" si="2"/>
        <v/>
      </c>
      <c r="G1218" s="16">
        <f>IF(D1218&lt;=mortTerm, -PMT(mortRate/12, mortTerm*12, C1218)*12, 0)
</f>
        <v>0</v>
      </c>
      <c r="H1218" s="16">
        <f>IF(D1218&lt;=mortTerm, G1218 - I1218, 0)
</f>
        <v>0</v>
      </c>
      <c r="I1218" s="16">
        <f>IF(D1218&lt;=mortTerm, F1218 - J1218, 0)
</f>
        <v>0</v>
      </c>
      <c r="J1218" s="16">
        <f>IF(D1218&lt;=mortTerm,
   F1218*(1+mortRate/12)^12 - (-PMT(mortRate/12, mortTerm*12, C1218))*(((1+mortRate/12)^12 - 1)/(mortRate/12)),
   0
)
</f>
        <v>0</v>
      </c>
      <c r="K1218" s="13" t="str">
        <f>IFERROR(__xludf.DUMMYFUNCTION("IF(A1218="""","""",
   IF(F1218&gt;0,
      INDEX(FILTER('RE Portfolio'!L$2:L2000,'RE Portfolio'!D$2:D2000=""BUY""), INT((ROW()-2)/amortYears)+1) - G1218,
      INDEX(FILTER('RE Portfolio'!L$2:L2000,'RE Portfolio'!D$2:D2000=""BUY""), INT((ROW()-2)/amortYears"&amp;")+1)
   )
)
"),"")</f>
        <v/>
      </c>
      <c r="L1218" s="15" t="str">
        <f>IFERROR(__xludf.DUMMYFUNCTION("IF(A1218="""","""",
  INDEX(FILTER('RE Portfolio'!C$2:C2000,'RE Portfolio'!D$2:D2000=""BUY""), INT((ROW()-2)/amortYears)+1)
  * (1 + VALUE(Assumptions!$B$11))^(D1218-1)
)
"),"")</f>
        <v/>
      </c>
    </row>
    <row r="1219">
      <c r="A1219" s="15" t="str">
        <f>IFERROR(__xludf.DUMMYFUNCTION("IFERROR(INDEX(FILTER('RE Portfolio'!A$2:A2000,'RE Portfolio'!D$2:D2000=""BUY""), INT((ROW()-2)/amortYears)+1), )
"),"")</f>
        <v/>
      </c>
      <c r="B1219" s="15" t="str">
        <f>IFERROR(__xludf.DUMMYFUNCTION("IFERROR(INDEX(FILTER('RE Portfolio'!B$2:B2000,'RE Portfolio'!D$2:D2000=""BUY""), INT((ROW()-2)/amortYears)+1), )
"),"")</f>
        <v/>
      </c>
      <c r="C1219" s="15" t="str">
        <f>IFERROR(__xludf.DUMMYFUNCTION("IFERROR(INDEX(FILTER('RE Portfolio'!G$2:G2000,'RE Portfolio'!D$2:D2000=""BUY""), INT((ROW()-2)/amortYears)+1), )
"),"")</f>
        <v/>
      </c>
      <c r="D1219" s="15">
        <f>MOD(ROW()-2, amortYears)+1</f>
        <v>2</v>
      </c>
      <c r="E1219" s="15" t="str">
        <f t="shared" si="1"/>
        <v/>
      </c>
      <c r="F1219" s="16">
        <f t="shared" si="2"/>
        <v>0</v>
      </c>
      <c r="G1219" s="16">
        <f>IF(D1219&lt;=mortTerm, -PMT(mortRate/12, mortTerm*12, C1219)*12, 0)
</f>
        <v>0</v>
      </c>
      <c r="H1219" s="16">
        <f>IF(D1219&lt;=mortTerm, G1219 - I1219, 0)
</f>
        <v>0</v>
      </c>
      <c r="I1219" s="16">
        <f>IF(D1219&lt;=mortTerm, F1219 - J1219, 0)
</f>
        <v>0</v>
      </c>
      <c r="J1219" s="16">
        <f>IF(D1219&lt;=mortTerm,
   F1219*(1+mortRate/12)^12 - (-PMT(mortRate/12, mortTerm*12, C1219))*(((1+mortRate/12)^12 - 1)/(mortRate/12)),
   0
)
</f>
        <v>0</v>
      </c>
      <c r="K1219" s="13" t="str">
        <f>IFERROR(__xludf.DUMMYFUNCTION("IF(A1219="""","""",
   IF(F1219&gt;0,
      INDEX(FILTER('RE Portfolio'!L$2:L2000,'RE Portfolio'!D$2:D2000=""BUY""), INT((ROW()-2)/amortYears)+1) - G1219,
      INDEX(FILTER('RE Portfolio'!L$2:L2000,'RE Portfolio'!D$2:D2000=""BUY""), INT((ROW()-2)/amortYears"&amp;")+1)
   )
)
"),"")</f>
        <v/>
      </c>
      <c r="L1219" s="15" t="str">
        <f>IFERROR(__xludf.DUMMYFUNCTION("IF(A1219="""","""",
  INDEX(FILTER('RE Portfolio'!C$2:C2000,'RE Portfolio'!D$2:D2000=""BUY""), INT((ROW()-2)/amortYears)+1)
  * (1 + VALUE(Assumptions!$B$11))^(D1219-1)
)
"),"")</f>
        <v/>
      </c>
    </row>
    <row r="1220">
      <c r="A1220" s="15" t="str">
        <f>IFERROR(__xludf.DUMMYFUNCTION("IFERROR(INDEX(FILTER('RE Portfolio'!A$2:A2000,'RE Portfolio'!D$2:D2000=""BUY""), INT((ROW()-2)/amortYears)+1), )
"),"")</f>
        <v/>
      </c>
      <c r="B1220" s="15" t="str">
        <f>IFERROR(__xludf.DUMMYFUNCTION("IFERROR(INDEX(FILTER('RE Portfolio'!B$2:B2000,'RE Portfolio'!D$2:D2000=""BUY""), INT((ROW()-2)/amortYears)+1), )
"),"")</f>
        <v/>
      </c>
      <c r="C1220" s="15" t="str">
        <f>IFERROR(__xludf.DUMMYFUNCTION("IFERROR(INDEX(FILTER('RE Portfolio'!G$2:G2000,'RE Portfolio'!D$2:D2000=""BUY""), INT((ROW()-2)/amortYears)+1), )
"),"")</f>
        <v/>
      </c>
      <c r="D1220" s="15">
        <f>MOD(ROW()-2, amortYears)+1</f>
        <v>3</v>
      </c>
      <c r="E1220" s="15" t="str">
        <f t="shared" si="1"/>
        <v/>
      </c>
      <c r="F1220" s="16">
        <f t="shared" si="2"/>
        <v>0</v>
      </c>
      <c r="G1220" s="16">
        <f>IF(D1220&lt;=mortTerm, -PMT(mortRate/12, mortTerm*12, C1220)*12, 0)
</f>
        <v>0</v>
      </c>
      <c r="H1220" s="16">
        <f>IF(D1220&lt;=mortTerm, G1220 - I1220, 0)
</f>
        <v>0</v>
      </c>
      <c r="I1220" s="16">
        <f>IF(D1220&lt;=mortTerm, F1220 - J1220, 0)
</f>
        <v>0</v>
      </c>
      <c r="J1220" s="16">
        <f>IF(D1220&lt;=mortTerm,
   F1220*(1+mortRate/12)^12 - (-PMT(mortRate/12, mortTerm*12, C1220))*(((1+mortRate/12)^12 - 1)/(mortRate/12)),
   0
)
</f>
        <v>0</v>
      </c>
      <c r="K1220" s="13" t="str">
        <f>IFERROR(__xludf.DUMMYFUNCTION("IF(A1220="""","""",
   IF(F1220&gt;0,
      INDEX(FILTER('RE Portfolio'!L$2:L2000,'RE Portfolio'!D$2:D2000=""BUY""), INT((ROW()-2)/amortYears)+1) - G1220,
      INDEX(FILTER('RE Portfolio'!L$2:L2000,'RE Portfolio'!D$2:D2000=""BUY""), INT((ROW()-2)/amortYears"&amp;")+1)
   )
)
"),"")</f>
        <v/>
      </c>
      <c r="L1220" s="15" t="str">
        <f>IFERROR(__xludf.DUMMYFUNCTION("IF(A1220="""","""",
  INDEX(FILTER('RE Portfolio'!C$2:C2000,'RE Portfolio'!D$2:D2000=""BUY""), INT((ROW()-2)/amortYears)+1)
  * (1 + VALUE(Assumptions!$B$11))^(D1220-1)
)
"),"")</f>
        <v/>
      </c>
    </row>
    <row r="1221">
      <c r="A1221" s="15" t="str">
        <f>IFERROR(__xludf.DUMMYFUNCTION("IFERROR(INDEX(FILTER('RE Portfolio'!A$2:A2000,'RE Portfolio'!D$2:D2000=""BUY""), INT((ROW()-2)/amortYears)+1), )
"),"")</f>
        <v/>
      </c>
      <c r="B1221" s="15" t="str">
        <f>IFERROR(__xludf.DUMMYFUNCTION("IFERROR(INDEX(FILTER('RE Portfolio'!B$2:B2000,'RE Portfolio'!D$2:D2000=""BUY""), INT((ROW()-2)/amortYears)+1), )
"),"")</f>
        <v/>
      </c>
      <c r="C1221" s="15" t="str">
        <f>IFERROR(__xludf.DUMMYFUNCTION("IFERROR(INDEX(FILTER('RE Portfolio'!G$2:G2000,'RE Portfolio'!D$2:D2000=""BUY""), INT((ROW()-2)/amortYears)+1), )
"),"")</f>
        <v/>
      </c>
      <c r="D1221" s="15">
        <f>MOD(ROW()-2, amortYears)+1</f>
        <v>4</v>
      </c>
      <c r="E1221" s="15" t="str">
        <f t="shared" si="1"/>
        <v/>
      </c>
      <c r="F1221" s="16">
        <f t="shared" si="2"/>
        <v>0</v>
      </c>
      <c r="G1221" s="16">
        <f>IF(D1221&lt;=mortTerm, -PMT(mortRate/12, mortTerm*12, C1221)*12, 0)
</f>
        <v>0</v>
      </c>
      <c r="H1221" s="16">
        <f>IF(D1221&lt;=mortTerm, G1221 - I1221, 0)
</f>
        <v>0</v>
      </c>
      <c r="I1221" s="16">
        <f>IF(D1221&lt;=mortTerm, F1221 - J1221, 0)
</f>
        <v>0</v>
      </c>
      <c r="J1221" s="16">
        <f>IF(D1221&lt;=mortTerm,
   F1221*(1+mortRate/12)^12 - (-PMT(mortRate/12, mortTerm*12, C1221))*(((1+mortRate/12)^12 - 1)/(mortRate/12)),
   0
)
</f>
        <v>0</v>
      </c>
      <c r="K1221" s="13" t="str">
        <f>IFERROR(__xludf.DUMMYFUNCTION("IF(A1221="""","""",
   IF(F1221&gt;0,
      INDEX(FILTER('RE Portfolio'!L$2:L2000,'RE Portfolio'!D$2:D2000=""BUY""), INT((ROW()-2)/amortYears)+1) - G1221,
      INDEX(FILTER('RE Portfolio'!L$2:L2000,'RE Portfolio'!D$2:D2000=""BUY""), INT((ROW()-2)/amortYears"&amp;")+1)
   )
)
"),"")</f>
        <v/>
      </c>
      <c r="L1221" s="15" t="str">
        <f>IFERROR(__xludf.DUMMYFUNCTION("IF(A1221="""","""",
  INDEX(FILTER('RE Portfolio'!C$2:C2000,'RE Portfolio'!D$2:D2000=""BUY""), INT((ROW()-2)/amortYears)+1)
  * (1 + VALUE(Assumptions!$B$11))^(D1221-1)
)
"),"")</f>
        <v/>
      </c>
    </row>
    <row r="1222">
      <c r="A1222" s="15" t="str">
        <f>IFERROR(__xludf.DUMMYFUNCTION("IFERROR(INDEX(FILTER('RE Portfolio'!A$2:A2000,'RE Portfolio'!D$2:D2000=""BUY""), INT((ROW()-2)/amortYears)+1), )
"),"")</f>
        <v/>
      </c>
      <c r="B1222" s="15" t="str">
        <f>IFERROR(__xludf.DUMMYFUNCTION("IFERROR(INDEX(FILTER('RE Portfolio'!B$2:B2000,'RE Portfolio'!D$2:D2000=""BUY""), INT((ROW()-2)/amortYears)+1), )
"),"")</f>
        <v/>
      </c>
      <c r="C1222" s="15" t="str">
        <f>IFERROR(__xludf.DUMMYFUNCTION("IFERROR(INDEX(FILTER('RE Portfolio'!G$2:G2000,'RE Portfolio'!D$2:D2000=""BUY""), INT((ROW()-2)/amortYears)+1), )
"),"")</f>
        <v/>
      </c>
      <c r="D1222" s="15">
        <f>MOD(ROW()-2, amortYears)+1</f>
        <v>5</v>
      </c>
      <c r="E1222" s="15" t="str">
        <f t="shared" si="1"/>
        <v/>
      </c>
      <c r="F1222" s="16">
        <f t="shared" si="2"/>
        <v>0</v>
      </c>
      <c r="G1222" s="16">
        <f>IF(D1222&lt;=mortTerm, -PMT(mortRate/12, mortTerm*12, C1222)*12, 0)
</f>
        <v>0</v>
      </c>
      <c r="H1222" s="16">
        <f>IF(D1222&lt;=mortTerm, G1222 - I1222, 0)
</f>
        <v>0</v>
      </c>
      <c r="I1222" s="16">
        <f>IF(D1222&lt;=mortTerm, F1222 - J1222, 0)
</f>
        <v>0</v>
      </c>
      <c r="J1222" s="16">
        <f>IF(D1222&lt;=mortTerm,
   F1222*(1+mortRate/12)^12 - (-PMT(mortRate/12, mortTerm*12, C1222))*(((1+mortRate/12)^12 - 1)/(mortRate/12)),
   0
)
</f>
        <v>0</v>
      </c>
      <c r="K1222" s="13" t="str">
        <f>IFERROR(__xludf.DUMMYFUNCTION("IF(A1222="""","""",
   IF(F1222&gt;0,
      INDEX(FILTER('RE Portfolio'!L$2:L2000,'RE Portfolio'!D$2:D2000=""BUY""), INT((ROW()-2)/amortYears)+1) - G1222,
      INDEX(FILTER('RE Portfolio'!L$2:L2000,'RE Portfolio'!D$2:D2000=""BUY""), INT((ROW()-2)/amortYears"&amp;")+1)
   )
)
"),"")</f>
        <v/>
      </c>
      <c r="L1222" s="15" t="str">
        <f>IFERROR(__xludf.DUMMYFUNCTION("IF(A1222="""","""",
  INDEX(FILTER('RE Portfolio'!C$2:C2000,'RE Portfolio'!D$2:D2000=""BUY""), INT((ROW()-2)/amortYears)+1)
  * (1 + VALUE(Assumptions!$B$11))^(D1222-1)
)
"),"")</f>
        <v/>
      </c>
    </row>
    <row r="1223">
      <c r="A1223" s="15" t="str">
        <f>IFERROR(__xludf.DUMMYFUNCTION("IFERROR(INDEX(FILTER('RE Portfolio'!A$2:A2000,'RE Portfolio'!D$2:D2000=""BUY""), INT((ROW()-2)/amortYears)+1), )
"),"")</f>
        <v/>
      </c>
      <c r="B1223" s="15" t="str">
        <f>IFERROR(__xludf.DUMMYFUNCTION("IFERROR(INDEX(FILTER('RE Portfolio'!B$2:B2000,'RE Portfolio'!D$2:D2000=""BUY""), INT((ROW()-2)/amortYears)+1), )
"),"")</f>
        <v/>
      </c>
      <c r="C1223" s="15" t="str">
        <f>IFERROR(__xludf.DUMMYFUNCTION("IFERROR(INDEX(FILTER('RE Portfolio'!G$2:G2000,'RE Portfolio'!D$2:D2000=""BUY""), INT((ROW()-2)/amortYears)+1), )
"),"")</f>
        <v/>
      </c>
      <c r="D1223" s="15">
        <f>MOD(ROW()-2, amortYears)+1</f>
        <v>6</v>
      </c>
      <c r="E1223" s="15" t="str">
        <f t="shared" si="1"/>
        <v/>
      </c>
      <c r="F1223" s="16">
        <f t="shared" si="2"/>
        <v>0</v>
      </c>
      <c r="G1223" s="16">
        <f>IF(D1223&lt;=mortTerm, -PMT(mortRate/12, mortTerm*12, C1223)*12, 0)
</f>
        <v>0</v>
      </c>
      <c r="H1223" s="16">
        <f>IF(D1223&lt;=mortTerm, G1223 - I1223, 0)
</f>
        <v>0</v>
      </c>
      <c r="I1223" s="16">
        <f>IF(D1223&lt;=mortTerm, F1223 - J1223, 0)
</f>
        <v>0</v>
      </c>
      <c r="J1223" s="16">
        <f>IF(D1223&lt;=mortTerm,
   F1223*(1+mortRate/12)^12 - (-PMT(mortRate/12, mortTerm*12, C1223))*(((1+mortRate/12)^12 - 1)/(mortRate/12)),
   0
)
</f>
        <v>0</v>
      </c>
      <c r="K1223" s="13" t="str">
        <f>IFERROR(__xludf.DUMMYFUNCTION("IF(A1223="""","""",
   IF(F1223&gt;0,
      INDEX(FILTER('RE Portfolio'!L$2:L2000,'RE Portfolio'!D$2:D2000=""BUY""), INT((ROW()-2)/amortYears)+1) - G1223,
      INDEX(FILTER('RE Portfolio'!L$2:L2000,'RE Portfolio'!D$2:D2000=""BUY""), INT((ROW()-2)/amortYears"&amp;")+1)
   )
)
"),"")</f>
        <v/>
      </c>
      <c r="L1223" s="15" t="str">
        <f>IFERROR(__xludf.DUMMYFUNCTION("IF(A1223="""","""",
  INDEX(FILTER('RE Portfolio'!C$2:C2000,'RE Portfolio'!D$2:D2000=""BUY""), INT((ROW()-2)/amortYears)+1)
  * (1 + VALUE(Assumptions!$B$11))^(D1223-1)
)
"),"")</f>
        <v/>
      </c>
    </row>
    <row r="1224">
      <c r="A1224" s="15" t="str">
        <f>IFERROR(__xludf.DUMMYFUNCTION("IFERROR(INDEX(FILTER('RE Portfolio'!A$2:A2000,'RE Portfolio'!D$2:D2000=""BUY""), INT((ROW()-2)/amortYears)+1), )
"),"")</f>
        <v/>
      </c>
      <c r="B1224" s="15" t="str">
        <f>IFERROR(__xludf.DUMMYFUNCTION("IFERROR(INDEX(FILTER('RE Portfolio'!B$2:B2000,'RE Portfolio'!D$2:D2000=""BUY""), INT((ROW()-2)/amortYears)+1), )
"),"")</f>
        <v/>
      </c>
      <c r="C1224" s="15" t="str">
        <f>IFERROR(__xludf.DUMMYFUNCTION("IFERROR(INDEX(FILTER('RE Portfolio'!G$2:G2000,'RE Portfolio'!D$2:D2000=""BUY""), INT((ROW()-2)/amortYears)+1), )
"),"")</f>
        <v/>
      </c>
      <c r="D1224" s="15">
        <f>MOD(ROW()-2, amortYears)+1</f>
        <v>7</v>
      </c>
      <c r="E1224" s="15" t="str">
        <f t="shared" si="1"/>
        <v/>
      </c>
      <c r="F1224" s="16">
        <f t="shared" si="2"/>
        <v>0</v>
      </c>
      <c r="G1224" s="16">
        <f>IF(D1224&lt;=mortTerm, -PMT(mortRate/12, mortTerm*12, C1224)*12, 0)
</f>
        <v>0</v>
      </c>
      <c r="H1224" s="16">
        <f>IF(D1224&lt;=mortTerm, G1224 - I1224, 0)
</f>
        <v>0</v>
      </c>
      <c r="I1224" s="16">
        <f>IF(D1224&lt;=mortTerm, F1224 - J1224, 0)
</f>
        <v>0</v>
      </c>
      <c r="J1224" s="16">
        <f>IF(D1224&lt;=mortTerm,
   F1224*(1+mortRate/12)^12 - (-PMT(mortRate/12, mortTerm*12, C1224))*(((1+mortRate/12)^12 - 1)/(mortRate/12)),
   0
)
</f>
        <v>0</v>
      </c>
      <c r="K1224" s="13" t="str">
        <f>IFERROR(__xludf.DUMMYFUNCTION("IF(A1224="""","""",
   IF(F1224&gt;0,
      INDEX(FILTER('RE Portfolio'!L$2:L2000,'RE Portfolio'!D$2:D2000=""BUY""), INT((ROW()-2)/amortYears)+1) - G1224,
      INDEX(FILTER('RE Portfolio'!L$2:L2000,'RE Portfolio'!D$2:D2000=""BUY""), INT((ROW()-2)/amortYears"&amp;")+1)
   )
)
"),"")</f>
        <v/>
      </c>
      <c r="L1224" s="15" t="str">
        <f>IFERROR(__xludf.DUMMYFUNCTION("IF(A1224="""","""",
  INDEX(FILTER('RE Portfolio'!C$2:C2000,'RE Portfolio'!D$2:D2000=""BUY""), INT((ROW()-2)/amortYears)+1)
  * (1 + VALUE(Assumptions!$B$11))^(D1224-1)
)
"),"")</f>
        <v/>
      </c>
    </row>
    <row r="1225">
      <c r="A1225" s="15" t="str">
        <f>IFERROR(__xludf.DUMMYFUNCTION("IFERROR(INDEX(FILTER('RE Portfolio'!A$2:A2000,'RE Portfolio'!D$2:D2000=""BUY""), INT((ROW()-2)/amortYears)+1), )
"),"")</f>
        <v/>
      </c>
      <c r="B1225" s="15" t="str">
        <f>IFERROR(__xludf.DUMMYFUNCTION("IFERROR(INDEX(FILTER('RE Portfolio'!B$2:B2000,'RE Portfolio'!D$2:D2000=""BUY""), INT((ROW()-2)/amortYears)+1), )
"),"")</f>
        <v/>
      </c>
      <c r="C1225" s="15" t="str">
        <f>IFERROR(__xludf.DUMMYFUNCTION("IFERROR(INDEX(FILTER('RE Portfolio'!G$2:G2000,'RE Portfolio'!D$2:D2000=""BUY""), INT((ROW()-2)/amortYears)+1), )
"),"")</f>
        <v/>
      </c>
      <c r="D1225" s="15">
        <f>MOD(ROW()-2, amortYears)+1</f>
        <v>8</v>
      </c>
      <c r="E1225" s="15" t="str">
        <f t="shared" si="1"/>
        <v/>
      </c>
      <c r="F1225" s="16">
        <f t="shared" si="2"/>
        <v>0</v>
      </c>
      <c r="G1225" s="16">
        <f>IF(D1225&lt;=mortTerm, -PMT(mortRate/12, mortTerm*12, C1225)*12, 0)
</f>
        <v>0</v>
      </c>
      <c r="H1225" s="16">
        <f>IF(D1225&lt;=mortTerm, G1225 - I1225, 0)
</f>
        <v>0</v>
      </c>
      <c r="I1225" s="16">
        <f>IF(D1225&lt;=mortTerm, F1225 - J1225, 0)
</f>
        <v>0</v>
      </c>
      <c r="J1225" s="16">
        <f>IF(D1225&lt;=mortTerm,
   F1225*(1+mortRate/12)^12 - (-PMT(mortRate/12, mortTerm*12, C1225))*(((1+mortRate/12)^12 - 1)/(mortRate/12)),
   0
)
</f>
        <v>0</v>
      </c>
      <c r="K1225" s="13" t="str">
        <f>IFERROR(__xludf.DUMMYFUNCTION("IF(A1225="""","""",
   IF(F1225&gt;0,
      INDEX(FILTER('RE Portfolio'!L$2:L2000,'RE Portfolio'!D$2:D2000=""BUY""), INT((ROW()-2)/amortYears)+1) - G1225,
      INDEX(FILTER('RE Portfolio'!L$2:L2000,'RE Portfolio'!D$2:D2000=""BUY""), INT((ROW()-2)/amortYears"&amp;")+1)
   )
)
"),"")</f>
        <v/>
      </c>
      <c r="L1225" s="15" t="str">
        <f>IFERROR(__xludf.DUMMYFUNCTION("IF(A1225="""","""",
  INDEX(FILTER('RE Portfolio'!C$2:C2000,'RE Portfolio'!D$2:D2000=""BUY""), INT((ROW()-2)/amortYears)+1)
  * (1 + VALUE(Assumptions!$B$11))^(D1225-1)
)
"),"")</f>
        <v/>
      </c>
    </row>
    <row r="1226">
      <c r="A1226" s="15" t="str">
        <f>IFERROR(__xludf.DUMMYFUNCTION("IFERROR(INDEX(FILTER('RE Portfolio'!A$2:A2000,'RE Portfolio'!D$2:D2000=""BUY""), INT((ROW()-2)/amortYears)+1), )
"),"")</f>
        <v/>
      </c>
      <c r="B1226" s="15" t="str">
        <f>IFERROR(__xludf.DUMMYFUNCTION("IFERROR(INDEX(FILTER('RE Portfolio'!B$2:B2000,'RE Portfolio'!D$2:D2000=""BUY""), INT((ROW()-2)/amortYears)+1), )
"),"")</f>
        <v/>
      </c>
      <c r="C1226" s="15" t="str">
        <f>IFERROR(__xludf.DUMMYFUNCTION("IFERROR(INDEX(FILTER('RE Portfolio'!G$2:G2000,'RE Portfolio'!D$2:D2000=""BUY""), INT((ROW()-2)/amortYears)+1), )
"),"")</f>
        <v/>
      </c>
      <c r="D1226" s="15">
        <f>MOD(ROW()-2, amortYears)+1</f>
        <v>9</v>
      </c>
      <c r="E1226" s="15" t="str">
        <f t="shared" si="1"/>
        <v/>
      </c>
      <c r="F1226" s="16">
        <f t="shared" si="2"/>
        <v>0</v>
      </c>
      <c r="G1226" s="16">
        <f>IF(D1226&lt;=mortTerm, -PMT(mortRate/12, mortTerm*12, C1226)*12, 0)
</f>
        <v>0</v>
      </c>
      <c r="H1226" s="16">
        <f>IF(D1226&lt;=mortTerm, G1226 - I1226, 0)
</f>
        <v>0</v>
      </c>
      <c r="I1226" s="16">
        <f>IF(D1226&lt;=mortTerm, F1226 - J1226, 0)
</f>
        <v>0</v>
      </c>
      <c r="J1226" s="16">
        <f>IF(D1226&lt;=mortTerm,
   F1226*(1+mortRate/12)^12 - (-PMT(mortRate/12, mortTerm*12, C1226))*(((1+mortRate/12)^12 - 1)/(mortRate/12)),
   0
)
</f>
        <v>0</v>
      </c>
      <c r="K1226" s="13" t="str">
        <f>IFERROR(__xludf.DUMMYFUNCTION("IF(A1226="""","""",
   IF(F1226&gt;0,
      INDEX(FILTER('RE Portfolio'!L$2:L2000,'RE Portfolio'!D$2:D2000=""BUY""), INT((ROW()-2)/amortYears)+1) - G1226,
      INDEX(FILTER('RE Portfolio'!L$2:L2000,'RE Portfolio'!D$2:D2000=""BUY""), INT((ROW()-2)/amortYears"&amp;")+1)
   )
)
"),"")</f>
        <v/>
      </c>
      <c r="L1226" s="15" t="str">
        <f>IFERROR(__xludf.DUMMYFUNCTION("IF(A1226="""","""",
  INDEX(FILTER('RE Portfolio'!C$2:C2000,'RE Portfolio'!D$2:D2000=""BUY""), INT((ROW()-2)/amortYears)+1)
  * (1 + VALUE(Assumptions!$B$11))^(D1226-1)
)
"),"")</f>
        <v/>
      </c>
    </row>
    <row r="1227">
      <c r="A1227" s="15" t="str">
        <f>IFERROR(__xludf.DUMMYFUNCTION("IFERROR(INDEX(FILTER('RE Portfolio'!A$2:A2000,'RE Portfolio'!D$2:D2000=""BUY""), INT((ROW()-2)/amortYears)+1), )
"),"")</f>
        <v/>
      </c>
      <c r="B1227" s="15" t="str">
        <f>IFERROR(__xludf.DUMMYFUNCTION("IFERROR(INDEX(FILTER('RE Portfolio'!B$2:B2000,'RE Portfolio'!D$2:D2000=""BUY""), INT((ROW()-2)/amortYears)+1), )
"),"")</f>
        <v/>
      </c>
      <c r="C1227" s="15" t="str">
        <f>IFERROR(__xludf.DUMMYFUNCTION("IFERROR(INDEX(FILTER('RE Portfolio'!G$2:G2000,'RE Portfolio'!D$2:D2000=""BUY""), INT((ROW()-2)/amortYears)+1), )
"),"")</f>
        <v/>
      </c>
      <c r="D1227" s="15">
        <f>MOD(ROW()-2, amortYears)+1</f>
        <v>10</v>
      </c>
      <c r="E1227" s="15" t="str">
        <f t="shared" si="1"/>
        <v/>
      </c>
      <c r="F1227" s="16">
        <f t="shared" si="2"/>
        <v>0</v>
      </c>
      <c r="G1227" s="16">
        <f>IF(D1227&lt;=mortTerm, -PMT(mortRate/12, mortTerm*12, C1227)*12, 0)
</f>
        <v>0</v>
      </c>
      <c r="H1227" s="16">
        <f>IF(D1227&lt;=mortTerm, G1227 - I1227, 0)
</f>
        <v>0</v>
      </c>
      <c r="I1227" s="16">
        <f>IF(D1227&lt;=mortTerm, F1227 - J1227, 0)
</f>
        <v>0</v>
      </c>
      <c r="J1227" s="16">
        <f>IF(D1227&lt;=mortTerm,
   F1227*(1+mortRate/12)^12 - (-PMT(mortRate/12, mortTerm*12, C1227))*(((1+mortRate/12)^12 - 1)/(mortRate/12)),
   0
)
</f>
        <v>0</v>
      </c>
      <c r="K1227" s="13" t="str">
        <f>IFERROR(__xludf.DUMMYFUNCTION("IF(A1227="""","""",
   IF(F1227&gt;0,
      INDEX(FILTER('RE Portfolio'!L$2:L2000,'RE Portfolio'!D$2:D2000=""BUY""), INT((ROW()-2)/amortYears)+1) - G1227,
      INDEX(FILTER('RE Portfolio'!L$2:L2000,'RE Portfolio'!D$2:D2000=""BUY""), INT((ROW()-2)/amortYears"&amp;")+1)
   )
)
"),"")</f>
        <v/>
      </c>
      <c r="L1227" s="15" t="str">
        <f>IFERROR(__xludf.DUMMYFUNCTION("IF(A1227="""","""",
  INDEX(FILTER('RE Portfolio'!C$2:C2000,'RE Portfolio'!D$2:D2000=""BUY""), INT((ROW()-2)/amortYears)+1)
  * (1 + VALUE(Assumptions!$B$11))^(D1227-1)
)
"),"")</f>
        <v/>
      </c>
    </row>
    <row r="1228">
      <c r="A1228" s="15" t="str">
        <f>IFERROR(__xludf.DUMMYFUNCTION("IFERROR(INDEX(FILTER('RE Portfolio'!A$2:A2000,'RE Portfolio'!D$2:D2000=""BUY""), INT((ROW()-2)/amortYears)+1), )
"),"")</f>
        <v/>
      </c>
      <c r="B1228" s="15" t="str">
        <f>IFERROR(__xludf.DUMMYFUNCTION("IFERROR(INDEX(FILTER('RE Portfolio'!B$2:B2000,'RE Portfolio'!D$2:D2000=""BUY""), INT((ROW()-2)/amortYears)+1), )
"),"")</f>
        <v/>
      </c>
      <c r="C1228" s="15" t="str">
        <f>IFERROR(__xludf.DUMMYFUNCTION("IFERROR(INDEX(FILTER('RE Portfolio'!G$2:G2000,'RE Portfolio'!D$2:D2000=""BUY""), INT((ROW()-2)/amortYears)+1), )
"),"")</f>
        <v/>
      </c>
      <c r="D1228" s="15">
        <f>MOD(ROW()-2, amortYears)+1</f>
        <v>11</v>
      </c>
      <c r="E1228" s="15" t="str">
        <f t="shared" si="1"/>
        <v/>
      </c>
      <c r="F1228" s="16">
        <f t="shared" si="2"/>
        <v>0</v>
      </c>
      <c r="G1228" s="16">
        <f>IF(D1228&lt;=mortTerm, -PMT(mortRate/12, mortTerm*12, C1228)*12, 0)
</f>
        <v>0</v>
      </c>
      <c r="H1228" s="16">
        <f>IF(D1228&lt;=mortTerm, G1228 - I1228, 0)
</f>
        <v>0</v>
      </c>
      <c r="I1228" s="16">
        <f>IF(D1228&lt;=mortTerm, F1228 - J1228, 0)
</f>
        <v>0</v>
      </c>
      <c r="J1228" s="16">
        <f>IF(D1228&lt;=mortTerm,
   F1228*(1+mortRate/12)^12 - (-PMT(mortRate/12, mortTerm*12, C1228))*(((1+mortRate/12)^12 - 1)/(mortRate/12)),
   0
)
</f>
        <v>0</v>
      </c>
      <c r="K1228" s="13" t="str">
        <f>IFERROR(__xludf.DUMMYFUNCTION("IF(A1228="""","""",
   IF(F1228&gt;0,
      INDEX(FILTER('RE Portfolio'!L$2:L2000,'RE Portfolio'!D$2:D2000=""BUY""), INT((ROW()-2)/amortYears)+1) - G1228,
      INDEX(FILTER('RE Portfolio'!L$2:L2000,'RE Portfolio'!D$2:D2000=""BUY""), INT((ROW()-2)/amortYears"&amp;")+1)
   )
)
"),"")</f>
        <v/>
      </c>
      <c r="L1228" s="15" t="str">
        <f>IFERROR(__xludf.DUMMYFUNCTION("IF(A1228="""","""",
  INDEX(FILTER('RE Portfolio'!C$2:C2000,'RE Portfolio'!D$2:D2000=""BUY""), INT((ROW()-2)/amortYears)+1)
  * (1 + VALUE(Assumptions!$B$11))^(D1228-1)
)
"),"")</f>
        <v/>
      </c>
    </row>
    <row r="1229">
      <c r="A1229" s="15" t="str">
        <f>IFERROR(__xludf.DUMMYFUNCTION("IFERROR(INDEX(FILTER('RE Portfolio'!A$2:A2000,'RE Portfolio'!D$2:D2000=""BUY""), INT((ROW()-2)/amortYears)+1), )
"),"")</f>
        <v/>
      </c>
      <c r="B1229" s="15" t="str">
        <f>IFERROR(__xludf.DUMMYFUNCTION("IFERROR(INDEX(FILTER('RE Portfolio'!B$2:B2000,'RE Portfolio'!D$2:D2000=""BUY""), INT((ROW()-2)/amortYears)+1), )
"),"")</f>
        <v/>
      </c>
      <c r="C1229" s="15" t="str">
        <f>IFERROR(__xludf.DUMMYFUNCTION("IFERROR(INDEX(FILTER('RE Portfolio'!G$2:G2000,'RE Portfolio'!D$2:D2000=""BUY""), INT((ROW()-2)/amortYears)+1), )
"),"")</f>
        <v/>
      </c>
      <c r="D1229" s="15">
        <f>MOD(ROW()-2, amortYears)+1</f>
        <v>12</v>
      </c>
      <c r="E1229" s="15" t="str">
        <f t="shared" si="1"/>
        <v/>
      </c>
      <c r="F1229" s="16">
        <f t="shared" si="2"/>
        <v>0</v>
      </c>
      <c r="G1229" s="16">
        <f>IF(D1229&lt;=mortTerm, -PMT(mortRate/12, mortTerm*12, C1229)*12, 0)
</f>
        <v>0</v>
      </c>
      <c r="H1229" s="16">
        <f>IF(D1229&lt;=mortTerm, G1229 - I1229, 0)
</f>
        <v>0</v>
      </c>
      <c r="I1229" s="16">
        <f>IF(D1229&lt;=mortTerm, F1229 - J1229, 0)
</f>
        <v>0</v>
      </c>
      <c r="J1229" s="16">
        <f>IF(D1229&lt;=mortTerm,
   F1229*(1+mortRate/12)^12 - (-PMT(mortRate/12, mortTerm*12, C1229))*(((1+mortRate/12)^12 - 1)/(mortRate/12)),
   0
)
</f>
        <v>0</v>
      </c>
      <c r="K1229" s="13" t="str">
        <f>IFERROR(__xludf.DUMMYFUNCTION("IF(A1229="""","""",
   IF(F1229&gt;0,
      INDEX(FILTER('RE Portfolio'!L$2:L2000,'RE Portfolio'!D$2:D2000=""BUY""), INT((ROW()-2)/amortYears)+1) - G1229,
      INDEX(FILTER('RE Portfolio'!L$2:L2000,'RE Portfolio'!D$2:D2000=""BUY""), INT((ROW()-2)/amortYears"&amp;")+1)
   )
)
"),"")</f>
        <v/>
      </c>
      <c r="L1229" s="15" t="str">
        <f>IFERROR(__xludf.DUMMYFUNCTION("IF(A1229="""","""",
  INDEX(FILTER('RE Portfolio'!C$2:C2000,'RE Portfolio'!D$2:D2000=""BUY""), INT((ROW()-2)/amortYears)+1)
  * (1 + VALUE(Assumptions!$B$11))^(D1229-1)
)
"),"")</f>
        <v/>
      </c>
    </row>
    <row r="1230">
      <c r="A1230" s="15" t="str">
        <f>IFERROR(__xludf.DUMMYFUNCTION("IFERROR(INDEX(FILTER('RE Portfolio'!A$2:A2000,'RE Portfolio'!D$2:D2000=""BUY""), INT((ROW()-2)/amortYears)+1), )
"),"")</f>
        <v/>
      </c>
      <c r="B1230" s="15" t="str">
        <f>IFERROR(__xludf.DUMMYFUNCTION("IFERROR(INDEX(FILTER('RE Portfolio'!B$2:B2000,'RE Portfolio'!D$2:D2000=""BUY""), INT((ROW()-2)/amortYears)+1), )
"),"")</f>
        <v/>
      </c>
      <c r="C1230" s="15" t="str">
        <f>IFERROR(__xludf.DUMMYFUNCTION("IFERROR(INDEX(FILTER('RE Portfolio'!G$2:G2000,'RE Portfolio'!D$2:D2000=""BUY""), INT((ROW()-2)/amortYears)+1), )
"),"")</f>
        <v/>
      </c>
      <c r="D1230" s="15">
        <f>MOD(ROW()-2, amortYears)+1</f>
        <v>13</v>
      </c>
      <c r="E1230" s="15" t="str">
        <f t="shared" si="1"/>
        <v/>
      </c>
      <c r="F1230" s="16">
        <f t="shared" si="2"/>
        <v>0</v>
      </c>
      <c r="G1230" s="16">
        <f>IF(D1230&lt;=mortTerm, -PMT(mortRate/12, mortTerm*12, C1230)*12, 0)
</f>
        <v>0</v>
      </c>
      <c r="H1230" s="16">
        <f>IF(D1230&lt;=mortTerm, G1230 - I1230, 0)
</f>
        <v>0</v>
      </c>
      <c r="I1230" s="16">
        <f>IF(D1230&lt;=mortTerm, F1230 - J1230, 0)
</f>
        <v>0</v>
      </c>
      <c r="J1230" s="16">
        <f>IF(D1230&lt;=mortTerm,
   F1230*(1+mortRate/12)^12 - (-PMT(mortRate/12, mortTerm*12, C1230))*(((1+mortRate/12)^12 - 1)/(mortRate/12)),
   0
)
</f>
        <v>0</v>
      </c>
      <c r="K1230" s="13" t="str">
        <f>IFERROR(__xludf.DUMMYFUNCTION("IF(A1230="""","""",
   IF(F1230&gt;0,
      INDEX(FILTER('RE Portfolio'!L$2:L2000,'RE Portfolio'!D$2:D2000=""BUY""), INT((ROW()-2)/amortYears)+1) - G1230,
      INDEX(FILTER('RE Portfolio'!L$2:L2000,'RE Portfolio'!D$2:D2000=""BUY""), INT((ROW()-2)/amortYears"&amp;")+1)
   )
)
"),"")</f>
        <v/>
      </c>
      <c r="L1230" s="15" t="str">
        <f>IFERROR(__xludf.DUMMYFUNCTION("IF(A1230="""","""",
  INDEX(FILTER('RE Portfolio'!C$2:C2000,'RE Portfolio'!D$2:D2000=""BUY""), INT((ROW()-2)/amortYears)+1)
  * (1 + VALUE(Assumptions!$B$11))^(D1230-1)
)
"),"")</f>
        <v/>
      </c>
    </row>
    <row r="1231">
      <c r="A1231" s="15" t="str">
        <f>IFERROR(__xludf.DUMMYFUNCTION("IFERROR(INDEX(FILTER('RE Portfolio'!A$2:A2000,'RE Portfolio'!D$2:D2000=""BUY""), INT((ROW()-2)/amortYears)+1), )
"),"")</f>
        <v/>
      </c>
      <c r="B1231" s="15" t="str">
        <f>IFERROR(__xludf.DUMMYFUNCTION("IFERROR(INDEX(FILTER('RE Portfolio'!B$2:B2000,'RE Portfolio'!D$2:D2000=""BUY""), INT((ROW()-2)/amortYears)+1), )
"),"")</f>
        <v/>
      </c>
      <c r="C1231" s="15" t="str">
        <f>IFERROR(__xludf.DUMMYFUNCTION("IFERROR(INDEX(FILTER('RE Portfolio'!G$2:G2000,'RE Portfolio'!D$2:D2000=""BUY""), INT((ROW()-2)/amortYears)+1), )
"),"")</f>
        <v/>
      </c>
      <c r="D1231" s="15">
        <f>MOD(ROW()-2, amortYears)+1</f>
        <v>14</v>
      </c>
      <c r="E1231" s="15" t="str">
        <f t="shared" si="1"/>
        <v/>
      </c>
      <c r="F1231" s="16">
        <f t="shared" si="2"/>
        <v>0</v>
      </c>
      <c r="G1231" s="16">
        <f>IF(D1231&lt;=mortTerm, -PMT(mortRate/12, mortTerm*12, C1231)*12, 0)
</f>
        <v>0</v>
      </c>
      <c r="H1231" s="16">
        <f>IF(D1231&lt;=mortTerm, G1231 - I1231, 0)
</f>
        <v>0</v>
      </c>
      <c r="I1231" s="16">
        <f>IF(D1231&lt;=mortTerm, F1231 - J1231, 0)
</f>
        <v>0</v>
      </c>
      <c r="J1231" s="16">
        <f>IF(D1231&lt;=mortTerm,
   F1231*(1+mortRate/12)^12 - (-PMT(mortRate/12, mortTerm*12, C1231))*(((1+mortRate/12)^12 - 1)/(mortRate/12)),
   0
)
</f>
        <v>0</v>
      </c>
      <c r="K1231" s="13" t="str">
        <f>IFERROR(__xludf.DUMMYFUNCTION("IF(A1231="""","""",
   IF(F1231&gt;0,
      INDEX(FILTER('RE Portfolio'!L$2:L2000,'RE Portfolio'!D$2:D2000=""BUY""), INT((ROW()-2)/amortYears)+1) - G1231,
      INDEX(FILTER('RE Portfolio'!L$2:L2000,'RE Portfolio'!D$2:D2000=""BUY""), INT((ROW()-2)/amortYears"&amp;")+1)
   )
)
"),"")</f>
        <v/>
      </c>
      <c r="L1231" s="15" t="str">
        <f>IFERROR(__xludf.DUMMYFUNCTION("IF(A1231="""","""",
  INDEX(FILTER('RE Portfolio'!C$2:C2000,'RE Portfolio'!D$2:D2000=""BUY""), INT((ROW()-2)/amortYears)+1)
  * (1 + VALUE(Assumptions!$B$11))^(D1231-1)
)
"),"")</f>
        <v/>
      </c>
    </row>
    <row r="1232">
      <c r="A1232" s="15" t="str">
        <f>IFERROR(__xludf.DUMMYFUNCTION("IFERROR(INDEX(FILTER('RE Portfolio'!A$2:A2000,'RE Portfolio'!D$2:D2000=""BUY""), INT((ROW()-2)/amortYears)+1), )
"),"")</f>
        <v/>
      </c>
      <c r="B1232" s="15" t="str">
        <f>IFERROR(__xludf.DUMMYFUNCTION("IFERROR(INDEX(FILTER('RE Portfolio'!B$2:B2000,'RE Portfolio'!D$2:D2000=""BUY""), INT((ROW()-2)/amortYears)+1), )
"),"")</f>
        <v/>
      </c>
      <c r="C1232" s="15" t="str">
        <f>IFERROR(__xludf.DUMMYFUNCTION("IFERROR(INDEX(FILTER('RE Portfolio'!G$2:G2000,'RE Portfolio'!D$2:D2000=""BUY""), INT((ROW()-2)/amortYears)+1), )
"),"")</f>
        <v/>
      </c>
      <c r="D1232" s="15">
        <f>MOD(ROW()-2, amortYears)+1</f>
        <v>15</v>
      </c>
      <c r="E1232" s="15" t="str">
        <f t="shared" si="1"/>
        <v/>
      </c>
      <c r="F1232" s="16">
        <f t="shared" si="2"/>
        <v>0</v>
      </c>
      <c r="G1232" s="16">
        <f>IF(D1232&lt;=mortTerm, -PMT(mortRate/12, mortTerm*12, C1232)*12, 0)
</f>
        <v>0</v>
      </c>
      <c r="H1232" s="16">
        <f>IF(D1232&lt;=mortTerm, G1232 - I1232, 0)
</f>
        <v>0</v>
      </c>
      <c r="I1232" s="16">
        <f>IF(D1232&lt;=mortTerm, F1232 - J1232, 0)
</f>
        <v>0</v>
      </c>
      <c r="J1232" s="16">
        <f>IF(D1232&lt;=mortTerm,
   F1232*(1+mortRate/12)^12 - (-PMT(mortRate/12, mortTerm*12, C1232))*(((1+mortRate/12)^12 - 1)/(mortRate/12)),
   0
)
</f>
        <v>0</v>
      </c>
      <c r="K1232" s="13" t="str">
        <f>IFERROR(__xludf.DUMMYFUNCTION("IF(A1232="""","""",
   IF(F1232&gt;0,
      INDEX(FILTER('RE Portfolio'!L$2:L2000,'RE Portfolio'!D$2:D2000=""BUY""), INT((ROW()-2)/amortYears)+1) - G1232,
      INDEX(FILTER('RE Portfolio'!L$2:L2000,'RE Portfolio'!D$2:D2000=""BUY""), INT((ROW()-2)/amortYears"&amp;")+1)
   )
)
"),"")</f>
        <v/>
      </c>
      <c r="L1232" s="15" t="str">
        <f>IFERROR(__xludf.DUMMYFUNCTION("IF(A1232="""","""",
  INDEX(FILTER('RE Portfolio'!C$2:C2000,'RE Portfolio'!D$2:D2000=""BUY""), INT((ROW()-2)/amortYears)+1)
  * (1 + VALUE(Assumptions!$B$11))^(D1232-1)
)
"),"")</f>
        <v/>
      </c>
    </row>
    <row r="1233">
      <c r="A1233" s="15" t="str">
        <f>IFERROR(__xludf.DUMMYFUNCTION("IFERROR(INDEX(FILTER('RE Portfolio'!A$2:A2000,'RE Portfolio'!D$2:D2000=""BUY""), INT((ROW()-2)/amortYears)+1), )
"),"")</f>
        <v/>
      </c>
      <c r="B1233" s="15" t="str">
        <f>IFERROR(__xludf.DUMMYFUNCTION("IFERROR(INDEX(FILTER('RE Portfolio'!B$2:B2000,'RE Portfolio'!D$2:D2000=""BUY""), INT((ROW()-2)/amortYears)+1), )
"),"")</f>
        <v/>
      </c>
      <c r="C1233" s="15" t="str">
        <f>IFERROR(__xludf.DUMMYFUNCTION("IFERROR(INDEX(FILTER('RE Portfolio'!G$2:G2000,'RE Portfolio'!D$2:D2000=""BUY""), INT((ROW()-2)/amortYears)+1), )
"),"")</f>
        <v/>
      </c>
      <c r="D1233" s="15">
        <f>MOD(ROW()-2, amortYears)+1</f>
        <v>16</v>
      </c>
      <c r="E1233" s="15" t="str">
        <f t="shared" si="1"/>
        <v/>
      </c>
      <c r="F1233" s="16">
        <f t="shared" si="2"/>
        <v>0</v>
      </c>
      <c r="G1233" s="16">
        <f>IF(D1233&lt;=mortTerm, -PMT(mortRate/12, mortTerm*12, C1233)*12, 0)
</f>
        <v>0</v>
      </c>
      <c r="H1233" s="16">
        <f>IF(D1233&lt;=mortTerm, G1233 - I1233, 0)
</f>
        <v>0</v>
      </c>
      <c r="I1233" s="16">
        <f>IF(D1233&lt;=mortTerm, F1233 - J1233, 0)
</f>
        <v>0</v>
      </c>
      <c r="J1233" s="16">
        <f>IF(D1233&lt;=mortTerm,
   F1233*(1+mortRate/12)^12 - (-PMT(mortRate/12, mortTerm*12, C1233))*(((1+mortRate/12)^12 - 1)/(mortRate/12)),
   0
)
</f>
        <v>0</v>
      </c>
      <c r="K1233" s="13" t="str">
        <f>IFERROR(__xludf.DUMMYFUNCTION("IF(A1233="""","""",
   IF(F1233&gt;0,
      INDEX(FILTER('RE Portfolio'!L$2:L2000,'RE Portfolio'!D$2:D2000=""BUY""), INT((ROW()-2)/amortYears)+1) - G1233,
      INDEX(FILTER('RE Portfolio'!L$2:L2000,'RE Portfolio'!D$2:D2000=""BUY""), INT((ROW()-2)/amortYears"&amp;")+1)
   )
)
"),"")</f>
        <v/>
      </c>
      <c r="L1233" s="15" t="str">
        <f>IFERROR(__xludf.DUMMYFUNCTION("IF(A1233="""","""",
  INDEX(FILTER('RE Portfolio'!C$2:C2000,'RE Portfolio'!D$2:D2000=""BUY""), INT((ROW()-2)/amortYears)+1)
  * (1 + VALUE(Assumptions!$B$11))^(D1233-1)
)
"),"")</f>
        <v/>
      </c>
    </row>
    <row r="1234">
      <c r="A1234" s="15" t="str">
        <f>IFERROR(__xludf.DUMMYFUNCTION("IFERROR(INDEX(FILTER('RE Portfolio'!A$2:A2000,'RE Portfolio'!D$2:D2000=""BUY""), INT((ROW()-2)/amortYears)+1), )
"),"")</f>
        <v/>
      </c>
      <c r="B1234" s="15" t="str">
        <f>IFERROR(__xludf.DUMMYFUNCTION("IFERROR(INDEX(FILTER('RE Portfolio'!B$2:B2000,'RE Portfolio'!D$2:D2000=""BUY""), INT((ROW()-2)/amortYears)+1), )
"),"")</f>
        <v/>
      </c>
      <c r="C1234" s="15" t="str">
        <f>IFERROR(__xludf.DUMMYFUNCTION("IFERROR(INDEX(FILTER('RE Portfolio'!G$2:G2000,'RE Portfolio'!D$2:D2000=""BUY""), INT((ROW()-2)/amortYears)+1), )
"),"")</f>
        <v/>
      </c>
      <c r="D1234" s="15">
        <f>MOD(ROW()-2, amortYears)+1</f>
        <v>17</v>
      </c>
      <c r="E1234" s="15" t="str">
        <f t="shared" si="1"/>
        <v/>
      </c>
      <c r="F1234" s="16">
        <f t="shared" si="2"/>
        <v>0</v>
      </c>
      <c r="G1234" s="16">
        <f>IF(D1234&lt;=mortTerm, -PMT(mortRate/12, mortTerm*12, C1234)*12, 0)
</f>
        <v>0</v>
      </c>
      <c r="H1234" s="16">
        <f>IF(D1234&lt;=mortTerm, G1234 - I1234, 0)
</f>
        <v>0</v>
      </c>
      <c r="I1234" s="16">
        <f>IF(D1234&lt;=mortTerm, F1234 - J1234, 0)
</f>
        <v>0</v>
      </c>
      <c r="J1234" s="16">
        <f>IF(D1234&lt;=mortTerm,
   F1234*(1+mortRate/12)^12 - (-PMT(mortRate/12, mortTerm*12, C1234))*(((1+mortRate/12)^12 - 1)/(mortRate/12)),
   0
)
</f>
        <v>0</v>
      </c>
      <c r="K1234" s="13" t="str">
        <f>IFERROR(__xludf.DUMMYFUNCTION("IF(A1234="""","""",
   IF(F1234&gt;0,
      INDEX(FILTER('RE Portfolio'!L$2:L2000,'RE Portfolio'!D$2:D2000=""BUY""), INT((ROW()-2)/amortYears)+1) - G1234,
      INDEX(FILTER('RE Portfolio'!L$2:L2000,'RE Portfolio'!D$2:D2000=""BUY""), INT((ROW()-2)/amortYears"&amp;")+1)
   )
)
"),"")</f>
        <v/>
      </c>
      <c r="L1234" s="15" t="str">
        <f>IFERROR(__xludf.DUMMYFUNCTION("IF(A1234="""","""",
  INDEX(FILTER('RE Portfolio'!C$2:C2000,'RE Portfolio'!D$2:D2000=""BUY""), INT((ROW()-2)/amortYears)+1)
  * (1 + VALUE(Assumptions!$B$11))^(D1234-1)
)
"),"")</f>
        <v/>
      </c>
    </row>
    <row r="1235">
      <c r="A1235" s="15" t="str">
        <f>IFERROR(__xludf.DUMMYFUNCTION("IFERROR(INDEX(FILTER('RE Portfolio'!A$2:A2000,'RE Portfolio'!D$2:D2000=""BUY""), INT((ROW()-2)/amortYears)+1), )
"),"")</f>
        <v/>
      </c>
      <c r="B1235" s="15" t="str">
        <f>IFERROR(__xludf.DUMMYFUNCTION("IFERROR(INDEX(FILTER('RE Portfolio'!B$2:B2000,'RE Portfolio'!D$2:D2000=""BUY""), INT((ROW()-2)/amortYears)+1), )
"),"")</f>
        <v/>
      </c>
      <c r="C1235" s="15" t="str">
        <f>IFERROR(__xludf.DUMMYFUNCTION("IFERROR(INDEX(FILTER('RE Portfolio'!G$2:G2000,'RE Portfolio'!D$2:D2000=""BUY""), INT((ROW()-2)/amortYears)+1), )
"),"")</f>
        <v/>
      </c>
      <c r="D1235" s="15">
        <f>MOD(ROW()-2, amortYears)+1</f>
        <v>18</v>
      </c>
      <c r="E1235" s="15" t="str">
        <f t="shared" si="1"/>
        <v/>
      </c>
      <c r="F1235" s="16">
        <f t="shared" si="2"/>
        <v>0</v>
      </c>
      <c r="G1235" s="16">
        <f>IF(D1235&lt;=mortTerm, -PMT(mortRate/12, mortTerm*12, C1235)*12, 0)
</f>
        <v>0</v>
      </c>
      <c r="H1235" s="16">
        <f>IF(D1235&lt;=mortTerm, G1235 - I1235, 0)
</f>
        <v>0</v>
      </c>
      <c r="I1235" s="16">
        <f>IF(D1235&lt;=mortTerm, F1235 - J1235, 0)
</f>
        <v>0</v>
      </c>
      <c r="J1235" s="16">
        <f>IF(D1235&lt;=mortTerm,
   F1235*(1+mortRate/12)^12 - (-PMT(mortRate/12, mortTerm*12, C1235))*(((1+mortRate/12)^12 - 1)/(mortRate/12)),
   0
)
</f>
        <v>0</v>
      </c>
      <c r="K1235" s="13" t="str">
        <f>IFERROR(__xludf.DUMMYFUNCTION("IF(A1235="""","""",
   IF(F1235&gt;0,
      INDEX(FILTER('RE Portfolio'!L$2:L2000,'RE Portfolio'!D$2:D2000=""BUY""), INT((ROW()-2)/amortYears)+1) - G1235,
      INDEX(FILTER('RE Portfolio'!L$2:L2000,'RE Portfolio'!D$2:D2000=""BUY""), INT((ROW()-2)/amortYears"&amp;")+1)
   )
)
"),"")</f>
        <v/>
      </c>
      <c r="L1235" s="15" t="str">
        <f>IFERROR(__xludf.DUMMYFUNCTION("IF(A1235="""","""",
  INDEX(FILTER('RE Portfolio'!C$2:C2000,'RE Portfolio'!D$2:D2000=""BUY""), INT((ROW()-2)/amortYears)+1)
  * (1 + VALUE(Assumptions!$B$11))^(D1235-1)
)
"),"")</f>
        <v/>
      </c>
    </row>
    <row r="1236">
      <c r="A1236" s="15" t="str">
        <f>IFERROR(__xludf.DUMMYFUNCTION("IFERROR(INDEX(FILTER('RE Portfolio'!A$2:A2000,'RE Portfolio'!D$2:D2000=""BUY""), INT((ROW()-2)/amortYears)+1), )
"),"")</f>
        <v/>
      </c>
      <c r="B1236" s="15" t="str">
        <f>IFERROR(__xludf.DUMMYFUNCTION("IFERROR(INDEX(FILTER('RE Portfolio'!B$2:B2000,'RE Portfolio'!D$2:D2000=""BUY""), INT((ROW()-2)/amortYears)+1), )
"),"")</f>
        <v/>
      </c>
      <c r="C1236" s="15" t="str">
        <f>IFERROR(__xludf.DUMMYFUNCTION("IFERROR(INDEX(FILTER('RE Portfolio'!G$2:G2000,'RE Portfolio'!D$2:D2000=""BUY""), INT((ROW()-2)/amortYears)+1), )
"),"")</f>
        <v/>
      </c>
      <c r="D1236" s="15">
        <f>MOD(ROW()-2, amortYears)+1</f>
        <v>19</v>
      </c>
      <c r="E1236" s="15" t="str">
        <f t="shared" si="1"/>
        <v/>
      </c>
      <c r="F1236" s="16">
        <f t="shared" si="2"/>
        <v>0</v>
      </c>
      <c r="G1236" s="16">
        <f>IF(D1236&lt;=mortTerm, -PMT(mortRate/12, mortTerm*12, C1236)*12, 0)
</f>
        <v>0</v>
      </c>
      <c r="H1236" s="16">
        <f>IF(D1236&lt;=mortTerm, G1236 - I1236, 0)
</f>
        <v>0</v>
      </c>
      <c r="I1236" s="16">
        <f>IF(D1236&lt;=mortTerm, F1236 - J1236, 0)
</f>
        <v>0</v>
      </c>
      <c r="J1236" s="16">
        <f>IF(D1236&lt;=mortTerm,
   F1236*(1+mortRate/12)^12 - (-PMT(mortRate/12, mortTerm*12, C1236))*(((1+mortRate/12)^12 - 1)/(mortRate/12)),
   0
)
</f>
        <v>0</v>
      </c>
      <c r="K1236" s="13" t="str">
        <f>IFERROR(__xludf.DUMMYFUNCTION("IF(A1236="""","""",
   IF(F1236&gt;0,
      INDEX(FILTER('RE Portfolio'!L$2:L2000,'RE Portfolio'!D$2:D2000=""BUY""), INT((ROW()-2)/amortYears)+1) - G1236,
      INDEX(FILTER('RE Portfolio'!L$2:L2000,'RE Portfolio'!D$2:D2000=""BUY""), INT((ROW()-2)/amortYears"&amp;")+1)
   )
)
"),"")</f>
        <v/>
      </c>
      <c r="L1236" s="15" t="str">
        <f>IFERROR(__xludf.DUMMYFUNCTION("IF(A1236="""","""",
  INDEX(FILTER('RE Portfolio'!C$2:C2000,'RE Portfolio'!D$2:D2000=""BUY""), INT((ROW()-2)/amortYears)+1)
  * (1 + VALUE(Assumptions!$B$11))^(D1236-1)
)
"),"")</f>
        <v/>
      </c>
    </row>
    <row r="1237">
      <c r="A1237" s="15" t="str">
        <f>IFERROR(__xludf.DUMMYFUNCTION("IFERROR(INDEX(FILTER('RE Portfolio'!A$2:A2000,'RE Portfolio'!D$2:D2000=""BUY""), INT((ROW()-2)/amortYears)+1), )
"),"")</f>
        <v/>
      </c>
      <c r="B1237" s="15" t="str">
        <f>IFERROR(__xludf.DUMMYFUNCTION("IFERROR(INDEX(FILTER('RE Portfolio'!B$2:B2000,'RE Portfolio'!D$2:D2000=""BUY""), INT((ROW()-2)/amortYears)+1), )
"),"")</f>
        <v/>
      </c>
      <c r="C1237" s="15" t="str">
        <f>IFERROR(__xludf.DUMMYFUNCTION("IFERROR(INDEX(FILTER('RE Portfolio'!G$2:G2000,'RE Portfolio'!D$2:D2000=""BUY""), INT((ROW()-2)/amortYears)+1), )
"),"")</f>
        <v/>
      </c>
      <c r="D1237" s="15">
        <f>MOD(ROW()-2, amortYears)+1</f>
        <v>20</v>
      </c>
      <c r="E1237" s="15" t="str">
        <f t="shared" si="1"/>
        <v/>
      </c>
      <c r="F1237" s="16">
        <f t="shared" si="2"/>
        <v>0</v>
      </c>
      <c r="G1237" s="16">
        <f>IF(D1237&lt;=mortTerm, -PMT(mortRate/12, mortTerm*12, C1237)*12, 0)
</f>
        <v>0</v>
      </c>
      <c r="H1237" s="16">
        <f>IF(D1237&lt;=mortTerm, G1237 - I1237, 0)
</f>
        <v>0</v>
      </c>
      <c r="I1237" s="16">
        <f>IF(D1237&lt;=mortTerm, F1237 - J1237, 0)
</f>
        <v>0</v>
      </c>
      <c r="J1237" s="16">
        <f>IF(D1237&lt;=mortTerm,
   F1237*(1+mortRate/12)^12 - (-PMT(mortRate/12, mortTerm*12, C1237))*(((1+mortRate/12)^12 - 1)/(mortRate/12)),
   0
)
</f>
        <v>0</v>
      </c>
      <c r="K1237" s="13" t="str">
        <f>IFERROR(__xludf.DUMMYFUNCTION("IF(A1237="""","""",
   IF(F1237&gt;0,
      INDEX(FILTER('RE Portfolio'!L$2:L2000,'RE Portfolio'!D$2:D2000=""BUY""), INT((ROW()-2)/amortYears)+1) - G1237,
      INDEX(FILTER('RE Portfolio'!L$2:L2000,'RE Portfolio'!D$2:D2000=""BUY""), INT((ROW()-2)/amortYears"&amp;")+1)
   )
)
"),"")</f>
        <v/>
      </c>
      <c r="L1237" s="15" t="str">
        <f>IFERROR(__xludf.DUMMYFUNCTION("IF(A1237="""","""",
  INDEX(FILTER('RE Portfolio'!C$2:C2000,'RE Portfolio'!D$2:D2000=""BUY""), INT((ROW()-2)/amortYears)+1)
  * (1 + VALUE(Assumptions!$B$11))^(D1237-1)
)
"),"")</f>
        <v/>
      </c>
    </row>
    <row r="1238">
      <c r="A1238" s="15" t="str">
        <f>IFERROR(__xludf.DUMMYFUNCTION("IFERROR(INDEX(FILTER('RE Portfolio'!A$2:A2000,'RE Portfolio'!D$2:D2000=""BUY""), INT((ROW()-2)/amortYears)+1), )
"),"")</f>
        <v/>
      </c>
      <c r="B1238" s="15" t="str">
        <f>IFERROR(__xludf.DUMMYFUNCTION("IFERROR(INDEX(FILTER('RE Portfolio'!B$2:B2000,'RE Portfolio'!D$2:D2000=""BUY""), INT((ROW()-2)/amortYears)+1), )
"),"")</f>
        <v/>
      </c>
      <c r="C1238" s="15" t="str">
        <f>IFERROR(__xludf.DUMMYFUNCTION("IFERROR(INDEX(FILTER('RE Portfolio'!G$2:G2000,'RE Portfolio'!D$2:D2000=""BUY""), INT((ROW()-2)/amortYears)+1), )
"),"")</f>
        <v/>
      </c>
      <c r="D1238" s="15">
        <f>MOD(ROW()-2, amortYears)+1</f>
        <v>21</v>
      </c>
      <c r="E1238" s="15" t="str">
        <f t="shared" si="1"/>
        <v/>
      </c>
      <c r="F1238" s="16">
        <f t="shared" si="2"/>
        <v>0</v>
      </c>
      <c r="G1238" s="16">
        <f>IF(D1238&lt;=mortTerm, -PMT(mortRate/12, mortTerm*12, C1238)*12, 0)
</f>
        <v>0</v>
      </c>
      <c r="H1238" s="16">
        <f>IF(D1238&lt;=mortTerm, G1238 - I1238, 0)
</f>
        <v>0</v>
      </c>
      <c r="I1238" s="16">
        <f>IF(D1238&lt;=mortTerm, F1238 - J1238, 0)
</f>
        <v>0</v>
      </c>
      <c r="J1238" s="16">
        <f>IF(D1238&lt;=mortTerm,
   F1238*(1+mortRate/12)^12 - (-PMT(mortRate/12, mortTerm*12, C1238))*(((1+mortRate/12)^12 - 1)/(mortRate/12)),
   0
)
</f>
        <v>0</v>
      </c>
      <c r="K1238" s="13" t="str">
        <f>IFERROR(__xludf.DUMMYFUNCTION("IF(A1238="""","""",
   IF(F1238&gt;0,
      INDEX(FILTER('RE Portfolio'!L$2:L2000,'RE Portfolio'!D$2:D2000=""BUY""), INT((ROW()-2)/amortYears)+1) - G1238,
      INDEX(FILTER('RE Portfolio'!L$2:L2000,'RE Portfolio'!D$2:D2000=""BUY""), INT((ROW()-2)/amortYears"&amp;")+1)
   )
)
"),"")</f>
        <v/>
      </c>
      <c r="L1238" s="15" t="str">
        <f>IFERROR(__xludf.DUMMYFUNCTION("IF(A1238="""","""",
  INDEX(FILTER('RE Portfolio'!C$2:C2000,'RE Portfolio'!D$2:D2000=""BUY""), INT((ROW()-2)/amortYears)+1)
  * (1 + VALUE(Assumptions!$B$11))^(D1238-1)
)
"),"")</f>
        <v/>
      </c>
    </row>
    <row r="1239">
      <c r="A1239" s="15" t="str">
        <f>IFERROR(__xludf.DUMMYFUNCTION("IFERROR(INDEX(FILTER('RE Portfolio'!A$2:A2000,'RE Portfolio'!D$2:D2000=""BUY""), INT((ROW()-2)/amortYears)+1), )
"),"")</f>
        <v/>
      </c>
      <c r="B1239" s="15" t="str">
        <f>IFERROR(__xludf.DUMMYFUNCTION("IFERROR(INDEX(FILTER('RE Portfolio'!B$2:B2000,'RE Portfolio'!D$2:D2000=""BUY""), INT((ROW()-2)/amortYears)+1), )
"),"")</f>
        <v/>
      </c>
      <c r="C1239" s="15" t="str">
        <f>IFERROR(__xludf.DUMMYFUNCTION("IFERROR(INDEX(FILTER('RE Portfolio'!G$2:G2000,'RE Portfolio'!D$2:D2000=""BUY""), INT((ROW()-2)/amortYears)+1), )
"),"")</f>
        <v/>
      </c>
      <c r="D1239" s="15">
        <f>MOD(ROW()-2, amortYears)+1</f>
        <v>22</v>
      </c>
      <c r="E1239" s="15" t="str">
        <f t="shared" si="1"/>
        <v/>
      </c>
      <c r="F1239" s="16">
        <f t="shared" si="2"/>
        <v>0</v>
      </c>
      <c r="G1239" s="16">
        <f>IF(D1239&lt;=mortTerm, -PMT(mortRate/12, mortTerm*12, C1239)*12, 0)
</f>
        <v>0</v>
      </c>
      <c r="H1239" s="16">
        <f>IF(D1239&lt;=mortTerm, G1239 - I1239, 0)
</f>
        <v>0</v>
      </c>
      <c r="I1239" s="16">
        <f>IF(D1239&lt;=mortTerm, F1239 - J1239, 0)
</f>
        <v>0</v>
      </c>
      <c r="J1239" s="16">
        <f>IF(D1239&lt;=mortTerm,
   F1239*(1+mortRate/12)^12 - (-PMT(mortRate/12, mortTerm*12, C1239))*(((1+mortRate/12)^12 - 1)/(mortRate/12)),
   0
)
</f>
        <v>0</v>
      </c>
      <c r="K1239" s="13" t="str">
        <f>IFERROR(__xludf.DUMMYFUNCTION("IF(A1239="""","""",
   IF(F1239&gt;0,
      INDEX(FILTER('RE Portfolio'!L$2:L2000,'RE Portfolio'!D$2:D2000=""BUY""), INT((ROW()-2)/amortYears)+1) - G1239,
      INDEX(FILTER('RE Portfolio'!L$2:L2000,'RE Portfolio'!D$2:D2000=""BUY""), INT((ROW()-2)/amortYears"&amp;")+1)
   )
)
"),"")</f>
        <v/>
      </c>
      <c r="L1239" s="15" t="str">
        <f>IFERROR(__xludf.DUMMYFUNCTION("IF(A1239="""","""",
  INDEX(FILTER('RE Portfolio'!C$2:C2000,'RE Portfolio'!D$2:D2000=""BUY""), INT((ROW()-2)/amortYears)+1)
  * (1 + VALUE(Assumptions!$B$11))^(D1239-1)
)
"),"")</f>
        <v/>
      </c>
    </row>
    <row r="1240">
      <c r="A1240" s="15" t="str">
        <f>IFERROR(__xludf.DUMMYFUNCTION("IFERROR(INDEX(FILTER('RE Portfolio'!A$2:A2000,'RE Portfolio'!D$2:D2000=""BUY""), INT((ROW()-2)/amortYears)+1), )
"),"")</f>
        <v/>
      </c>
      <c r="B1240" s="15" t="str">
        <f>IFERROR(__xludf.DUMMYFUNCTION("IFERROR(INDEX(FILTER('RE Portfolio'!B$2:B2000,'RE Portfolio'!D$2:D2000=""BUY""), INT((ROW()-2)/amortYears)+1), )
"),"")</f>
        <v/>
      </c>
      <c r="C1240" s="15" t="str">
        <f>IFERROR(__xludf.DUMMYFUNCTION("IFERROR(INDEX(FILTER('RE Portfolio'!G$2:G2000,'RE Portfolio'!D$2:D2000=""BUY""), INT((ROW()-2)/amortYears)+1), )
"),"")</f>
        <v/>
      </c>
      <c r="D1240" s="15">
        <f>MOD(ROW()-2, amortYears)+1</f>
        <v>23</v>
      </c>
      <c r="E1240" s="15" t="str">
        <f t="shared" si="1"/>
        <v/>
      </c>
      <c r="F1240" s="16">
        <f t="shared" si="2"/>
        <v>0</v>
      </c>
      <c r="G1240" s="16">
        <f>IF(D1240&lt;=mortTerm, -PMT(mortRate/12, mortTerm*12, C1240)*12, 0)
</f>
        <v>0</v>
      </c>
      <c r="H1240" s="16">
        <f>IF(D1240&lt;=mortTerm, G1240 - I1240, 0)
</f>
        <v>0</v>
      </c>
      <c r="I1240" s="16">
        <f>IF(D1240&lt;=mortTerm, F1240 - J1240, 0)
</f>
        <v>0</v>
      </c>
      <c r="J1240" s="16">
        <f>IF(D1240&lt;=mortTerm,
   F1240*(1+mortRate/12)^12 - (-PMT(mortRate/12, mortTerm*12, C1240))*(((1+mortRate/12)^12 - 1)/(mortRate/12)),
   0
)
</f>
        <v>0</v>
      </c>
      <c r="K1240" s="13" t="str">
        <f>IFERROR(__xludf.DUMMYFUNCTION("IF(A1240="""","""",
   IF(F1240&gt;0,
      INDEX(FILTER('RE Portfolio'!L$2:L2000,'RE Portfolio'!D$2:D2000=""BUY""), INT((ROW()-2)/amortYears)+1) - G1240,
      INDEX(FILTER('RE Portfolio'!L$2:L2000,'RE Portfolio'!D$2:D2000=""BUY""), INT((ROW()-2)/amortYears"&amp;")+1)
   )
)
"),"")</f>
        <v/>
      </c>
      <c r="L1240" s="15" t="str">
        <f>IFERROR(__xludf.DUMMYFUNCTION("IF(A1240="""","""",
  INDEX(FILTER('RE Portfolio'!C$2:C2000,'RE Portfolio'!D$2:D2000=""BUY""), INT((ROW()-2)/amortYears)+1)
  * (1 + VALUE(Assumptions!$B$11))^(D1240-1)
)
"),"")</f>
        <v/>
      </c>
    </row>
    <row r="1241">
      <c r="A1241" s="15" t="str">
        <f>IFERROR(__xludf.DUMMYFUNCTION("IFERROR(INDEX(FILTER('RE Portfolio'!A$2:A2000,'RE Portfolio'!D$2:D2000=""BUY""), INT((ROW()-2)/amortYears)+1), )
"),"")</f>
        <v/>
      </c>
      <c r="B1241" s="15" t="str">
        <f>IFERROR(__xludf.DUMMYFUNCTION("IFERROR(INDEX(FILTER('RE Portfolio'!B$2:B2000,'RE Portfolio'!D$2:D2000=""BUY""), INT((ROW()-2)/amortYears)+1), )
"),"")</f>
        <v/>
      </c>
      <c r="C1241" s="15" t="str">
        <f>IFERROR(__xludf.DUMMYFUNCTION("IFERROR(INDEX(FILTER('RE Portfolio'!G$2:G2000,'RE Portfolio'!D$2:D2000=""BUY""), INT((ROW()-2)/amortYears)+1), )
"),"")</f>
        <v/>
      </c>
      <c r="D1241" s="15">
        <f>MOD(ROW()-2, amortYears)+1</f>
        <v>24</v>
      </c>
      <c r="E1241" s="15" t="str">
        <f t="shared" si="1"/>
        <v/>
      </c>
      <c r="F1241" s="16">
        <f t="shared" si="2"/>
        <v>0</v>
      </c>
      <c r="G1241" s="16">
        <f>IF(D1241&lt;=mortTerm, -PMT(mortRate/12, mortTerm*12, C1241)*12, 0)
</f>
        <v>0</v>
      </c>
      <c r="H1241" s="16">
        <f>IF(D1241&lt;=mortTerm, G1241 - I1241, 0)
</f>
        <v>0</v>
      </c>
      <c r="I1241" s="16">
        <f>IF(D1241&lt;=mortTerm, F1241 - J1241, 0)
</f>
        <v>0</v>
      </c>
      <c r="J1241" s="16">
        <f>IF(D1241&lt;=mortTerm,
   F1241*(1+mortRate/12)^12 - (-PMT(mortRate/12, mortTerm*12, C1241))*(((1+mortRate/12)^12 - 1)/(mortRate/12)),
   0
)
</f>
        <v>0</v>
      </c>
      <c r="K1241" s="13" t="str">
        <f>IFERROR(__xludf.DUMMYFUNCTION("IF(A1241="""","""",
   IF(F1241&gt;0,
      INDEX(FILTER('RE Portfolio'!L$2:L2000,'RE Portfolio'!D$2:D2000=""BUY""), INT((ROW()-2)/amortYears)+1) - G1241,
      INDEX(FILTER('RE Portfolio'!L$2:L2000,'RE Portfolio'!D$2:D2000=""BUY""), INT((ROW()-2)/amortYears"&amp;")+1)
   )
)
"),"")</f>
        <v/>
      </c>
      <c r="L1241" s="15" t="str">
        <f>IFERROR(__xludf.DUMMYFUNCTION("IF(A1241="""","""",
  INDEX(FILTER('RE Portfolio'!C$2:C2000,'RE Portfolio'!D$2:D2000=""BUY""), INT((ROW()-2)/amortYears)+1)
  * (1 + VALUE(Assumptions!$B$11))^(D1241-1)
)
"),"")</f>
        <v/>
      </c>
    </row>
    <row r="1242">
      <c r="A1242" s="15" t="str">
        <f>IFERROR(__xludf.DUMMYFUNCTION("IFERROR(INDEX(FILTER('RE Portfolio'!A$2:A2000,'RE Portfolio'!D$2:D2000=""BUY""), INT((ROW()-2)/amortYears)+1), )
"),"")</f>
        <v/>
      </c>
      <c r="B1242" s="15" t="str">
        <f>IFERROR(__xludf.DUMMYFUNCTION("IFERROR(INDEX(FILTER('RE Portfolio'!B$2:B2000,'RE Portfolio'!D$2:D2000=""BUY""), INT((ROW()-2)/amortYears)+1), )
"),"")</f>
        <v/>
      </c>
      <c r="C1242" s="15" t="str">
        <f>IFERROR(__xludf.DUMMYFUNCTION("IFERROR(INDEX(FILTER('RE Portfolio'!G$2:G2000,'RE Portfolio'!D$2:D2000=""BUY""), INT((ROW()-2)/amortYears)+1), )
"),"")</f>
        <v/>
      </c>
      <c r="D1242" s="15">
        <f>MOD(ROW()-2, amortYears)+1</f>
        <v>25</v>
      </c>
      <c r="E1242" s="15" t="str">
        <f t="shared" si="1"/>
        <v/>
      </c>
      <c r="F1242" s="16">
        <f t="shared" si="2"/>
        <v>0</v>
      </c>
      <c r="G1242" s="16">
        <f>IF(D1242&lt;=mortTerm, -PMT(mortRate/12, mortTerm*12, C1242)*12, 0)
</f>
        <v>0</v>
      </c>
      <c r="H1242" s="16">
        <f>IF(D1242&lt;=mortTerm, G1242 - I1242, 0)
</f>
        <v>0</v>
      </c>
      <c r="I1242" s="16">
        <f>IF(D1242&lt;=mortTerm, F1242 - J1242, 0)
</f>
        <v>0</v>
      </c>
      <c r="J1242" s="16">
        <f>IF(D1242&lt;=mortTerm,
   F1242*(1+mortRate/12)^12 - (-PMT(mortRate/12, mortTerm*12, C1242))*(((1+mortRate/12)^12 - 1)/(mortRate/12)),
   0
)
</f>
        <v>0</v>
      </c>
      <c r="K1242" s="13" t="str">
        <f>IFERROR(__xludf.DUMMYFUNCTION("IF(A1242="""","""",
   IF(F1242&gt;0,
      INDEX(FILTER('RE Portfolio'!L$2:L2000,'RE Portfolio'!D$2:D2000=""BUY""), INT((ROW()-2)/amortYears)+1) - G1242,
      INDEX(FILTER('RE Portfolio'!L$2:L2000,'RE Portfolio'!D$2:D2000=""BUY""), INT((ROW()-2)/amortYears"&amp;")+1)
   )
)
"),"")</f>
        <v/>
      </c>
      <c r="L1242" s="15" t="str">
        <f>IFERROR(__xludf.DUMMYFUNCTION("IF(A1242="""","""",
  INDEX(FILTER('RE Portfolio'!C$2:C2000,'RE Portfolio'!D$2:D2000=""BUY""), INT((ROW()-2)/amortYears)+1)
  * (1 + VALUE(Assumptions!$B$11))^(D1242-1)
)
"),"")</f>
        <v/>
      </c>
    </row>
    <row r="1243">
      <c r="A1243" s="15" t="str">
        <f>IFERROR(__xludf.DUMMYFUNCTION("IFERROR(INDEX(FILTER('RE Portfolio'!A$2:A2000,'RE Portfolio'!D$2:D2000=""BUY""), INT((ROW()-2)/amortYears)+1), )
"),"")</f>
        <v/>
      </c>
      <c r="B1243" s="15" t="str">
        <f>IFERROR(__xludf.DUMMYFUNCTION("IFERROR(INDEX(FILTER('RE Portfolio'!B$2:B2000,'RE Portfolio'!D$2:D2000=""BUY""), INT((ROW()-2)/amortYears)+1), )
"),"")</f>
        <v/>
      </c>
      <c r="C1243" s="15" t="str">
        <f>IFERROR(__xludf.DUMMYFUNCTION("IFERROR(INDEX(FILTER('RE Portfolio'!G$2:G2000,'RE Portfolio'!D$2:D2000=""BUY""), INT((ROW()-2)/amortYears)+1), )
"),"")</f>
        <v/>
      </c>
      <c r="D1243" s="15">
        <f>MOD(ROW()-2, amortYears)+1</f>
        <v>26</v>
      </c>
      <c r="E1243" s="15" t="str">
        <f t="shared" si="1"/>
        <v/>
      </c>
      <c r="F1243" s="16">
        <f t="shared" si="2"/>
        <v>0</v>
      </c>
      <c r="G1243" s="16">
        <f>IF(D1243&lt;=mortTerm, -PMT(mortRate/12, mortTerm*12, C1243)*12, 0)
</f>
        <v>0</v>
      </c>
      <c r="H1243" s="16">
        <f>IF(D1243&lt;=mortTerm, G1243 - I1243, 0)
</f>
        <v>0</v>
      </c>
      <c r="I1243" s="16">
        <f>IF(D1243&lt;=mortTerm, F1243 - J1243, 0)
</f>
        <v>0</v>
      </c>
      <c r="J1243" s="16">
        <f>IF(D1243&lt;=mortTerm,
   F1243*(1+mortRate/12)^12 - (-PMT(mortRate/12, mortTerm*12, C1243))*(((1+mortRate/12)^12 - 1)/(mortRate/12)),
   0
)
</f>
        <v>0</v>
      </c>
      <c r="K1243" s="13" t="str">
        <f>IFERROR(__xludf.DUMMYFUNCTION("IF(A1243="""","""",
   IF(F1243&gt;0,
      INDEX(FILTER('RE Portfolio'!L$2:L2000,'RE Portfolio'!D$2:D2000=""BUY""), INT((ROW()-2)/amortYears)+1) - G1243,
      INDEX(FILTER('RE Portfolio'!L$2:L2000,'RE Portfolio'!D$2:D2000=""BUY""), INT((ROW()-2)/amortYears"&amp;")+1)
   )
)
"),"")</f>
        <v/>
      </c>
      <c r="L1243" s="15" t="str">
        <f>IFERROR(__xludf.DUMMYFUNCTION("IF(A1243="""","""",
  INDEX(FILTER('RE Portfolio'!C$2:C2000,'RE Portfolio'!D$2:D2000=""BUY""), INT((ROW()-2)/amortYears)+1)
  * (1 + VALUE(Assumptions!$B$11))^(D1243-1)
)
"),"")</f>
        <v/>
      </c>
    </row>
    <row r="1244">
      <c r="A1244" s="15" t="str">
        <f>IFERROR(__xludf.DUMMYFUNCTION("IFERROR(INDEX(FILTER('RE Portfolio'!A$2:A2000,'RE Portfolio'!D$2:D2000=""BUY""), INT((ROW()-2)/amortYears)+1), )
"),"")</f>
        <v/>
      </c>
      <c r="B1244" s="15" t="str">
        <f>IFERROR(__xludf.DUMMYFUNCTION("IFERROR(INDEX(FILTER('RE Portfolio'!B$2:B2000,'RE Portfolio'!D$2:D2000=""BUY""), INT((ROW()-2)/amortYears)+1), )
"),"")</f>
        <v/>
      </c>
      <c r="C1244" s="15" t="str">
        <f>IFERROR(__xludf.DUMMYFUNCTION("IFERROR(INDEX(FILTER('RE Portfolio'!G$2:G2000,'RE Portfolio'!D$2:D2000=""BUY""), INT((ROW()-2)/amortYears)+1), )
"),"")</f>
        <v/>
      </c>
      <c r="D1244" s="15">
        <f>MOD(ROW()-2, amortYears)+1</f>
        <v>27</v>
      </c>
      <c r="E1244" s="15" t="str">
        <f t="shared" si="1"/>
        <v/>
      </c>
      <c r="F1244" s="16">
        <f t="shared" si="2"/>
        <v>0</v>
      </c>
      <c r="G1244" s="16">
        <f>IF(D1244&lt;=mortTerm, -PMT(mortRate/12, mortTerm*12, C1244)*12, 0)
</f>
        <v>0</v>
      </c>
      <c r="H1244" s="16">
        <f>IF(D1244&lt;=mortTerm, G1244 - I1244, 0)
</f>
        <v>0</v>
      </c>
      <c r="I1244" s="16">
        <f>IF(D1244&lt;=mortTerm, F1244 - J1244, 0)
</f>
        <v>0</v>
      </c>
      <c r="J1244" s="16">
        <f>IF(D1244&lt;=mortTerm,
   F1244*(1+mortRate/12)^12 - (-PMT(mortRate/12, mortTerm*12, C1244))*(((1+mortRate/12)^12 - 1)/(mortRate/12)),
   0
)
</f>
        <v>0</v>
      </c>
      <c r="K1244" s="13" t="str">
        <f>IFERROR(__xludf.DUMMYFUNCTION("IF(A1244="""","""",
   IF(F1244&gt;0,
      INDEX(FILTER('RE Portfolio'!L$2:L2000,'RE Portfolio'!D$2:D2000=""BUY""), INT((ROW()-2)/amortYears)+1) - G1244,
      INDEX(FILTER('RE Portfolio'!L$2:L2000,'RE Portfolio'!D$2:D2000=""BUY""), INT((ROW()-2)/amortYears"&amp;")+1)
   )
)
"),"")</f>
        <v/>
      </c>
      <c r="L1244" s="15" t="str">
        <f>IFERROR(__xludf.DUMMYFUNCTION("IF(A1244="""","""",
  INDEX(FILTER('RE Portfolio'!C$2:C2000,'RE Portfolio'!D$2:D2000=""BUY""), INT((ROW()-2)/amortYears)+1)
  * (1 + VALUE(Assumptions!$B$11))^(D1244-1)
)
"),"")</f>
        <v/>
      </c>
    </row>
    <row r="1245">
      <c r="A1245" s="15" t="str">
        <f>IFERROR(__xludf.DUMMYFUNCTION("IFERROR(INDEX(FILTER('RE Portfolio'!A$2:A2000,'RE Portfolio'!D$2:D2000=""BUY""), INT((ROW()-2)/amortYears)+1), )
"),"")</f>
        <v/>
      </c>
      <c r="B1245" s="15" t="str">
        <f>IFERROR(__xludf.DUMMYFUNCTION("IFERROR(INDEX(FILTER('RE Portfolio'!B$2:B2000,'RE Portfolio'!D$2:D2000=""BUY""), INT((ROW()-2)/amortYears)+1), )
"),"")</f>
        <v/>
      </c>
      <c r="C1245" s="15" t="str">
        <f>IFERROR(__xludf.DUMMYFUNCTION("IFERROR(INDEX(FILTER('RE Portfolio'!G$2:G2000,'RE Portfolio'!D$2:D2000=""BUY""), INT((ROW()-2)/amortYears)+1), )
"),"")</f>
        <v/>
      </c>
      <c r="D1245" s="15">
        <f>MOD(ROW()-2, amortYears)+1</f>
        <v>28</v>
      </c>
      <c r="E1245" s="15" t="str">
        <f t="shared" si="1"/>
        <v/>
      </c>
      <c r="F1245" s="16">
        <f t="shared" si="2"/>
        <v>0</v>
      </c>
      <c r="G1245" s="16">
        <f>IF(D1245&lt;=mortTerm, -PMT(mortRate/12, mortTerm*12, C1245)*12, 0)
</f>
        <v>0</v>
      </c>
      <c r="H1245" s="16">
        <f>IF(D1245&lt;=mortTerm, G1245 - I1245, 0)
</f>
        <v>0</v>
      </c>
      <c r="I1245" s="16">
        <f>IF(D1245&lt;=mortTerm, F1245 - J1245, 0)
</f>
        <v>0</v>
      </c>
      <c r="J1245" s="16">
        <f>IF(D1245&lt;=mortTerm,
   F1245*(1+mortRate/12)^12 - (-PMT(mortRate/12, mortTerm*12, C1245))*(((1+mortRate/12)^12 - 1)/(mortRate/12)),
   0
)
</f>
        <v>0</v>
      </c>
      <c r="K1245" s="13" t="str">
        <f>IFERROR(__xludf.DUMMYFUNCTION("IF(A1245="""","""",
   IF(F1245&gt;0,
      INDEX(FILTER('RE Portfolio'!L$2:L2000,'RE Portfolio'!D$2:D2000=""BUY""), INT((ROW()-2)/amortYears)+1) - G1245,
      INDEX(FILTER('RE Portfolio'!L$2:L2000,'RE Portfolio'!D$2:D2000=""BUY""), INT((ROW()-2)/amortYears"&amp;")+1)
   )
)
"),"")</f>
        <v/>
      </c>
      <c r="L1245" s="15" t="str">
        <f>IFERROR(__xludf.DUMMYFUNCTION("IF(A1245="""","""",
  INDEX(FILTER('RE Portfolio'!C$2:C2000,'RE Portfolio'!D$2:D2000=""BUY""), INT((ROW()-2)/amortYears)+1)
  * (1 + VALUE(Assumptions!$B$11))^(D1245-1)
)
"),"")</f>
        <v/>
      </c>
    </row>
    <row r="1246">
      <c r="A1246" s="15" t="str">
        <f>IFERROR(__xludf.DUMMYFUNCTION("IFERROR(INDEX(FILTER('RE Portfolio'!A$2:A2000,'RE Portfolio'!D$2:D2000=""BUY""), INT((ROW()-2)/amortYears)+1), )
"),"")</f>
        <v/>
      </c>
      <c r="B1246" s="15" t="str">
        <f>IFERROR(__xludf.DUMMYFUNCTION("IFERROR(INDEX(FILTER('RE Portfolio'!B$2:B2000,'RE Portfolio'!D$2:D2000=""BUY""), INT((ROW()-2)/amortYears)+1), )
"),"")</f>
        <v/>
      </c>
      <c r="C1246" s="15" t="str">
        <f>IFERROR(__xludf.DUMMYFUNCTION("IFERROR(INDEX(FILTER('RE Portfolio'!G$2:G2000,'RE Portfolio'!D$2:D2000=""BUY""), INT((ROW()-2)/amortYears)+1), )
"),"")</f>
        <v/>
      </c>
      <c r="D1246" s="15">
        <f>MOD(ROW()-2, amortYears)+1</f>
        <v>29</v>
      </c>
      <c r="E1246" s="15" t="str">
        <f t="shared" si="1"/>
        <v/>
      </c>
      <c r="F1246" s="16">
        <f t="shared" si="2"/>
        <v>0</v>
      </c>
      <c r="G1246" s="16">
        <f>IF(D1246&lt;=mortTerm, -PMT(mortRate/12, mortTerm*12, C1246)*12, 0)
</f>
        <v>0</v>
      </c>
      <c r="H1246" s="16">
        <f>IF(D1246&lt;=mortTerm, G1246 - I1246, 0)
</f>
        <v>0</v>
      </c>
      <c r="I1246" s="16">
        <f>IF(D1246&lt;=mortTerm, F1246 - J1246, 0)
</f>
        <v>0</v>
      </c>
      <c r="J1246" s="16">
        <f>IF(D1246&lt;=mortTerm,
   F1246*(1+mortRate/12)^12 - (-PMT(mortRate/12, mortTerm*12, C1246))*(((1+mortRate/12)^12 - 1)/(mortRate/12)),
   0
)
</f>
        <v>0</v>
      </c>
      <c r="K1246" s="13" t="str">
        <f>IFERROR(__xludf.DUMMYFUNCTION("IF(A1246="""","""",
   IF(F1246&gt;0,
      INDEX(FILTER('RE Portfolio'!L$2:L2000,'RE Portfolio'!D$2:D2000=""BUY""), INT((ROW()-2)/amortYears)+1) - G1246,
      INDEX(FILTER('RE Portfolio'!L$2:L2000,'RE Portfolio'!D$2:D2000=""BUY""), INT((ROW()-2)/amortYears"&amp;")+1)
   )
)
"),"")</f>
        <v/>
      </c>
      <c r="L1246" s="15" t="str">
        <f>IFERROR(__xludf.DUMMYFUNCTION("IF(A1246="""","""",
  INDEX(FILTER('RE Portfolio'!C$2:C2000,'RE Portfolio'!D$2:D2000=""BUY""), INT((ROW()-2)/amortYears)+1)
  * (1 + VALUE(Assumptions!$B$11))^(D1246-1)
)
"),"")</f>
        <v/>
      </c>
    </row>
    <row r="1247">
      <c r="A1247" s="15" t="str">
        <f>IFERROR(__xludf.DUMMYFUNCTION("IFERROR(INDEX(FILTER('RE Portfolio'!A$2:A2000,'RE Portfolio'!D$2:D2000=""BUY""), INT((ROW()-2)/amortYears)+1), )
"),"")</f>
        <v/>
      </c>
      <c r="B1247" s="15" t="str">
        <f>IFERROR(__xludf.DUMMYFUNCTION("IFERROR(INDEX(FILTER('RE Portfolio'!B$2:B2000,'RE Portfolio'!D$2:D2000=""BUY""), INT((ROW()-2)/amortYears)+1), )
"),"")</f>
        <v/>
      </c>
      <c r="C1247" s="15" t="str">
        <f>IFERROR(__xludf.DUMMYFUNCTION("IFERROR(INDEX(FILTER('RE Portfolio'!G$2:G2000,'RE Portfolio'!D$2:D2000=""BUY""), INT((ROW()-2)/amortYears)+1), )
"),"")</f>
        <v/>
      </c>
      <c r="D1247" s="15">
        <f>MOD(ROW()-2, amortYears)+1</f>
        <v>30</v>
      </c>
      <c r="E1247" s="15" t="str">
        <f t="shared" si="1"/>
        <v/>
      </c>
      <c r="F1247" s="16">
        <f t="shared" si="2"/>
        <v>0</v>
      </c>
      <c r="G1247" s="16">
        <f>IF(D1247&lt;=mortTerm, -PMT(mortRate/12, mortTerm*12, C1247)*12, 0)
</f>
        <v>0</v>
      </c>
      <c r="H1247" s="16">
        <f>IF(D1247&lt;=mortTerm, G1247 - I1247, 0)
</f>
        <v>0</v>
      </c>
      <c r="I1247" s="16">
        <f>IF(D1247&lt;=mortTerm, F1247 - J1247, 0)
</f>
        <v>0</v>
      </c>
      <c r="J1247" s="16">
        <f>IF(D1247&lt;=mortTerm,
   F1247*(1+mortRate/12)^12 - (-PMT(mortRate/12, mortTerm*12, C1247))*(((1+mortRate/12)^12 - 1)/(mortRate/12)),
   0
)
</f>
        <v>0</v>
      </c>
      <c r="K1247" s="13" t="str">
        <f>IFERROR(__xludf.DUMMYFUNCTION("IF(A1247="""","""",
   IF(F1247&gt;0,
      INDEX(FILTER('RE Portfolio'!L$2:L2000,'RE Portfolio'!D$2:D2000=""BUY""), INT((ROW()-2)/amortYears)+1) - G1247,
      INDEX(FILTER('RE Portfolio'!L$2:L2000,'RE Portfolio'!D$2:D2000=""BUY""), INT((ROW()-2)/amortYears"&amp;")+1)
   )
)
"),"")</f>
        <v/>
      </c>
      <c r="L1247" s="15" t="str">
        <f>IFERROR(__xludf.DUMMYFUNCTION("IF(A1247="""","""",
  INDEX(FILTER('RE Portfolio'!C$2:C2000,'RE Portfolio'!D$2:D2000=""BUY""), INT((ROW()-2)/amortYears)+1)
  * (1 + VALUE(Assumptions!$B$11))^(D1247-1)
)
"),"")</f>
        <v/>
      </c>
    </row>
    <row r="1248">
      <c r="A1248" s="15" t="str">
        <f>IFERROR(__xludf.DUMMYFUNCTION("IFERROR(INDEX(FILTER('RE Portfolio'!A$2:A2000,'RE Portfolio'!D$2:D2000=""BUY""), INT((ROW()-2)/amortYears)+1), )
"),"")</f>
        <v/>
      </c>
      <c r="B1248" s="15" t="str">
        <f>IFERROR(__xludf.DUMMYFUNCTION("IFERROR(INDEX(FILTER('RE Portfolio'!B$2:B2000,'RE Portfolio'!D$2:D2000=""BUY""), INT((ROW()-2)/amortYears)+1), )
"),"")</f>
        <v/>
      </c>
      <c r="C1248" s="15" t="str">
        <f>IFERROR(__xludf.DUMMYFUNCTION("IFERROR(INDEX(FILTER('RE Portfolio'!G$2:G2000,'RE Portfolio'!D$2:D2000=""BUY""), INT((ROW()-2)/amortYears)+1), )
"),"")</f>
        <v/>
      </c>
      <c r="D1248" s="15">
        <f>MOD(ROW()-2, amortYears)+1</f>
        <v>31</v>
      </c>
      <c r="E1248" s="15" t="str">
        <f t="shared" si="1"/>
        <v/>
      </c>
      <c r="F1248" s="16">
        <f t="shared" si="2"/>
        <v>0</v>
      </c>
      <c r="G1248" s="15">
        <f>IF(D1248&lt;=mortTerm, -PMT(mortRate/12, mortTerm*12, C1248)*12, 0)
</f>
        <v>0</v>
      </c>
      <c r="H1248" s="15">
        <f>IF(D1248&lt;=mortTerm, G1248 - I1248, 0)
</f>
        <v>0</v>
      </c>
      <c r="I1248" s="15">
        <f>IF(D1248&lt;=mortTerm, F1248 - J1248, 0)
</f>
        <v>0</v>
      </c>
      <c r="J1248" s="15">
        <f>IF(D1248&lt;=mortTerm,
   F1248*(1+mortRate/12)^12 - (-PMT(mortRate/12, mortTerm*12, C1248))*(((1+mortRate/12)^12 - 1)/(mortRate/12)),
   0
)
</f>
        <v>0</v>
      </c>
      <c r="K1248" s="13" t="str">
        <f>IFERROR(__xludf.DUMMYFUNCTION("IF(A1248="""","""",
   IF(F1248&gt;0,
      INDEX(FILTER('RE Portfolio'!L$2:L2000,'RE Portfolio'!D$2:D2000=""BUY""), INT((ROW()-2)/amortYears)+1) - G1248,
      INDEX(FILTER('RE Portfolio'!L$2:L2000,'RE Portfolio'!D$2:D2000=""BUY""), INT((ROW()-2)/amortYears"&amp;")+1)
   )
)
"),"")</f>
        <v/>
      </c>
      <c r="L1248" s="15" t="str">
        <f>IFERROR(__xludf.DUMMYFUNCTION("IF(A1248="""","""",
  INDEX(FILTER('RE Portfolio'!C$2:C2000,'RE Portfolio'!D$2:D2000=""BUY""), INT((ROW()-2)/amortYears)+1)
  * (1 + VALUE(Assumptions!$B$11))^(D1248-1)
)
"),"")</f>
        <v/>
      </c>
    </row>
    <row r="1249">
      <c r="A1249" s="15" t="str">
        <f>IFERROR(__xludf.DUMMYFUNCTION("IFERROR(INDEX(FILTER('RE Portfolio'!A$2:A2000,'RE Portfolio'!D$2:D2000=""BUY""), INT((ROW()-2)/amortYears)+1), )
"),"")</f>
        <v/>
      </c>
      <c r="B1249" s="15" t="str">
        <f>IFERROR(__xludf.DUMMYFUNCTION("IFERROR(INDEX(FILTER('RE Portfolio'!B$2:B2000,'RE Portfolio'!D$2:D2000=""BUY""), INT((ROW()-2)/amortYears)+1), )
"),"")</f>
        <v/>
      </c>
      <c r="C1249" s="15" t="str">
        <f>IFERROR(__xludf.DUMMYFUNCTION("IFERROR(INDEX(FILTER('RE Portfolio'!G$2:G2000,'RE Portfolio'!D$2:D2000=""BUY""), INT((ROW()-2)/amortYears)+1), )
"),"")</f>
        <v/>
      </c>
      <c r="D1249" s="15">
        <f>MOD(ROW()-2, amortYears)+1</f>
        <v>32</v>
      </c>
      <c r="E1249" s="15" t="str">
        <f t="shared" si="1"/>
        <v/>
      </c>
      <c r="F1249" s="15">
        <f t="shared" si="2"/>
        <v>0</v>
      </c>
      <c r="G1249" s="15">
        <f>IF(D1249&lt;=mortTerm, -PMT(mortRate/12, mortTerm*12, C1249)*12, 0)
</f>
        <v>0</v>
      </c>
      <c r="H1249" s="15">
        <f>IF(D1249&lt;=mortTerm, G1249 - I1249, 0)
</f>
        <v>0</v>
      </c>
      <c r="I1249" s="15">
        <f>IF(D1249&lt;=mortTerm, F1249 - J1249, 0)
</f>
        <v>0</v>
      </c>
      <c r="J1249" s="15">
        <f>IF(D1249&lt;=mortTerm,
   F1249*(1+mortRate/12)^12 - (-PMT(mortRate/12, mortTerm*12, C1249))*(((1+mortRate/12)^12 - 1)/(mortRate/12)),
   0
)
</f>
        <v>0</v>
      </c>
      <c r="K1249" s="13" t="str">
        <f>IFERROR(__xludf.DUMMYFUNCTION("IF(A1249="""","""",
   IF(F1249&gt;0,
      INDEX(FILTER('RE Portfolio'!L$2:L2000,'RE Portfolio'!D$2:D2000=""BUY""), INT((ROW()-2)/amortYears)+1) - G1249,
      INDEX(FILTER('RE Portfolio'!L$2:L2000,'RE Portfolio'!D$2:D2000=""BUY""), INT((ROW()-2)/amortYears"&amp;")+1)
   )
)
"),"")</f>
        <v/>
      </c>
      <c r="L1249" s="15" t="str">
        <f>IFERROR(__xludf.DUMMYFUNCTION("IF(A1249="""","""",
  INDEX(FILTER('RE Portfolio'!C$2:C2000,'RE Portfolio'!D$2:D2000=""BUY""), INT((ROW()-2)/amortYears)+1)
  * (1 + VALUE(Assumptions!$B$11))^(D1249-1)
)
"),"")</f>
        <v/>
      </c>
    </row>
    <row r="1250">
      <c r="A1250" s="15" t="str">
        <f>IFERROR(__xludf.DUMMYFUNCTION("IFERROR(INDEX(FILTER('RE Portfolio'!A$2:A2000,'RE Portfolio'!D$2:D2000=""BUY""), INT((ROW()-2)/amortYears)+1), )
"),"")</f>
        <v/>
      </c>
      <c r="B1250" s="15" t="str">
        <f>IFERROR(__xludf.DUMMYFUNCTION("IFERROR(INDEX(FILTER('RE Portfolio'!B$2:B2000,'RE Portfolio'!D$2:D2000=""BUY""), INT((ROW()-2)/amortYears)+1), )
"),"")</f>
        <v/>
      </c>
      <c r="C1250" s="15" t="str">
        <f>IFERROR(__xludf.DUMMYFUNCTION("IFERROR(INDEX(FILTER('RE Portfolio'!G$2:G2000,'RE Portfolio'!D$2:D2000=""BUY""), INT((ROW()-2)/amortYears)+1), )
"),"")</f>
        <v/>
      </c>
      <c r="D1250" s="15">
        <f>MOD(ROW()-2, amortYears)+1</f>
        <v>33</v>
      </c>
      <c r="E1250" s="15" t="str">
        <f t="shared" si="1"/>
        <v/>
      </c>
      <c r="F1250" s="15">
        <f t="shared" si="2"/>
        <v>0</v>
      </c>
      <c r="G1250" s="15">
        <f>IF(D1250&lt;=mortTerm, -PMT(mortRate/12, mortTerm*12, C1250)*12, 0)
</f>
        <v>0</v>
      </c>
      <c r="H1250" s="15">
        <f>IF(D1250&lt;=mortTerm, G1250 - I1250, 0)
</f>
        <v>0</v>
      </c>
      <c r="I1250" s="15">
        <f>IF(D1250&lt;=mortTerm, F1250 - J1250, 0)
</f>
        <v>0</v>
      </c>
      <c r="J1250" s="15">
        <f>IF(D1250&lt;=mortTerm,
   F1250*(1+mortRate/12)^12 - (-PMT(mortRate/12, mortTerm*12, C1250))*(((1+mortRate/12)^12 - 1)/(mortRate/12)),
   0
)
</f>
        <v>0</v>
      </c>
      <c r="K1250" s="13" t="str">
        <f>IFERROR(__xludf.DUMMYFUNCTION("IF(A1250="""","""",
   IF(F1250&gt;0,
      INDEX(FILTER('RE Portfolio'!L$2:L2000,'RE Portfolio'!D$2:D2000=""BUY""), INT((ROW()-2)/amortYears)+1) - G1250,
      INDEX(FILTER('RE Portfolio'!L$2:L2000,'RE Portfolio'!D$2:D2000=""BUY""), INT((ROW()-2)/amortYears"&amp;")+1)
   )
)
"),"")</f>
        <v/>
      </c>
      <c r="L1250" s="15" t="str">
        <f>IFERROR(__xludf.DUMMYFUNCTION("IF(A1250="""","""",
  INDEX(FILTER('RE Portfolio'!C$2:C2000,'RE Portfolio'!D$2:D2000=""BUY""), INT((ROW()-2)/amortYears)+1)
  * (1 + VALUE(Assumptions!$B$11))^(D1250-1)
)
"),"")</f>
        <v/>
      </c>
    </row>
    <row r="1251">
      <c r="A1251" s="15" t="str">
        <f>IFERROR(__xludf.DUMMYFUNCTION("IFERROR(INDEX(FILTER('RE Portfolio'!A$2:A2000,'RE Portfolio'!D$2:D2000=""BUY""), INT((ROW()-2)/amortYears)+1), )
"),"")</f>
        <v/>
      </c>
      <c r="B1251" s="15" t="str">
        <f>IFERROR(__xludf.DUMMYFUNCTION("IFERROR(INDEX(FILTER('RE Portfolio'!B$2:B2000,'RE Portfolio'!D$2:D2000=""BUY""), INT((ROW()-2)/amortYears)+1), )
"),"")</f>
        <v/>
      </c>
      <c r="C1251" s="15" t="str">
        <f>IFERROR(__xludf.DUMMYFUNCTION("IFERROR(INDEX(FILTER('RE Portfolio'!G$2:G2000,'RE Portfolio'!D$2:D2000=""BUY""), INT((ROW()-2)/amortYears)+1), )
"),"")</f>
        <v/>
      </c>
      <c r="D1251" s="15">
        <f>MOD(ROW()-2, amortYears)+1</f>
        <v>34</v>
      </c>
      <c r="E1251" s="15" t="str">
        <f t="shared" si="1"/>
        <v/>
      </c>
      <c r="F1251" s="15">
        <f t="shared" si="2"/>
        <v>0</v>
      </c>
      <c r="G1251" s="15">
        <f>IF(D1251&lt;=mortTerm, -PMT(mortRate/12, mortTerm*12, C1251)*12, 0)
</f>
        <v>0</v>
      </c>
      <c r="H1251" s="15">
        <f>IF(D1251&lt;=mortTerm, G1251 - I1251, 0)
</f>
        <v>0</v>
      </c>
      <c r="I1251" s="15">
        <f>IF(D1251&lt;=mortTerm, F1251 - J1251, 0)
</f>
        <v>0</v>
      </c>
      <c r="J1251" s="15">
        <f>IF(D1251&lt;=mortTerm,
   F1251*(1+mortRate/12)^12 - (-PMT(mortRate/12, mortTerm*12, C1251))*(((1+mortRate/12)^12 - 1)/(mortRate/12)),
   0
)
</f>
        <v>0</v>
      </c>
      <c r="K1251" s="13" t="str">
        <f>IFERROR(__xludf.DUMMYFUNCTION("IF(A1251="""","""",
   IF(F1251&gt;0,
      INDEX(FILTER('RE Portfolio'!L$2:L2000,'RE Portfolio'!D$2:D2000=""BUY""), INT((ROW()-2)/amortYears)+1) - G1251,
      INDEX(FILTER('RE Portfolio'!L$2:L2000,'RE Portfolio'!D$2:D2000=""BUY""), INT((ROW()-2)/amortYears"&amp;")+1)
   )
)
"),"")</f>
        <v/>
      </c>
      <c r="L1251" s="15" t="str">
        <f>IFERROR(__xludf.DUMMYFUNCTION("IF(A1251="""","""",
  INDEX(FILTER('RE Portfolio'!C$2:C2000,'RE Portfolio'!D$2:D2000=""BUY""), INT((ROW()-2)/amortYears)+1)
  * (1 + VALUE(Assumptions!$B$11))^(D1251-1)
)
"),"")</f>
        <v/>
      </c>
    </row>
    <row r="1252">
      <c r="A1252" s="15" t="str">
        <f>IFERROR(__xludf.DUMMYFUNCTION("IFERROR(INDEX(FILTER('RE Portfolio'!A$2:A2000,'RE Portfolio'!D$2:D2000=""BUY""), INT((ROW()-2)/amortYears)+1), )
"),"")</f>
        <v/>
      </c>
      <c r="B1252" s="15" t="str">
        <f>IFERROR(__xludf.DUMMYFUNCTION("IFERROR(INDEX(FILTER('RE Portfolio'!B$2:B2000,'RE Portfolio'!D$2:D2000=""BUY""), INT((ROW()-2)/amortYears)+1), )
"),"")</f>
        <v/>
      </c>
      <c r="C1252" s="15" t="str">
        <f>IFERROR(__xludf.DUMMYFUNCTION("IFERROR(INDEX(FILTER('RE Portfolio'!G$2:G2000,'RE Portfolio'!D$2:D2000=""BUY""), INT((ROW()-2)/amortYears)+1), )
"),"")</f>
        <v/>
      </c>
      <c r="D1252" s="15">
        <f>MOD(ROW()-2, amortYears)+1</f>
        <v>35</v>
      </c>
      <c r="E1252" s="15" t="str">
        <f t="shared" si="1"/>
        <v/>
      </c>
      <c r="F1252" s="15">
        <f t="shared" si="2"/>
        <v>0</v>
      </c>
      <c r="G1252" s="15">
        <f>IF(D1252&lt;=mortTerm, -PMT(mortRate/12, mortTerm*12, C1252)*12, 0)
</f>
        <v>0</v>
      </c>
      <c r="H1252" s="15">
        <f>IF(D1252&lt;=mortTerm, G1252 - I1252, 0)
</f>
        <v>0</v>
      </c>
      <c r="I1252" s="15">
        <f>IF(D1252&lt;=mortTerm, F1252 - J1252, 0)
</f>
        <v>0</v>
      </c>
      <c r="J1252" s="15">
        <f>IF(D1252&lt;=mortTerm,
   F1252*(1+mortRate/12)^12 - (-PMT(mortRate/12, mortTerm*12, C1252))*(((1+mortRate/12)^12 - 1)/(mortRate/12)),
   0
)
</f>
        <v>0</v>
      </c>
      <c r="K1252" s="13" t="str">
        <f>IFERROR(__xludf.DUMMYFUNCTION("IF(A1252="""","""",
   IF(F1252&gt;0,
      INDEX(FILTER('RE Portfolio'!L$2:L2000,'RE Portfolio'!D$2:D2000=""BUY""), INT((ROW()-2)/amortYears)+1) - G1252,
      INDEX(FILTER('RE Portfolio'!L$2:L2000,'RE Portfolio'!D$2:D2000=""BUY""), INT((ROW()-2)/amortYears"&amp;")+1)
   )
)
"),"")</f>
        <v/>
      </c>
      <c r="L1252" s="15" t="str">
        <f>IFERROR(__xludf.DUMMYFUNCTION("IF(A1252="""","""",
  INDEX(FILTER('RE Portfolio'!C$2:C2000,'RE Portfolio'!D$2:D2000=""BUY""), INT((ROW()-2)/amortYears)+1)
  * (1 + VALUE(Assumptions!$B$11))^(D1252-1)
)
"),"")</f>
        <v/>
      </c>
    </row>
    <row r="1253">
      <c r="A1253" s="15" t="str">
        <f>IFERROR(__xludf.DUMMYFUNCTION("IFERROR(INDEX(FILTER('RE Portfolio'!A$2:A2000,'RE Portfolio'!D$2:D2000=""BUY""), INT((ROW()-2)/amortYears)+1), )
"),"")</f>
        <v/>
      </c>
      <c r="B1253" s="15" t="str">
        <f>IFERROR(__xludf.DUMMYFUNCTION("IFERROR(INDEX(FILTER('RE Portfolio'!B$2:B2000,'RE Portfolio'!D$2:D2000=""BUY""), INT((ROW()-2)/amortYears)+1), )
"),"")</f>
        <v/>
      </c>
      <c r="C1253" s="15" t="str">
        <f>IFERROR(__xludf.DUMMYFUNCTION("IFERROR(INDEX(FILTER('RE Portfolio'!G$2:G2000,'RE Portfolio'!D$2:D2000=""BUY""), INT((ROW()-2)/amortYears)+1), )
"),"")</f>
        <v/>
      </c>
      <c r="D1253" s="15">
        <f>MOD(ROW()-2, amortYears)+1</f>
        <v>36</v>
      </c>
      <c r="E1253" s="15" t="str">
        <f t="shared" si="1"/>
        <v/>
      </c>
      <c r="F1253" s="15">
        <f t="shared" si="2"/>
        <v>0</v>
      </c>
      <c r="G1253" s="15">
        <f>IF(D1253&lt;=mortTerm, -PMT(mortRate/12, mortTerm*12, C1253)*12, 0)
</f>
        <v>0</v>
      </c>
      <c r="H1253" s="15">
        <f>IF(D1253&lt;=mortTerm, G1253 - I1253, 0)
</f>
        <v>0</v>
      </c>
      <c r="I1253" s="15">
        <f>IF(D1253&lt;=mortTerm, F1253 - J1253, 0)
</f>
        <v>0</v>
      </c>
      <c r="J1253" s="15">
        <f>IF(D1253&lt;=mortTerm,
   F1253*(1+mortRate/12)^12 - (-PMT(mortRate/12, mortTerm*12, C1253))*(((1+mortRate/12)^12 - 1)/(mortRate/12)),
   0
)
</f>
        <v>0</v>
      </c>
      <c r="K1253" s="13" t="str">
        <f>IFERROR(__xludf.DUMMYFUNCTION("IF(A1253="""","""",
   IF(F1253&gt;0,
      INDEX(FILTER('RE Portfolio'!L$2:L2000,'RE Portfolio'!D$2:D2000=""BUY""), INT((ROW()-2)/amortYears)+1) - G1253,
      INDEX(FILTER('RE Portfolio'!L$2:L2000,'RE Portfolio'!D$2:D2000=""BUY""), INT((ROW()-2)/amortYears"&amp;")+1)
   )
)
"),"")</f>
        <v/>
      </c>
      <c r="L1253" s="15" t="str">
        <f>IFERROR(__xludf.DUMMYFUNCTION("IF(A1253="""","""",
  INDEX(FILTER('RE Portfolio'!C$2:C2000,'RE Portfolio'!D$2:D2000=""BUY""), INT((ROW()-2)/amortYears)+1)
  * (1 + VALUE(Assumptions!$B$11))^(D1253-1)
)
"),"")</f>
        <v/>
      </c>
    </row>
    <row r="1254">
      <c r="A1254" s="15" t="str">
        <f>IFERROR(__xludf.DUMMYFUNCTION("IFERROR(INDEX(FILTER('RE Portfolio'!A$2:A2000,'RE Portfolio'!D$2:D2000=""BUY""), INT((ROW()-2)/amortYears)+1), )
"),"")</f>
        <v/>
      </c>
      <c r="B1254" s="15" t="str">
        <f>IFERROR(__xludf.DUMMYFUNCTION("IFERROR(INDEX(FILTER('RE Portfolio'!B$2:B2000,'RE Portfolio'!D$2:D2000=""BUY""), INT((ROW()-2)/amortYears)+1), )
"),"")</f>
        <v/>
      </c>
      <c r="C1254" s="15" t="str">
        <f>IFERROR(__xludf.DUMMYFUNCTION("IFERROR(INDEX(FILTER('RE Portfolio'!G$2:G2000,'RE Portfolio'!D$2:D2000=""BUY""), INT((ROW()-2)/amortYears)+1), )
"),"")</f>
        <v/>
      </c>
      <c r="D1254" s="15">
        <f>MOD(ROW()-2, amortYears)+1</f>
        <v>37</v>
      </c>
      <c r="E1254" s="15" t="str">
        <f t="shared" si="1"/>
        <v/>
      </c>
      <c r="F1254" s="15">
        <f t="shared" si="2"/>
        <v>0</v>
      </c>
      <c r="G1254" s="15">
        <f>IF(D1254&lt;=mortTerm, -PMT(mortRate/12, mortTerm*12, C1254)*12, 0)
</f>
        <v>0</v>
      </c>
      <c r="H1254" s="15">
        <f>IF(D1254&lt;=mortTerm, G1254 - I1254, 0)
</f>
        <v>0</v>
      </c>
      <c r="I1254" s="15">
        <f>IF(D1254&lt;=mortTerm, F1254 - J1254, 0)
</f>
        <v>0</v>
      </c>
      <c r="J1254" s="15">
        <f>IF(D1254&lt;=mortTerm,
   F1254*(1+mortRate/12)^12 - (-PMT(mortRate/12, mortTerm*12, C1254))*(((1+mortRate/12)^12 - 1)/(mortRate/12)),
   0
)
</f>
        <v>0</v>
      </c>
      <c r="K1254" s="13" t="str">
        <f>IFERROR(__xludf.DUMMYFUNCTION("IF(A1254="""","""",
   IF(F1254&gt;0,
      INDEX(FILTER('RE Portfolio'!L$2:L2000,'RE Portfolio'!D$2:D2000=""BUY""), INT((ROW()-2)/amortYears)+1) - G1254,
      INDEX(FILTER('RE Portfolio'!L$2:L2000,'RE Portfolio'!D$2:D2000=""BUY""), INT((ROW()-2)/amortYears"&amp;")+1)
   )
)
"),"")</f>
        <v/>
      </c>
      <c r="L1254" s="15" t="str">
        <f>IFERROR(__xludf.DUMMYFUNCTION("IF(A1254="""","""",
  INDEX(FILTER('RE Portfolio'!C$2:C2000,'RE Portfolio'!D$2:D2000=""BUY""), INT((ROW()-2)/amortYears)+1)
  * (1 + VALUE(Assumptions!$B$11))^(D1254-1)
)
"),"")</f>
        <v/>
      </c>
    </row>
    <row r="1255">
      <c r="A1255" s="15" t="str">
        <f>IFERROR(__xludf.DUMMYFUNCTION("IFERROR(INDEX(FILTER('RE Portfolio'!A$2:A2000,'RE Portfolio'!D$2:D2000=""BUY""), INT((ROW()-2)/amortYears)+1), )
"),"")</f>
        <v/>
      </c>
      <c r="B1255" s="15" t="str">
        <f>IFERROR(__xludf.DUMMYFUNCTION("IFERROR(INDEX(FILTER('RE Portfolio'!B$2:B2000,'RE Portfolio'!D$2:D2000=""BUY""), INT((ROW()-2)/amortYears)+1), )
"),"")</f>
        <v/>
      </c>
      <c r="C1255" s="15" t="str">
        <f>IFERROR(__xludf.DUMMYFUNCTION("IFERROR(INDEX(FILTER('RE Portfolio'!G$2:G2000,'RE Portfolio'!D$2:D2000=""BUY""), INT((ROW()-2)/amortYears)+1), )
"),"")</f>
        <v/>
      </c>
      <c r="D1255" s="15">
        <f>MOD(ROW()-2, amortYears)+1</f>
        <v>38</v>
      </c>
      <c r="E1255" s="15" t="str">
        <f t="shared" si="1"/>
        <v/>
      </c>
      <c r="F1255" s="15">
        <f t="shared" si="2"/>
        <v>0</v>
      </c>
      <c r="G1255" s="15">
        <f>IF(D1255&lt;=mortTerm, -PMT(mortRate/12, mortTerm*12, C1255)*12, 0)
</f>
        <v>0</v>
      </c>
      <c r="H1255" s="15">
        <f>IF(D1255&lt;=mortTerm, G1255 - I1255, 0)
</f>
        <v>0</v>
      </c>
      <c r="I1255" s="15">
        <f>IF(D1255&lt;=mortTerm, F1255 - J1255, 0)
</f>
        <v>0</v>
      </c>
      <c r="J1255" s="15">
        <f>IF(D1255&lt;=mortTerm,
   F1255*(1+mortRate/12)^12 - (-PMT(mortRate/12, mortTerm*12, C1255))*(((1+mortRate/12)^12 - 1)/(mortRate/12)),
   0
)
</f>
        <v>0</v>
      </c>
      <c r="K1255" s="13" t="str">
        <f>IFERROR(__xludf.DUMMYFUNCTION("IF(A1255="""","""",
   IF(F1255&gt;0,
      INDEX(FILTER('RE Portfolio'!L$2:L2000,'RE Portfolio'!D$2:D2000=""BUY""), INT((ROW()-2)/amortYears)+1) - G1255,
      INDEX(FILTER('RE Portfolio'!L$2:L2000,'RE Portfolio'!D$2:D2000=""BUY""), INT((ROW()-2)/amortYears"&amp;")+1)
   )
)
"),"")</f>
        <v/>
      </c>
      <c r="L1255" s="15" t="str">
        <f>IFERROR(__xludf.DUMMYFUNCTION("IF(A1255="""","""",
  INDEX(FILTER('RE Portfolio'!C$2:C2000,'RE Portfolio'!D$2:D2000=""BUY""), INT((ROW()-2)/amortYears)+1)
  * (1 + VALUE(Assumptions!$B$11))^(D1255-1)
)
"),"")</f>
        <v/>
      </c>
    </row>
    <row r="1256">
      <c r="A1256" s="15" t="str">
        <f>IFERROR(__xludf.DUMMYFUNCTION("IFERROR(INDEX(FILTER('RE Portfolio'!A$2:A2000,'RE Portfolio'!D$2:D2000=""BUY""), INT((ROW()-2)/amortYears)+1), )
"),"")</f>
        <v/>
      </c>
      <c r="B1256" s="15" t="str">
        <f>IFERROR(__xludf.DUMMYFUNCTION("IFERROR(INDEX(FILTER('RE Portfolio'!B$2:B2000,'RE Portfolio'!D$2:D2000=""BUY""), INT((ROW()-2)/amortYears)+1), )
"),"")</f>
        <v/>
      </c>
      <c r="C1256" s="15" t="str">
        <f>IFERROR(__xludf.DUMMYFUNCTION("IFERROR(INDEX(FILTER('RE Portfolio'!G$2:G2000,'RE Portfolio'!D$2:D2000=""BUY""), INT((ROW()-2)/amortYears)+1), )
"),"")</f>
        <v/>
      </c>
      <c r="D1256" s="15">
        <f>MOD(ROW()-2, amortYears)+1</f>
        <v>1</v>
      </c>
      <c r="E1256" s="15" t="str">
        <f t="shared" si="1"/>
        <v/>
      </c>
      <c r="F1256" s="15" t="str">
        <f t="shared" si="2"/>
        <v/>
      </c>
      <c r="G1256" s="16">
        <f>IF(D1256&lt;=mortTerm, -PMT(mortRate/12, mortTerm*12, C1256)*12, 0)
</f>
        <v>0</v>
      </c>
      <c r="H1256" s="16">
        <f>IF(D1256&lt;=mortTerm, G1256 - I1256, 0)
</f>
        <v>0</v>
      </c>
      <c r="I1256" s="16">
        <f>IF(D1256&lt;=mortTerm, F1256 - J1256, 0)
</f>
        <v>0</v>
      </c>
      <c r="J1256" s="16">
        <f>IF(D1256&lt;=mortTerm,
   F1256*(1+mortRate/12)^12 - (-PMT(mortRate/12, mortTerm*12, C1256))*(((1+mortRate/12)^12 - 1)/(mortRate/12)),
   0
)
</f>
        <v>0</v>
      </c>
      <c r="K1256" s="13" t="str">
        <f>IFERROR(__xludf.DUMMYFUNCTION("IF(A1256="""","""",
   IF(F1256&gt;0,
      INDEX(FILTER('RE Portfolio'!L$2:L2000,'RE Portfolio'!D$2:D2000=""BUY""), INT((ROW()-2)/amortYears)+1) - G1256,
      INDEX(FILTER('RE Portfolio'!L$2:L2000,'RE Portfolio'!D$2:D2000=""BUY""), INT((ROW()-2)/amortYears"&amp;")+1)
   )
)
"),"")</f>
        <v/>
      </c>
      <c r="L1256" s="15" t="str">
        <f>IFERROR(__xludf.DUMMYFUNCTION("IF(A1256="""","""",
  INDEX(FILTER('RE Portfolio'!C$2:C2000,'RE Portfolio'!D$2:D2000=""BUY""), INT((ROW()-2)/amortYears)+1)
  * (1 + VALUE(Assumptions!$B$11))^(D1256-1)
)
"),"")</f>
        <v/>
      </c>
    </row>
    <row r="1257">
      <c r="A1257" s="15" t="str">
        <f>IFERROR(__xludf.DUMMYFUNCTION("IFERROR(INDEX(FILTER('RE Portfolio'!A$2:A2000,'RE Portfolio'!D$2:D2000=""BUY""), INT((ROW()-2)/amortYears)+1), )
"),"")</f>
        <v/>
      </c>
      <c r="B1257" s="15" t="str">
        <f>IFERROR(__xludf.DUMMYFUNCTION("IFERROR(INDEX(FILTER('RE Portfolio'!B$2:B2000,'RE Portfolio'!D$2:D2000=""BUY""), INT((ROW()-2)/amortYears)+1), )
"),"")</f>
        <v/>
      </c>
      <c r="C1257" s="15" t="str">
        <f>IFERROR(__xludf.DUMMYFUNCTION("IFERROR(INDEX(FILTER('RE Portfolio'!G$2:G2000,'RE Portfolio'!D$2:D2000=""BUY""), INT((ROW()-2)/amortYears)+1), )
"),"")</f>
        <v/>
      </c>
      <c r="D1257" s="15">
        <f>MOD(ROW()-2, amortYears)+1</f>
        <v>2</v>
      </c>
      <c r="E1257" s="15" t="str">
        <f t="shared" si="1"/>
        <v/>
      </c>
      <c r="F1257" s="16">
        <f t="shared" si="2"/>
        <v>0</v>
      </c>
      <c r="G1257" s="16">
        <f>IF(D1257&lt;=mortTerm, -PMT(mortRate/12, mortTerm*12, C1257)*12, 0)
</f>
        <v>0</v>
      </c>
      <c r="H1257" s="16">
        <f>IF(D1257&lt;=mortTerm, G1257 - I1257, 0)
</f>
        <v>0</v>
      </c>
      <c r="I1257" s="16">
        <f>IF(D1257&lt;=mortTerm, F1257 - J1257, 0)
</f>
        <v>0</v>
      </c>
      <c r="J1257" s="16">
        <f>IF(D1257&lt;=mortTerm,
   F1257*(1+mortRate/12)^12 - (-PMT(mortRate/12, mortTerm*12, C1257))*(((1+mortRate/12)^12 - 1)/(mortRate/12)),
   0
)
</f>
        <v>0</v>
      </c>
      <c r="K1257" s="13" t="str">
        <f>IFERROR(__xludf.DUMMYFUNCTION("IF(A1257="""","""",
   IF(F1257&gt;0,
      INDEX(FILTER('RE Portfolio'!L$2:L2000,'RE Portfolio'!D$2:D2000=""BUY""), INT((ROW()-2)/amortYears)+1) - G1257,
      INDEX(FILTER('RE Portfolio'!L$2:L2000,'RE Portfolio'!D$2:D2000=""BUY""), INT((ROW()-2)/amortYears"&amp;")+1)
   )
)
"),"")</f>
        <v/>
      </c>
      <c r="L1257" s="15" t="str">
        <f>IFERROR(__xludf.DUMMYFUNCTION("IF(A1257="""","""",
  INDEX(FILTER('RE Portfolio'!C$2:C2000,'RE Portfolio'!D$2:D2000=""BUY""), INT((ROW()-2)/amortYears)+1)
  * (1 + VALUE(Assumptions!$B$11))^(D1257-1)
)
"),"")</f>
        <v/>
      </c>
    </row>
    <row r="1258">
      <c r="A1258" s="15" t="str">
        <f>IFERROR(__xludf.DUMMYFUNCTION("IFERROR(INDEX(FILTER('RE Portfolio'!A$2:A2000,'RE Portfolio'!D$2:D2000=""BUY""), INT((ROW()-2)/amortYears)+1), )
"),"")</f>
        <v/>
      </c>
      <c r="B1258" s="15" t="str">
        <f>IFERROR(__xludf.DUMMYFUNCTION("IFERROR(INDEX(FILTER('RE Portfolio'!B$2:B2000,'RE Portfolio'!D$2:D2000=""BUY""), INT((ROW()-2)/amortYears)+1), )
"),"")</f>
        <v/>
      </c>
      <c r="C1258" s="15" t="str">
        <f>IFERROR(__xludf.DUMMYFUNCTION("IFERROR(INDEX(FILTER('RE Portfolio'!G$2:G2000,'RE Portfolio'!D$2:D2000=""BUY""), INT((ROW()-2)/amortYears)+1), )
"),"")</f>
        <v/>
      </c>
      <c r="D1258" s="15">
        <f>MOD(ROW()-2, amortYears)+1</f>
        <v>3</v>
      </c>
      <c r="E1258" s="15" t="str">
        <f t="shared" si="1"/>
        <v/>
      </c>
      <c r="F1258" s="16">
        <f t="shared" si="2"/>
        <v>0</v>
      </c>
      <c r="G1258" s="16">
        <f>IF(D1258&lt;=mortTerm, -PMT(mortRate/12, mortTerm*12, C1258)*12, 0)
</f>
        <v>0</v>
      </c>
      <c r="H1258" s="16">
        <f>IF(D1258&lt;=mortTerm, G1258 - I1258, 0)
</f>
        <v>0</v>
      </c>
      <c r="I1258" s="16">
        <f>IF(D1258&lt;=mortTerm, F1258 - J1258, 0)
</f>
        <v>0</v>
      </c>
      <c r="J1258" s="16">
        <f>IF(D1258&lt;=mortTerm,
   F1258*(1+mortRate/12)^12 - (-PMT(mortRate/12, mortTerm*12, C1258))*(((1+mortRate/12)^12 - 1)/(mortRate/12)),
   0
)
</f>
        <v>0</v>
      </c>
      <c r="K1258" s="13" t="str">
        <f>IFERROR(__xludf.DUMMYFUNCTION("IF(A1258="""","""",
   IF(F1258&gt;0,
      INDEX(FILTER('RE Portfolio'!L$2:L2000,'RE Portfolio'!D$2:D2000=""BUY""), INT((ROW()-2)/amortYears)+1) - G1258,
      INDEX(FILTER('RE Portfolio'!L$2:L2000,'RE Portfolio'!D$2:D2000=""BUY""), INT((ROW()-2)/amortYears"&amp;")+1)
   )
)
"),"")</f>
        <v/>
      </c>
      <c r="L1258" s="15" t="str">
        <f>IFERROR(__xludf.DUMMYFUNCTION("IF(A1258="""","""",
  INDEX(FILTER('RE Portfolio'!C$2:C2000,'RE Portfolio'!D$2:D2000=""BUY""), INT((ROW()-2)/amortYears)+1)
  * (1 + VALUE(Assumptions!$B$11))^(D1258-1)
)
"),"")</f>
        <v/>
      </c>
    </row>
    <row r="1259">
      <c r="A1259" s="15" t="str">
        <f>IFERROR(__xludf.DUMMYFUNCTION("IFERROR(INDEX(FILTER('RE Portfolio'!A$2:A2000,'RE Portfolio'!D$2:D2000=""BUY""), INT((ROW()-2)/amortYears)+1), )
"),"")</f>
        <v/>
      </c>
      <c r="B1259" s="15" t="str">
        <f>IFERROR(__xludf.DUMMYFUNCTION("IFERROR(INDEX(FILTER('RE Portfolio'!B$2:B2000,'RE Portfolio'!D$2:D2000=""BUY""), INT((ROW()-2)/amortYears)+1), )
"),"")</f>
        <v/>
      </c>
      <c r="C1259" s="15" t="str">
        <f>IFERROR(__xludf.DUMMYFUNCTION("IFERROR(INDEX(FILTER('RE Portfolio'!G$2:G2000,'RE Portfolio'!D$2:D2000=""BUY""), INT((ROW()-2)/amortYears)+1), )
"),"")</f>
        <v/>
      </c>
      <c r="D1259" s="15">
        <f>MOD(ROW()-2, amortYears)+1</f>
        <v>4</v>
      </c>
      <c r="E1259" s="15" t="str">
        <f t="shared" si="1"/>
        <v/>
      </c>
      <c r="F1259" s="16">
        <f t="shared" si="2"/>
        <v>0</v>
      </c>
      <c r="G1259" s="16">
        <f>IF(D1259&lt;=mortTerm, -PMT(mortRate/12, mortTerm*12, C1259)*12, 0)
</f>
        <v>0</v>
      </c>
      <c r="H1259" s="16">
        <f>IF(D1259&lt;=mortTerm, G1259 - I1259, 0)
</f>
        <v>0</v>
      </c>
      <c r="I1259" s="16">
        <f>IF(D1259&lt;=mortTerm, F1259 - J1259, 0)
</f>
        <v>0</v>
      </c>
      <c r="J1259" s="16">
        <f>IF(D1259&lt;=mortTerm,
   F1259*(1+mortRate/12)^12 - (-PMT(mortRate/12, mortTerm*12, C1259))*(((1+mortRate/12)^12 - 1)/(mortRate/12)),
   0
)
</f>
        <v>0</v>
      </c>
      <c r="K1259" s="13" t="str">
        <f>IFERROR(__xludf.DUMMYFUNCTION("IF(A1259="""","""",
   IF(F1259&gt;0,
      INDEX(FILTER('RE Portfolio'!L$2:L2000,'RE Portfolio'!D$2:D2000=""BUY""), INT((ROW()-2)/amortYears)+1) - G1259,
      INDEX(FILTER('RE Portfolio'!L$2:L2000,'RE Portfolio'!D$2:D2000=""BUY""), INT((ROW()-2)/amortYears"&amp;")+1)
   )
)
"),"")</f>
        <v/>
      </c>
      <c r="L1259" s="15" t="str">
        <f>IFERROR(__xludf.DUMMYFUNCTION("IF(A1259="""","""",
  INDEX(FILTER('RE Portfolio'!C$2:C2000,'RE Portfolio'!D$2:D2000=""BUY""), INT((ROW()-2)/amortYears)+1)
  * (1 + VALUE(Assumptions!$B$11))^(D1259-1)
)
"),"")</f>
        <v/>
      </c>
    </row>
    <row r="1260">
      <c r="A1260" s="15" t="str">
        <f>IFERROR(__xludf.DUMMYFUNCTION("IFERROR(INDEX(FILTER('RE Portfolio'!A$2:A2000,'RE Portfolio'!D$2:D2000=""BUY""), INT((ROW()-2)/amortYears)+1), )
"),"")</f>
        <v/>
      </c>
      <c r="B1260" s="15" t="str">
        <f>IFERROR(__xludf.DUMMYFUNCTION("IFERROR(INDEX(FILTER('RE Portfolio'!B$2:B2000,'RE Portfolio'!D$2:D2000=""BUY""), INT((ROW()-2)/amortYears)+1), )
"),"")</f>
        <v/>
      </c>
      <c r="C1260" s="15" t="str">
        <f>IFERROR(__xludf.DUMMYFUNCTION("IFERROR(INDEX(FILTER('RE Portfolio'!G$2:G2000,'RE Portfolio'!D$2:D2000=""BUY""), INT((ROW()-2)/amortYears)+1), )
"),"")</f>
        <v/>
      </c>
      <c r="D1260" s="15">
        <f>MOD(ROW()-2, amortYears)+1</f>
        <v>5</v>
      </c>
      <c r="E1260" s="15" t="str">
        <f t="shared" si="1"/>
        <v/>
      </c>
      <c r="F1260" s="16">
        <f t="shared" si="2"/>
        <v>0</v>
      </c>
      <c r="G1260" s="16">
        <f>IF(D1260&lt;=mortTerm, -PMT(mortRate/12, mortTerm*12, C1260)*12, 0)
</f>
        <v>0</v>
      </c>
      <c r="H1260" s="16">
        <f>IF(D1260&lt;=mortTerm, G1260 - I1260, 0)
</f>
        <v>0</v>
      </c>
      <c r="I1260" s="16">
        <f>IF(D1260&lt;=mortTerm, F1260 - J1260, 0)
</f>
        <v>0</v>
      </c>
      <c r="J1260" s="16">
        <f>IF(D1260&lt;=mortTerm,
   F1260*(1+mortRate/12)^12 - (-PMT(mortRate/12, mortTerm*12, C1260))*(((1+mortRate/12)^12 - 1)/(mortRate/12)),
   0
)
</f>
        <v>0</v>
      </c>
      <c r="K1260" s="13" t="str">
        <f>IFERROR(__xludf.DUMMYFUNCTION("IF(A1260="""","""",
   IF(F1260&gt;0,
      INDEX(FILTER('RE Portfolio'!L$2:L2000,'RE Portfolio'!D$2:D2000=""BUY""), INT((ROW()-2)/amortYears)+1) - G1260,
      INDEX(FILTER('RE Portfolio'!L$2:L2000,'RE Portfolio'!D$2:D2000=""BUY""), INT((ROW()-2)/amortYears"&amp;")+1)
   )
)
"),"")</f>
        <v/>
      </c>
      <c r="L1260" s="15" t="str">
        <f>IFERROR(__xludf.DUMMYFUNCTION("IF(A1260="""","""",
  INDEX(FILTER('RE Portfolio'!C$2:C2000,'RE Portfolio'!D$2:D2000=""BUY""), INT((ROW()-2)/amortYears)+1)
  * (1 + VALUE(Assumptions!$B$11))^(D1260-1)
)
"),"")</f>
        <v/>
      </c>
    </row>
    <row r="1261">
      <c r="A1261" s="15" t="str">
        <f>IFERROR(__xludf.DUMMYFUNCTION("IFERROR(INDEX(FILTER('RE Portfolio'!A$2:A2000,'RE Portfolio'!D$2:D2000=""BUY""), INT((ROW()-2)/amortYears)+1), )
"),"")</f>
        <v/>
      </c>
      <c r="B1261" s="15" t="str">
        <f>IFERROR(__xludf.DUMMYFUNCTION("IFERROR(INDEX(FILTER('RE Portfolio'!B$2:B2000,'RE Portfolio'!D$2:D2000=""BUY""), INT((ROW()-2)/amortYears)+1), )
"),"")</f>
        <v/>
      </c>
      <c r="C1261" s="15" t="str">
        <f>IFERROR(__xludf.DUMMYFUNCTION("IFERROR(INDEX(FILTER('RE Portfolio'!G$2:G2000,'RE Portfolio'!D$2:D2000=""BUY""), INT((ROW()-2)/amortYears)+1), )
"),"")</f>
        <v/>
      </c>
      <c r="D1261" s="15">
        <f>MOD(ROW()-2, amortYears)+1</f>
        <v>6</v>
      </c>
      <c r="E1261" s="15" t="str">
        <f t="shared" si="1"/>
        <v/>
      </c>
      <c r="F1261" s="16">
        <f t="shared" si="2"/>
        <v>0</v>
      </c>
      <c r="G1261" s="16">
        <f>IF(D1261&lt;=mortTerm, -PMT(mortRate/12, mortTerm*12, C1261)*12, 0)
</f>
        <v>0</v>
      </c>
      <c r="H1261" s="16">
        <f>IF(D1261&lt;=mortTerm, G1261 - I1261, 0)
</f>
        <v>0</v>
      </c>
      <c r="I1261" s="16">
        <f>IF(D1261&lt;=mortTerm, F1261 - J1261, 0)
</f>
        <v>0</v>
      </c>
      <c r="J1261" s="16">
        <f>IF(D1261&lt;=mortTerm,
   F1261*(1+mortRate/12)^12 - (-PMT(mortRate/12, mortTerm*12, C1261))*(((1+mortRate/12)^12 - 1)/(mortRate/12)),
   0
)
</f>
        <v>0</v>
      </c>
      <c r="K1261" s="13" t="str">
        <f>IFERROR(__xludf.DUMMYFUNCTION("IF(A1261="""","""",
   IF(F1261&gt;0,
      INDEX(FILTER('RE Portfolio'!L$2:L2000,'RE Portfolio'!D$2:D2000=""BUY""), INT((ROW()-2)/amortYears)+1) - G1261,
      INDEX(FILTER('RE Portfolio'!L$2:L2000,'RE Portfolio'!D$2:D2000=""BUY""), INT((ROW()-2)/amortYears"&amp;")+1)
   )
)
"),"")</f>
        <v/>
      </c>
      <c r="L1261" s="15" t="str">
        <f>IFERROR(__xludf.DUMMYFUNCTION("IF(A1261="""","""",
  INDEX(FILTER('RE Portfolio'!C$2:C2000,'RE Portfolio'!D$2:D2000=""BUY""), INT((ROW()-2)/amortYears)+1)
  * (1 + VALUE(Assumptions!$B$11))^(D1261-1)
)
"),"")</f>
        <v/>
      </c>
    </row>
    <row r="1262">
      <c r="A1262" s="15" t="str">
        <f>IFERROR(__xludf.DUMMYFUNCTION("IFERROR(INDEX(FILTER('RE Portfolio'!A$2:A2000,'RE Portfolio'!D$2:D2000=""BUY""), INT((ROW()-2)/amortYears)+1), )
"),"")</f>
        <v/>
      </c>
      <c r="B1262" s="15" t="str">
        <f>IFERROR(__xludf.DUMMYFUNCTION("IFERROR(INDEX(FILTER('RE Portfolio'!B$2:B2000,'RE Portfolio'!D$2:D2000=""BUY""), INT((ROW()-2)/amortYears)+1), )
"),"")</f>
        <v/>
      </c>
      <c r="C1262" s="15" t="str">
        <f>IFERROR(__xludf.DUMMYFUNCTION("IFERROR(INDEX(FILTER('RE Portfolio'!G$2:G2000,'RE Portfolio'!D$2:D2000=""BUY""), INT((ROW()-2)/amortYears)+1), )
"),"")</f>
        <v/>
      </c>
      <c r="D1262" s="15">
        <f>MOD(ROW()-2, amortYears)+1</f>
        <v>7</v>
      </c>
      <c r="E1262" s="15" t="str">
        <f t="shared" si="1"/>
        <v/>
      </c>
      <c r="F1262" s="16">
        <f t="shared" si="2"/>
        <v>0</v>
      </c>
      <c r="G1262" s="16">
        <f>IF(D1262&lt;=mortTerm, -PMT(mortRate/12, mortTerm*12, C1262)*12, 0)
</f>
        <v>0</v>
      </c>
      <c r="H1262" s="16">
        <f>IF(D1262&lt;=mortTerm, G1262 - I1262, 0)
</f>
        <v>0</v>
      </c>
      <c r="I1262" s="16">
        <f>IF(D1262&lt;=mortTerm, F1262 - J1262, 0)
</f>
        <v>0</v>
      </c>
      <c r="J1262" s="16">
        <f>IF(D1262&lt;=mortTerm,
   F1262*(1+mortRate/12)^12 - (-PMT(mortRate/12, mortTerm*12, C1262))*(((1+mortRate/12)^12 - 1)/(mortRate/12)),
   0
)
</f>
        <v>0</v>
      </c>
      <c r="K1262" s="13" t="str">
        <f>IFERROR(__xludf.DUMMYFUNCTION("IF(A1262="""","""",
   IF(F1262&gt;0,
      INDEX(FILTER('RE Portfolio'!L$2:L2000,'RE Portfolio'!D$2:D2000=""BUY""), INT((ROW()-2)/amortYears)+1) - G1262,
      INDEX(FILTER('RE Portfolio'!L$2:L2000,'RE Portfolio'!D$2:D2000=""BUY""), INT((ROW()-2)/amortYears"&amp;")+1)
   )
)
"),"")</f>
        <v/>
      </c>
      <c r="L1262" s="15" t="str">
        <f>IFERROR(__xludf.DUMMYFUNCTION("IF(A1262="""","""",
  INDEX(FILTER('RE Portfolio'!C$2:C2000,'RE Portfolio'!D$2:D2000=""BUY""), INT((ROW()-2)/amortYears)+1)
  * (1 + VALUE(Assumptions!$B$11))^(D1262-1)
)
"),"")</f>
        <v/>
      </c>
    </row>
    <row r="1263">
      <c r="A1263" s="15" t="str">
        <f>IFERROR(__xludf.DUMMYFUNCTION("IFERROR(INDEX(FILTER('RE Portfolio'!A$2:A2000,'RE Portfolio'!D$2:D2000=""BUY""), INT((ROW()-2)/amortYears)+1), )
"),"")</f>
        <v/>
      </c>
      <c r="B1263" s="15" t="str">
        <f>IFERROR(__xludf.DUMMYFUNCTION("IFERROR(INDEX(FILTER('RE Portfolio'!B$2:B2000,'RE Portfolio'!D$2:D2000=""BUY""), INT((ROW()-2)/amortYears)+1), )
"),"")</f>
        <v/>
      </c>
      <c r="C1263" s="15" t="str">
        <f>IFERROR(__xludf.DUMMYFUNCTION("IFERROR(INDEX(FILTER('RE Portfolio'!G$2:G2000,'RE Portfolio'!D$2:D2000=""BUY""), INT((ROW()-2)/amortYears)+1), )
"),"")</f>
        <v/>
      </c>
      <c r="D1263" s="15">
        <f>MOD(ROW()-2, amortYears)+1</f>
        <v>8</v>
      </c>
      <c r="E1263" s="15" t="str">
        <f t="shared" si="1"/>
        <v/>
      </c>
      <c r="F1263" s="16">
        <f t="shared" si="2"/>
        <v>0</v>
      </c>
      <c r="G1263" s="16">
        <f>IF(D1263&lt;=mortTerm, -PMT(mortRate/12, mortTerm*12, C1263)*12, 0)
</f>
        <v>0</v>
      </c>
      <c r="H1263" s="16">
        <f>IF(D1263&lt;=mortTerm, G1263 - I1263, 0)
</f>
        <v>0</v>
      </c>
      <c r="I1263" s="16">
        <f>IF(D1263&lt;=mortTerm, F1263 - J1263, 0)
</f>
        <v>0</v>
      </c>
      <c r="J1263" s="16">
        <f>IF(D1263&lt;=mortTerm,
   F1263*(1+mortRate/12)^12 - (-PMT(mortRate/12, mortTerm*12, C1263))*(((1+mortRate/12)^12 - 1)/(mortRate/12)),
   0
)
</f>
        <v>0</v>
      </c>
      <c r="K1263" s="13" t="str">
        <f>IFERROR(__xludf.DUMMYFUNCTION("IF(A1263="""","""",
   IF(F1263&gt;0,
      INDEX(FILTER('RE Portfolio'!L$2:L2000,'RE Portfolio'!D$2:D2000=""BUY""), INT((ROW()-2)/amortYears)+1) - G1263,
      INDEX(FILTER('RE Portfolio'!L$2:L2000,'RE Portfolio'!D$2:D2000=""BUY""), INT((ROW()-2)/amortYears"&amp;")+1)
   )
)
"),"")</f>
        <v/>
      </c>
      <c r="L1263" s="15" t="str">
        <f>IFERROR(__xludf.DUMMYFUNCTION("IF(A1263="""","""",
  INDEX(FILTER('RE Portfolio'!C$2:C2000,'RE Portfolio'!D$2:D2000=""BUY""), INT((ROW()-2)/amortYears)+1)
  * (1 + VALUE(Assumptions!$B$11))^(D1263-1)
)
"),"")</f>
        <v/>
      </c>
    </row>
    <row r="1264">
      <c r="A1264" s="15" t="str">
        <f>IFERROR(__xludf.DUMMYFUNCTION("IFERROR(INDEX(FILTER('RE Portfolio'!A$2:A2000,'RE Portfolio'!D$2:D2000=""BUY""), INT((ROW()-2)/amortYears)+1), )
"),"")</f>
        <v/>
      </c>
      <c r="B1264" s="15" t="str">
        <f>IFERROR(__xludf.DUMMYFUNCTION("IFERROR(INDEX(FILTER('RE Portfolio'!B$2:B2000,'RE Portfolio'!D$2:D2000=""BUY""), INT((ROW()-2)/amortYears)+1), )
"),"")</f>
        <v/>
      </c>
      <c r="C1264" s="15" t="str">
        <f>IFERROR(__xludf.DUMMYFUNCTION("IFERROR(INDEX(FILTER('RE Portfolio'!G$2:G2000,'RE Portfolio'!D$2:D2000=""BUY""), INT((ROW()-2)/amortYears)+1), )
"),"")</f>
        <v/>
      </c>
      <c r="D1264" s="15">
        <f>MOD(ROW()-2, amortYears)+1</f>
        <v>9</v>
      </c>
      <c r="E1264" s="15" t="str">
        <f t="shared" si="1"/>
        <v/>
      </c>
      <c r="F1264" s="16">
        <f t="shared" si="2"/>
        <v>0</v>
      </c>
      <c r="G1264" s="16">
        <f>IF(D1264&lt;=mortTerm, -PMT(mortRate/12, mortTerm*12, C1264)*12, 0)
</f>
        <v>0</v>
      </c>
      <c r="H1264" s="16">
        <f>IF(D1264&lt;=mortTerm, G1264 - I1264, 0)
</f>
        <v>0</v>
      </c>
      <c r="I1264" s="16">
        <f>IF(D1264&lt;=mortTerm, F1264 - J1264, 0)
</f>
        <v>0</v>
      </c>
      <c r="J1264" s="16">
        <f>IF(D1264&lt;=mortTerm,
   F1264*(1+mortRate/12)^12 - (-PMT(mortRate/12, mortTerm*12, C1264))*(((1+mortRate/12)^12 - 1)/(mortRate/12)),
   0
)
</f>
        <v>0</v>
      </c>
      <c r="K1264" s="13" t="str">
        <f>IFERROR(__xludf.DUMMYFUNCTION("IF(A1264="""","""",
   IF(F1264&gt;0,
      INDEX(FILTER('RE Portfolio'!L$2:L2000,'RE Portfolio'!D$2:D2000=""BUY""), INT((ROW()-2)/amortYears)+1) - G1264,
      INDEX(FILTER('RE Portfolio'!L$2:L2000,'RE Portfolio'!D$2:D2000=""BUY""), INT((ROW()-2)/amortYears"&amp;")+1)
   )
)
"),"")</f>
        <v/>
      </c>
      <c r="L1264" s="15" t="str">
        <f>IFERROR(__xludf.DUMMYFUNCTION("IF(A1264="""","""",
  INDEX(FILTER('RE Portfolio'!C$2:C2000,'RE Portfolio'!D$2:D2000=""BUY""), INT((ROW()-2)/amortYears)+1)
  * (1 + VALUE(Assumptions!$B$11))^(D1264-1)
)
"),"")</f>
        <v/>
      </c>
    </row>
    <row r="1265">
      <c r="A1265" s="15" t="str">
        <f>IFERROR(__xludf.DUMMYFUNCTION("IFERROR(INDEX(FILTER('RE Portfolio'!A$2:A2000,'RE Portfolio'!D$2:D2000=""BUY""), INT((ROW()-2)/amortYears)+1), )
"),"")</f>
        <v/>
      </c>
      <c r="B1265" s="15" t="str">
        <f>IFERROR(__xludf.DUMMYFUNCTION("IFERROR(INDEX(FILTER('RE Portfolio'!B$2:B2000,'RE Portfolio'!D$2:D2000=""BUY""), INT((ROW()-2)/amortYears)+1), )
"),"")</f>
        <v/>
      </c>
      <c r="C1265" s="15" t="str">
        <f>IFERROR(__xludf.DUMMYFUNCTION("IFERROR(INDEX(FILTER('RE Portfolio'!G$2:G2000,'RE Portfolio'!D$2:D2000=""BUY""), INT((ROW()-2)/amortYears)+1), )
"),"")</f>
        <v/>
      </c>
      <c r="D1265" s="15">
        <f>MOD(ROW()-2, amortYears)+1</f>
        <v>10</v>
      </c>
      <c r="E1265" s="15" t="str">
        <f t="shared" si="1"/>
        <v/>
      </c>
      <c r="F1265" s="16">
        <f t="shared" si="2"/>
        <v>0</v>
      </c>
      <c r="G1265" s="16">
        <f>IF(D1265&lt;=mortTerm, -PMT(mortRate/12, mortTerm*12, C1265)*12, 0)
</f>
        <v>0</v>
      </c>
      <c r="H1265" s="16">
        <f>IF(D1265&lt;=mortTerm, G1265 - I1265, 0)
</f>
        <v>0</v>
      </c>
      <c r="I1265" s="16">
        <f>IF(D1265&lt;=mortTerm, F1265 - J1265, 0)
</f>
        <v>0</v>
      </c>
      <c r="J1265" s="16">
        <f>IF(D1265&lt;=mortTerm,
   F1265*(1+mortRate/12)^12 - (-PMT(mortRate/12, mortTerm*12, C1265))*(((1+mortRate/12)^12 - 1)/(mortRate/12)),
   0
)
</f>
        <v>0</v>
      </c>
      <c r="K1265" s="13" t="str">
        <f>IFERROR(__xludf.DUMMYFUNCTION("IF(A1265="""","""",
   IF(F1265&gt;0,
      INDEX(FILTER('RE Portfolio'!L$2:L2000,'RE Portfolio'!D$2:D2000=""BUY""), INT((ROW()-2)/amortYears)+1) - G1265,
      INDEX(FILTER('RE Portfolio'!L$2:L2000,'RE Portfolio'!D$2:D2000=""BUY""), INT((ROW()-2)/amortYears"&amp;")+1)
   )
)
"),"")</f>
        <v/>
      </c>
      <c r="L1265" s="15" t="str">
        <f>IFERROR(__xludf.DUMMYFUNCTION("IF(A1265="""","""",
  INDEX(FILTER('RE Portfolio'!C$2:C2000,'RE Portfolio'!D$2:D2000=""BUY""), INT((ROW()-2)/amortYears)+1)
  * (1 + VALUE(Assumptions!$B$11))^(D1265-1)
)
"),"")</f>
        <v/>
      </c>
    </row>
    <row r="1266">
      <c r="A1266" s="15" t="str">
        <f>IFERROR(__xludf.DUMMYFUNCTION("IFERROR(INDEX(FILTER('RE Portfolio'!A$2:A2000,'RE Portfolio'!D$2:D2000=""BUY""), INT((ROW()-2)/amortYears)+1), )
"),"")</f>
        <v/>
      </c>
      <c r="B1266" s="15" t="str">
        <f>IFERROR(__xludf.DUMMYFUNCTION("IFERROR(INDEX(FILTER('RE Portfolio'!B$2:B2000,'RE Portfolio'!D$2:D2000=""BUY""), INT((ROW()-2)/amortYears)+1), )
"),"")</f>
        <v/>
      </c>
      <c r="C1266" s="15" t="str">
        <f>IFERROR(__xludf.DUMMYFUNCTION("IFERROR(INDEX(FILTER('RE Portfolio'!G$2:G2000,'RE Portfolio'!D$2:D2000=""BUY""), INT((ROW()-2)/amortYears)+1), )
"),"")</f>
        <v/>
      </c>
      <c r="D1266" s="15">
        <f>MOD(ROW()-2, amortYears)+1</f>
        <v>11</v>
      </c>
      <c r="E1266" s="15" t="str">
        <f t="shared" si="1"/>
        <v/>
      </c>
      <c r="F1266" s="16">
        <f t="shared" si="2"/>
        <v>0</v>
      </c>
      <c r="G1266" s="16">
        <f>IF(D1266&lt;=mortTerm, -PMT(mortRate/12, mortTerm*12, C1266)*12, 0)
</f>
        <v>0</v>
      </c>
      <c r="H1266" s="16">
        <f>IF(D1266&lt;=mortTerm, G1266 - I1266, 0)
</f>
        <v>0</v>
      </c>
      <c r="I1266" s="16">
        <f>IF(D1266&lt;=mortTerm, F1266 - J1266, 0)
</f>
        <v>0</v>
      </c>
      <c r="J1266" s="16">
        <f>IF(D1266&lt;=mortTerm,
   F1266*(1+mortRate/12)^12 - (-PMT(mortRate/12, mortTerm*12, C1266))*(((1+mortRate/12)^12 - 1)/(mortRate/12)),
   0
)
</f>
        <v>0</v>
      </c>
      <c r="K1266" s="13" t="str">
        <f>IFERROR(__xludf.DUMMYFUNCTION("IF(A1266="""","""",
   IF(F1266&gt;0,
      INDEX(FILTER('RE Portfolio'!L$2:L2000,'RE Portfolio'!D$2:D2000=""BUY""), INT((ROW()-2)/amortYears)+1) - G1266,
      INDEX(FILTER('RE Portfolio'!L$2:L2000,'RE Portfolio'!D$2:D2000=""BUY""), INT((ROW()-2)/amortYears"&amp;")+1)
   )
)
"),"")</f>
        <v/>
      </c>
      <c r="L1266" s="15" t="str">
        <f>IFERROR(__xludf.DUMMYFUNCTION("IF(A1266="""","""",
  INDEX(FILTER('RE Portfolio'!C$2:C2000,'RE Portfolio'!D$2:D2000=""BUY""), INT((ROW()-2)/amortYears)+1)
  * (1 + VALUE(Assumptions!$B$11))^(D1266-1)
)
"),"")</f>
        <v/>
      </c>
    </row>
    <row r="1267">
      <c r="A1267" s="15" t="str">
        <f>IFERROR(__xludf.DUMMYFUNCTION("IFERROR(INDEX(FILTER('RE Portfolio'!A$2:A2000,'RE Portfolio'!D$2:D2000=""BUY""), INT((ROW()-2)/amortYears)+1), )
"),"")</f>
        <v/>
      </c>
      <c r="B1267" s="15" t="str">
        <f>IFERROR(__xludf.DUMMYFUNCTION("IFERROR(INDEX(FILTER('RE Portfolio'!B$2:B2000,'RE Portfolio'!D$2:D2000=""BUY""), INT((ROW()-2)/amortYears)+1), )
"),"")</f>
        <v/>
      </c>
      <c r="C1267" s="15" t="str">
        <f>IFERROR(__xludf.DUMMYFUNCTION("IFERROR(INDEX(FILTER('RE Portfolio'!G$2:G2000,'RE Portfolio'!D$2:D2000=""BUY""), INT((ROW()-2)/amortYears)+1), )
"),"")</f>
        <v/>
      </c>
      <c r="D1267" s="15">
        <f>MOD(ROW()-2, amortYears)+1</f>
        <v>12</v>
      </c>
      <c r="E1267" s="15" t="str">
        <f t="shared" si="1"/>
        <v/>
      </c>
      <c r="F1267" s="16">
        <f t="shared" si="2"/>
        <v>0</v>
      </c>
      <c r="G1267" s="16">
        <f>IF(D1267&lt;=mortTerm, -PMT(mortRate/12, mortTerm*12, C1267)*12, 0)
</f>
        <v>0</v>
      </c>
      <c r="H1267" s="16">
        <f>IF(D1267&lt;=mortTerm, G1267 - I1267, 0)
</f>
        <v>0</v>
      </c>
      <c r="I1267" s="16">
        <f>IF(D1267&lt;=mortTerm, F1267 - J1267, 0)
</f>
        <v>0</v>
      </c>
      <c r="J1267" s="16">
        <f>IF(D1267&lt;=mortTerm,
   F1267*(1+mortRate/12)^12 - (-PMT(mortRate/12, mortTerm*12, C1267))*(((1+mortRate/12)^12 - 1)/(mortRate/12)),
   0
)
</f>
        <v>0</v>
      </c>
      <c r="K1267" s="13" t="str">
        <f>IFERROR(__xludf.DUMMYFUNCTION("IF(A1267="""","""",
   IF(F1267&gt;0,
      INDEX(FILTER('RE Portfolio'!L$2:L2000,'RE Portfolio'!D$2:D2000=""BUY""), INT((ROW()-2)/amortYears)+1) - G1267,
      INDEX(FILTER('RE Portfolio'!L$2:L2000,'RE Portfolio'!D$2:D2000=""BUY""), INT((ROW()-2)/amortYears"&amp;")+1)
   )
)
"),"")</f>
        <v/>
      </c>
      <c r="L1267" s="15" t="str">
        <f>IFERROR(__xludf.DUMMYFUNCTION("IF(A1267="""","""",
  INDEX(FILTER('RE Portfolio'!C$2:C2000,'RE Portfolio'!D$2:D2000=""BUY""), INT((ROW()-2)/amortYears)+1)
  * (1 + VALUE(Assumptions!$B$11))^(D1267-1)
)
"),"")</f>
        <v/>
      </c>
    </row>
    <row r="1268">
      <c r="A1268" s="15" t="str">
        <f>IFERROR(__xludf.DUMMYFUNCTION("IFERROR(INDEX(FILTER('RE Portfolio'!A$2:A2000,'RE Portfolio'!D$2:D2000=""BUY""), INT((ROW()-2)/amortYears)+1), )
"),"")</f>
        <v/>
      </c>
      <c r="B1268" s="15" t="str">
        <f>IFERROR(__xludf.DUMMYFUNCTION("IFERROR(INDEX(FILTER('RE Portfolio'!B$2:B2000,'RE Portfolio'!D$2:D2000=""BUY""), INT((ROW()-2)/amortYears)+1), )
"),"")</f>
        <v/>
      </c>
      <c r="C1268" s="15" t="str">
        <f>IFERROR(__xludf.DUMMYFUNCTION("IFERROR(INDEX(FILTER('RE Portfolio'!G$2:G2000,'RE Portfolio'!D$2:D2000=""BUY""), INT((ROW()-2)/amortYears)+1), )
"),"")</f>
        <v/>
      </c>
      <c r="D1268" s="15">
        <f>MOD(ROW()-2, amortYears)+1</f>
        <v>13</v>
      </c>
      <c r="E1268" s="15" t="str">
        <f t="shared" si="1"/>
        <v/>
      </c>
      <c r="F1268" s="16">
        <f t="shared" si="2"/>
        <v>0</v>
      </c>
      <c r="G1268" s="16">
        <f>IF(D1268&lt;=mortTerm, -PMT(mortRate/12, mortTerm*12, C1268)*12, 0)
</f>
        <v>0</v>
      </c>
      <c r="H1268" s="16">
        <f>IF(D1268&lt;=mortTerm, G1268 - I1268, 0)
</f>
        <v>0</v>
      </c>
      <c r="I1268" s="16">
        <f>IF(D1268&lt;=mortTerm, F1268 - J1268, 0)
</f>
        <v>0</v>
      </c>
      <c r="J1268" s="16">
        <f>IF(D1268&lt;=mortTerm,
   F1268*(1+mortRate/12)^12 - (-PMT(mortRate/12, mortTerm*12, C1268))*(((1+mortRate/12)^12 - 1)/(mortRate/12)),
   0
)
</f>
        <v>0</v>
      </c>
      <c r="K1268" s="13" t="str">
        <f>IFERROR(__xludf.DUMMYFUNCTION("IF(A1268="""","""",
   IF(F1268&gt;0,
      INDEX(FILTER('RE Portfolio'!L$2:L2000,'RE Portfolio'!D$2:D2000=""BUY""), INT((ROW()-2)/amortYears)+1) - G1268,
      INDEX(FILTER('RE Portfolio'!L$2:L2000,'RE Portfolio'!D$2:D2000=""BUY""), INT((ROW()-2)/amortYears"&amp;")+1)
   )
)
"),"")</f>
        <v/>
      </c>
      <c r="L1268" s="15" t="str">
        <f>IFERROR(__xludf.DUMMYFUNCTION("IF(A1268="""","""",
  INDEX(FILTER('RE Portfolio'!C$2:C2000,'RE Portfolio'!D$2:D2000=""BUY""), INT((ROW()-2)/amortYears)+1)
  * (1 + VALUE(Assumptions!$B$11))^(D1268-1)
)
"),"")</f>
        <v/>
      </c>
    </row>
    <row r="1269">
      <c r="A1269" s="15" t="str">
        <f>IFERROR(__xludf.DUMMYFUNCTION("IFERROR(INDEX(FILTER('RE Portfolio'!A$2:A2000,'RE Portfolio'!D$2:D2000=""BUY""), INT((ROW()-2)/amortYears)+1), )
"),"")</f>
        <v/>
      </c>
      <c r="B1269" s="15" t="str">
        <f>IFERROR(__xludf.DUMMYFUNCTION("IFERROR(INDEX(FILTER('RE Portfolio'!B$2:B2000,'RE Portfolio'!D$2:D2000=""BUY""), INT((ROW()-2)/amortYears)+1), )
"),"")</f>
        <v/>
      </c>
      <c r="C1269" s="15" t="str">
        <f>IFERROR(__xludf.DUMMYFUNCTION("IFERROR(INDEX(FILTER('RE Portfolio'!G$2:G2000,'RE Portfolio'!D$2:D2000=""BUY""), INT((ROW()-2)/amortYears)+1), )
"),"")</f>
        <v/>
      </c>
      <c r="D1269" s="15">
        <f>MOD(ROW()-2, amortYears)+1</f>
        <v>14</v>
      </c>
      <c r="E1269" s="15" t="str">
        <f t="shared" si="1"/>
        <v/>
      </c>
      <c r="F1269" s="16">
        <f t="shared" si="2"/>
        <v>0</v>
      </c>
      <c r="G1269" s="16">
        <f>IF(D1269&lt;=mortTerm, -PMT(mortRate/12, mortTerm*12, C1269)*12, 0)
</f>
        <v>0</v>
      </c>
      <c r="H1269" s="16">
        <f>IF(D1269&lt;=mortTerm, G1269 - I1269, 0)
</f>
        <v>0</v>
      </c>
      <c r="I1269" s="16">
        <f>IF(D1269&lt;=mortTerm, F1269 - J1269, 0)
</f>
        <v>0</v>
      </c>
      <c r="J1269" s="16">
        <f>IF(D1269&lt;=mortTerm,
   F1269*(1+mortRate/12)^12 - (-PMT(mortRate/12, mortTerm*12, C1269))*(((1+mortRate/12)^12 - 1)/(mortRate/12)),
   0
)
</f>
        <v>0</v>
      </c>
      <c r="K1269" s="13" t="str">
        <f>IFERROR(__xludf.DUMMYFUNCTION("IF(A1269="""","""",
   IF(F1269&gt;0,
      INDEX(FILTER('RE Portfolio'!L$2:L2000,'RE Portfolio'!D$2:D2000=""BUY""), INT((ROW()-2)/amortYears)+1) - G1269,
      INDEX(FILTER('RE Portfolio'!L$2:L2000,'RE Portfolio'!D$2:D2000=""BUY""), INT((ROW()-2)/amortYears"&amp;")+1)
   )
)
"),"")</f>
        <v/>
      </c>
      <c r="L1269" s="15" t="str">
        <f>IFERROR(__xludf.DUMMYFUNCTION("IF(A1269="""","""",
  INDEX(FILTER('RE Portfolio'!C$2:C2000,'RE Portfolio'!D$2:D2000=""BUY""), INT((ROW()-2)/amortYears)+1)
  * (1 + VALUE(Assumptions!$B$11))^(D1269-1)
)
"),"")</f>
        <v/>
      </c>
    </row>
    <row r="1270">
      <c r="A1270" s="15" t="str">
        <f>IFERROR(__xludf.DUMMYFUNCTION("IFERROR(INDEX(FILTER('RE Portfolio'!A$2:A2000,'RE Portfolio'!D$2:D2000=""BUY""), INT((ROW()-2)/amortYears)+1), )
"),"")</f>
        <v/>
      </c>
      <c r="B1270" s="15" t="str">
        <f>IFERROR(__xludf.DUMMYFUNCTION("IFERROR(INDEX(FILTER('RE Portfolio'!B$2:B2000,'RE Portfolio'!D$2:D2000=""BUY""), INT((ROW()-2)/amortYears)+1), )
"),"")</f>
        <v/>
      </c>
      <c r="C1270" s="15" t="str">
        <f>IFERROR(__xludf.DUMMYFUNCTION("IFERROR(INDEX(FILTER('RE Portfolio'!G$2:G2000,'RE Portfolio'!D$2:D2000=""BUY""), INT((ROW()-2)/amortYears)+1), )
"),"")</f>
        <v/>
      </c>
      <c r="D1270" s="15">
        <f>MOD(ROW()-2, amortYears)+1</f>
        <v>15</v>
      </c>
      <c r="E1270" s="15" t="str">
        <f t="shared" si="1"/>
        <v/>
      </c>
      <c r="F1270" s="16">
        <f t="shared" si="2"/>
        <v>0</v>
      </c>
      <c r="G1270" s="16">
        <f>IF(D1270&lt;=mortTerm, -PMT(mortRate/12, mortTerm*12, C1270)*12, 0)
</f>
        <v>0</v>
      </c>
      <c r="H1270" s="16">
        <f>IF(D1270&lt;=mortTerm, G1270 - I1270, 0)
</f>
        <v>0</v>
      </c>
      <c r="I1270" s="16">
        <f>IF(D1270&lt;=mortTerm, F1270 - J1270, 0)
</f>
        <v>0</v>
      </c>
      <c r="J1270" s="16">
        <f>IF(D1270&lt;=mortTerm,
   F1270*(1+mortRate/12)^12 - (-PMT(mortRate/12, mortTerm*12, C1270))*(((1+mortRate/12)^12 - 1)/(mortRate/12)),
   0
)
</f>
        <v>0</v>
      </c>
      <c r="K1270" s="13" t="str">
        <f>IFERROR(__xludf.DUMMYFUNCTION("IF(A1270="""","""",
   IF(F1270&gt;0,
      INDEX(FILTER('RE Portfolio'!L$2:L2000,'RE Portfolio'!D$2:D2000=""BUY""), INT((ROW()-2)/amortYears)+1) - G1270,
      INDEX(FILTER('RE Portfolio'!L$2:L2000,'RE Portfolio'!D$2:D2000=""BUY""), INT((ROW()-2)/amortYears"&amp;")+1)
   )
)
"),"")</f>
        <v/>
      </c>
      <c r="L1270" s="15" t="str">
        <f>IFERROR(__xludf.DUMMYFUNCTION("IF(A1270="""","""",
  INDEX(FILTER('RE Portfolio'!C$2:C2000,'RE Portfolio'!D$2:D2000=""BUY""), INT((ROW()-2)/amortYears)+1)
  * (1 + VALUE(Assumptions!$B$11))^(D1270-1)
)
"),"")</f>
        <v/>
      </c>
    </row>
    <row r="1271">
      <c r="A1271" s="15" t="str">
        <f>IFERROR(__xludf.DUMMYFUNCTION("IFERROR(INDEX(FILTER('RE Portfolio'!A$2:A2000,'RE Portfolio'!D$2:D2000=""BUY""), INT((ROW()-2)/amortYears)+1), )
"),"")</f>
        <v/>
      </c>
      <c r="B1271" s="15" t="str">
        <f>IFERROR(__xludf.DUMMYFUNCTION("IFERROR(INDEX(FILTER('RE Portfolio'!B$2:B2000,'RE Portfolio'!D$2:D2000=""BUY""), INT((ROW()-2)/amortYears)+1), )
"),"")</f>
        <v/>
      </c>
      <c r="C1271" s="15" t="str">
        <f>IFERROR(__xludf.DUMMYFUNCTION("IFERROR(INDEX(FILTER('RE Portfolio'!G$2:G2000,'RE Portfolio'!D$2:D2000=""BUY""), INT((ROW()-2)/amortYears)+1), )
"),"")</f>
        <v/>
      </c>
      <c r="D1271" s="15">
        <f>MOD(ROW()-2, amortYears)+1</f>
        <v>16</v>
      </c>
      <c r="E1271" s="15" t="str">
        <f t="shared" si="1"/>
        <v/>
      </c>
      <c r="F1271" s="16">
        <f t="shared" si="2"/>
        <v>0</v>
      </c>
      <c r="G1271" s="16">
        <f>IF(D1271&lt;=mortTerm, -PMT(mortRate/12, mortTerm*12, C1271)*12, 0)
</f>
        <v>0</v>
      </c>
      <c r="H1271" s="16">
        <f>IF(D1271&lt;=mortTerm, G1271 - I1271, 0)
</f>
        <v>0</v>
      </c>
      <c r="I1271" s="16">
        <f>IF(D1271&lt;=mortTerm, F1271 - J1271, 0)
</f>
        <v>0</v>
      </c>
      <c r="J1271" s="16">
        <f>IF(D1271&lt;=mortTerm,
   F1271*(1+mortRate/12)^12 - (-PMT(mortRate/12, mortTerm*12, C1271))*(((1+mortRate/12)^12 - 1)/(mortRate/12)),
   0
)
</f>
        <v>0</v>
      </c>
      <c r="K1271" s="13" t="str">
        <f>IFERROR(__xludf.DUMMYFUNCTION("IF(A1271="""","""",
   IF(F1271&gt;0,
      INDEX(FILTER('RE Portfolio'!L$2:L2000,'RE Portfolio'!D$2:D2000=""BUY""), INT((ROW()-2)/amortYears)+1) - G1271,
      INDEX(FILTER('RE Portfolio'!L$2:L2000,'RE Portfolio'!D$2:D2000=""BUY""), INT((ROW()-2)/amortYears"&amp;")+1)
   )
)
"),"")</f>
        <v/>
      </c>
      <c r="L1271" s="15" t="str">
        <f>IFERROR(__xludf.DUMMYFUNCTION("IF(A1271="""","""",
  INDEX(FILTER('RE Portfolio'!C$2:C2000,'RE Portfolio'!D$2:D2000=""BUY""), INT((ROW()-2)/amortYears)+1)
  * (1 + VALUE(Assumptions!$B$11))^(D1271-1)
)
"),"")</f>
        <v/>
      </c>
    </row>
    <row r="1272">
      <c r="A1272" s="15" t="str">
        <f>IFERROR(__xludf.DUMMYFUNCTION("IFERROR(INDEX(FILTER('RE Portfolio'!A$2:A2000,'RE Portfolio'!D$2:D2000=""BUY""), INT((ROW()-2)/amortYears)+1), )
"),"")</f>
        <v/>
      </c>
      <c r="B1272" s="15" t="str">
        <f>IFERROR(__xludf.DUMMYFUNCTION("IFERROR(INDEX(FILTER('RE Portfolio'!B$2:B2000,'RE Portfolio'!D$2:D2000=""BUY""), INT((ROW()-2)/amortYears)+1), )
"),"")</f>
        <v/>
      </c>
      <c r="C1272" s="15" t="str">
        <f>IFERROR(__xludf.DUMMYFUNCTION("IFERROR(INDEX(FILTER('RE Portfolio'!G$2:G2000,'RE Portfolio'!D$2:D2000=""BUY""), INT((ROW()-2)/amortYears)+1), )
"),"")</f>
        <v/>
      </c>
      <c r="D1272" s="15">
        <f>MOD(ROW()-2, amortYears)+1</f>
        <v>17</v>
      </c>
      <c r="E1272" s="15" t="str">
        <f t="shared" si="1"/>
        <v/>
      </c>
      <c r="F1272" s="16">
        <f t="shared" si="2"/>
        <v>0</v>
      </c>
      <c r="G1272" s="16">
        <f>IF(D1272&lt;=mortTerm, -PMT(mortRate/12, mortTerm*12, C1272)*12, 0)
</f>
        <v>0</v>
      </c>
      <c r="H1272" s="16">
        <f>IF(D1272&lt;=mortTerm, G1272 - I1272, 0)
</f>
        <v>0</v>
      </c>
      <c r="I1272" s="16">
        <f>IF(D1272&lt;=mortTerm, F1272 - J1272, 0)
</f>
        <v>0</v>
      </c>
      <c r="J1272" s="16">
        <f>IF(D1272&lt;=mortTerm,
   F1272*(1+mortRate/12)^12 - (-PMT(mortRate/12, mortTerm*12, C1272))*(((1+mortRate/12)^12 - 1)/(mortRate/12)),
   0
)
</f>
        <v>0</v>
      </c>
      <c r="K1272" s="13" t="str">
        <f>IFERROR(__xludf.DUMMYFUNCTION("IF(A1272="""","""",
   IF(F1272&gt;0,
      INDEX(FILTER('RE Portfolio'!L$2:L2000,'RE Portfolio'!D$2:D2000=""BUY""), INT((ROW()-2)/amortYears)+1) - G1272,
      INDEX(FILTER('RE Portfolio'!L$2:L2000,'RE Portfolio'!D$2:D2000=""BUY""), INT((ROW()-2)/amortYears"&amp;")+1)
   )
)
"),"")</f>
        <v/>
      </c>
      <c r="L1272" s="15" t="str">
        <f>IFERROR(__xludf.DUMMYFUNCTION("IF(A1272="""","""",
  INDEX(FILTER('RE Portfolio'!C$2:C2000,'RE Portfolio'!D$2:D2000=""BUY""), INT((ROW()-2)/amortYears)+1)
  * (1 + VALUE(Assumptions!$B$11))^(D1272-1)
)
"),"")</f>
        <v/>
      </c>
    </row>
    <row r="1273">
      <c r="A1273" s="15" t="str">
        <f>IFERROR(__xludf.DUMMYFUNCTION("IFERROR(INDEX(FILTER('RE Portfolio'!A$2:A2000,'RE Portfolio'!D$2:D2000=""BUY""), INT((ROW()-2)/amortYears)+1), )
"),"")</f>
        <v/>
      </c>
      <c r="B1273" s="15" t="str">
        <f>IFERROR(__xludf.DUMMYFUNCTION("IFERROR(INDEX(FILTER('RE Portfolio'!B$2:B2000,'RE Portfolio'!D$2:D2000=""BUY""), INT((ROW()-2)/amortYears)+1), )
"),"")</f>
        <v/>
      </c>
      <c r="C1273" s="15" t="str">
        <f>IFERROR(__xludf.DUMMYFUNCTION("IFERROR(INDEX(FILTER('RE Portfolio'!G$2:G2000,'RE Portfolio'!D$2:D2000=""BUY""), INT((ROW()-2)/amortYears)+1), )
"),"")</f>
        <v/>
      </c>
      <c r="D1273" s="15">
        <f>MOD(ROW()-2, amortYears)+1</f>
        <v>18</v>
      </c>
      <c r="E1273" s="15" t="str">
        <f t="shared" si="1"/>
        <v/>
      </c>
      <c r="F1273" s="16">
        <f t="shared" si="2"/>
        <v>0</v>
      </c>
      <c r="G1273" s="16">
        <f>IF(D1273&lt;=mortTerm, -PMT(mortRate/12, mortTerm*12, C1273)*12, 0)
</f>
        <v>0</v>
      </c>
      <c r="H1273" s="16">
        <f>IF(D1273&lt;=mortTerm, G1273 - I1273, 0)
</f>
        <v>0</v>
      </c>
      <c r="I1273" s="16">
        <f>IF(D1273&lt;=mortTerm, F1273 - J1273, 0)
</f>
        <v>0</v>
      </c>
      <c r="J1273" s="16">
        <f>IF(D1273&lt;=mortTerm,
   F1273*(1+mortRate/12)^12 - (-PMT(mortRate/12, mortTerm*12, C1273))*(((1+mortRate/12)^12 - 1)/(mortRate/12)),
   0
)
</f>
        <v>0</v>
      </c>
      <c r="K1273" s="13" t="str">
        <f>IFERROR(__xludf.DUMMYFUNCTION("IF(A1273="""","""",
   IF(F1273&gt;0,
      INDEX(FILTER('RE Portfolio'!L$2:L2000,'RE Portfolio'!D$2:D2000=""BUY""), INT((ROW()-2)/amortYears)+1) - G1273,
      INDEX(FILTER('RE Portfolio'!L$2:L2000,'RE Portfolio'!D$2:D2000=""BUY""), INT((ROW()-2)/amortYears"&amp;")+1)
   )
)
"),"")</f>
        <v/>
      </c>
      <c r="L1273" s="15" t="str">
        <f>IFERROR(__xludf.DUMMYFUNCTION("IF(A1273="""","""",
  INDEX(FILTER('RE Portfolio'!C$2:C2000,'RE Portfolio'!D$2:D2000=""BUY""), INT((ROW()-2)/amortYears)+1)
  * (1 + VALUE(Assumptions!$B$11))^(D1273-1)
)
"),"")</f>
        <v/>
      </c>
    </row>
    <row r="1274">
      <c r="A1274" s="15" t="str">
        <f>IFERROR(__xludf.DUMMYFUNCTION("IFERROR(INDEX(FILTER('RE Portfolio'!A$2:A2000,'RE Portfolio'!D$2:D2000=""BUY""), INT((ROW()-2)/amortYears)+1), )
"),"")</f>
        <v/>
      </c>
      <c r="B1274" s="15" t="str">
        <f>IFERROR(__xludf.DUMMYFUNCTION("IFERROR(INDEX(FILTER('RE Portfolio'!B$2:B2000,'RE Portfolio'!D$2:D2000=""BUY""), INT((ROW()-2)/amortYears)+1), )
"),"")</f>
        <v/>
      </c>
      <c r="C1274" s="15" t="str">
        <f>IFERROR(__xludf.DUMMYFUNCTION("IFERROR(INDEX(FILTER('RE Portfolio'!G$2:G2000,'RE Portfolio'!D$2:D2000=""BUY""), INT((ROW()-2)/amortYears)+1), )
"),"")</f>
        <v/>
      </c>
      <c r="D1274" s="15">
        <f>MOD(ROW()-2, amortYears)+1</f>
        <v>19</v>
      </c>
      <c r="E1274" s="15" t="str">
        <f t="shared" si="1"/>
        <v/>
      </c>
      <c r="F1274" s="16">
        <f t="shared" si="2"/>
        <v>0</v>
      </c>
      <c r="G1274" s="16">
        <f>IF(D1274&lt;=mortTerm, -PMT(mortRate/12, mortTerm*12, C1274)*12, 0)
</f>
        <v>0</v>
      </c>
      <c r="H1274" s="16">
        <f>IF(D1274&lt;=mortTerm, G1274 - I1274, 0)
</f>
        <v>0</v>
      </c>
      <c r="I1274" s="16">
        <f>IF(D1274&lt;=mortTerm, F1274 - J1274, 0)
</f>
        <v>0</v>
      </c>
      <c r="J1274" s="16">
        <f>IF(D1274&lt;=mortTerm,
   F1274*(1+mortRate/12)^12 - (-PMT(mortRate/12, mortTerm*12, C1274))*(((1+mortRate/12)^12 - 1)/(mortRate/12)),
   0
)
</f>
        <v>0</v>
      </c>
      <c r="K1274" s="13" t="str">
        <f>IFERROR(__xludf.DUMMYFUNCTION("IF(A1274="""","""",
   IF(F1274&gt;0,
      INDEX(FILTER('RE Portfolio'!L$2:L2000,'RE Portfolio'!D$2:D2000=""BUY""), INT((ROW()-2)/amortYears)+1) - G1274,
      INDEX(FILTER('RE Portfolio'!L$2:L2000,'RE Portfolio'!D$2:D2000=""BUY""), INT((ROW()-2)/amortYears"&amp;")+1)
   )
)
"),"")</f>
        <v/>
      </c>
      <c r="L1274" s="15" t="str">
        <f>IFERROR(__xludf.DUMMYFUNCTION("IF(A1274="""","""",
  INDEX(FILTER('RE Portfolio'!C$2:C2000,'RE Portfolio'!D$2:D2000=""BUY""), INT((ROW()-2)/amortYears)+1)
  * (1 + VALUE(Assumptions!$B$11))^(D1274-1)
)
"),"")</f>
        <v/>
      </c>
    </row>
    <row r="1275">
      <c r="A1275" s="15" t="str">
        <f>IFERROR(__xludf.DUMMYFUNCTION("IFERROR(INDEX(FILTER('RE Portfolio'!A$2:A2000,'RE Portfolio'!D$2:D2000=""BUY""), INT((ROW()-2)/amortYears)+1), )
"),"")</f>
        <v/>
      </c>
      <c r="B1275" s="15" t="str">
        <f>IFERROR(__xludf.DUMMYFUNCTION("IFERROR(INDEX(FILTER('RE Portfolio'!B$2:B2000,'RE Portfolio'!D$2:D2000=""BUY""), INT((ROW()-2)/amortYears)+1), )
"),"")</f>
        <v/>
      </c>
      <c r="C1275" s="15" t="str">
        <f>IFERROR(__xludf.DUMMYFUNCTION("IFERROR(INDEX(FILTER('RE Portfolio'!G$2:G2000,'RE Portfolio'!D$2:D2000=""BUY""), INT((ROW()-2)/amortYears)+1), )
"),"")</f>
        <v/>
      </c>
      <c r="D1275" s="15">
        <f>MOD(ROW()-2, amortYears)+1</f>
        <v>20</v>
      </c>
      <c r="E1275" s="15" t="str">
        <f t="shared" si="1"/>
        <v/>
      </c>
      <c r="F1275" s="16">
        <f t="shared" si="2"/>
        <v>0</v>
      </c>
      <c r="G1275" s="16">
        <f>IF(D1275&lt;=mortTerm, -PMT(mortRate/12, mortTerm*12, C1275)*12, 0)
</f>
        <v>0</v>
      </c>
      <c r="H1275" s="16">
        <f>IF(D1275&lt;=mortTerm, G1275 - I1275, 0)
</f>
        <v>0</v>
      </c>
      <c r="I1275" s="16">
        <f>IF(D1275&lt;=mortTerm, F1275 - J1275, 0)
</f>
        <v>0</v>
      </c>
      <c r="J1275" s="16">
        <f>IF(D1275&lt;=mortTerm,
   F1275*(1+mortRate/12)^12 - (-PMT(mortRate/12, mortTerm*12, C1275))*(((1+mortRate/12)^12 - 1)/(mortRate/12)),
   0
)
</f>
        <v>0</v>
      </c>
      <c r="K1275" s="13" t="str">
        <f>IFERROR(__xludf.DUMMYFUNCTION("IF(A1275="""","""",
   IF(F1275&gt;0,
      INDEX(FILTER('RE Portfolio'!L$2:L2000,'RE Portfolio'!D$2:D2000=""BUY""), INT((ROW()-2)/amortYears)+1) - G1275,
      INDEX(FILTER('RE Portfolio'!L$2:L2000,'RE Portfolio'!D$2:D2000=""BUY""), INT((ROW()-2)/amortYears"&amp;")+1)
   )
)
"),"")</f>
        <v/>
      </c>
      <c r="L1275" s="15" t="str">
        <f>IFERROR(__xludf.DUMMYFUNCTION("IF(A1275="""","""",
  INDEX(FILTER('RE Portfolio'!C$2:C2000,'RE Portfolio'!D$2:D2000=""BUY""), INT((ROW()-2)/amortYears)+1)
  * (1 + VALUE(Assumptions!$B$11))^(D1275-1)
)
"),"")</f>
        <v/>
      </c>
    </row>
    <row r="1276">
      <c r="A1276" s="15" t="str">
        <f>IFERROR(__xludf.DUMMYFUNCTION("IFERROR(INDEX(FILTER('RE Portfolio'!A$2:A2000,'RE Portfolio'!D$2:D2000=""BUY""), INT((ROW()-2)/amortYears)+1), )
"),"")</f>
        <v/>
      </c>
      <c r="B1276" s="15" t="str">
        <f>IFERROR(__xludf.DUMMYFUNCTION("IFERROR(INDEX(FILTER('RE Portfolio'!B$2:B2000,'RE Portfolio'!D$2:D2000=""BUY""), INT((ROW()-2)/amortYears)+1), )
"),"")</f>
        <v/>
      </c>
      <c r="C1276" s="15" t="str">
        <f>IFERROR(__xludf.DUMMYFUNCTION("IFERROR(INDEX(FILTER('RE Portfolio'!G$2:G2000,'RE Portfolio'!D$2:D2000=""BUY""), INT((ROW()-2)/amortYears)+1), )
"),"")</f>
        <v/>
      </c>
      <c r="D1276" s="15">
        <f>MOD(ROW()-2, amortYears)+1</f>
        <v>21</v>
      </c>
      <c r="E1276" s="15" t="str">
        <f t="shared" si="1"/>
        <v/>
      </c>
      <c r="F1276" s="16">
        <f t="shared" si="2"/>
        <v>0</v>
      </c>
      <c r="G1276" s="16">
        <f>IF(D1276&lt;=mortTerm, -PMT(mortRate/12, mortTerm*12, C1276)*12, 0)
</f>
        <v>0</v>
      </c>
      <c r="H1276" s="16">
        <f>IF(D1276&lt;=mortTerm, G1276 - I1276, 0)
</f>
        <v>0</v>
      </c>
      <c r="I1276" s="16">
        <f>IF(D1276&lt;=mortTerm, F1276 - J1276, 0)
</f>
        <v>0</v>
      </c>
      <c r="J1276" s="16">
        <f>IF(D1276&lt;=mortTerm,
   F1276*(1+mortRate/12)^12 - (-PMT(mortRate/12, mortTerm*12, C1276))*(((1+mortRate/12)^12 - 1)/(mortRate/12)),
   0
)
</f>
        <v>0</v>
      </c>
      <c r="K1276" s="13" t="str">
        <f>IFERROR(__xludf.DUMMYFUNCTION("IF(A1276="""","""",
   IF(F1276&gt;0,
      INDEX(FILTER('RE Portfolio'!L$2:L2000,'RE Portfolio'!D$2:D2000=""BUY""), INT((ROW()-2)/amortYears)+1) - G1276,
      INDEX(FILTER('RE Portfolio'!L$2:L2000,'RE Portfolio'!D$2:D2000=""BUY""), INT((ROW()-2)/amortYears"&amp;")+1)
   )
)
"),"")</f>
        <v/>
      </c>
      <c r="L1276" s="15" t="str">
        <f>IFERROR(__xludf.DUMMYFUNCTION("IF(A1276="""","""",
  INDEX(FILTER('RE Portfolio'!C$2:C2000,'RE Portfolio'!D$2:D2000=""BUY""), INT((ROW()-2)/amortYears)+1)
  * (1 + VALUE(Assumptions!$B$11))^(D1276-1)
)
"),"")</f>
        <v/>
      </c>
    </row>
    <row r="1277">
      <c r="A1277" s="15" t="str">
        <f>IFERROR(__xludf.DUMMYFUNCTION("IFERROR(INDEX(FILTER('RE Portfolio'!A$2:A2000,'RE Portfolio'!D$2:D2000=""BUY""), INT((ROW()-2)/amortYears)+1), )
"),"")</f>
        <v/>
      </c>
      <c r="B1277" s="15" t="str">
        <f>IFERROR(__xludf.DUMMYFUNCTION("IFERROR(INDEX(FILTER('RE Portfolio'!B$2:B2000,'RE Portfolio'!D$2:D2000=""BUY""), INT((ROW()-2)/amortYears)+1), )
"),"")</f>
        <v/>
      </c>
      <c r="C1277" s="15" t="str">
        <f>IFERROR(__xludf.DUMMYFUNCTION("IFERROR(INDEX(FILTER('RE Portfolio'!G$2:G2000,'RE Portfolio'!D$2:D2000=""BUY""), INT((ROW()-2)/amortYears)+1), )
"),"")</f>
        <v/>
      </c>
      <c r="D1277" s="15">
        <f>MOD(ROW()-2, amortYears)+1</f>
        <v>22</v>
      </c>
      <c r="E1277" s="15" t="str">
        <f t="shared" si="1"/>
        <v/>
      </c>
      <c r="F1277" s="16">
        <f t="shared" si="2"/>
        <v>0</v>
      </c>
      <c r="G1277" s="16">
        <f>IF(D1277&lt;=mortTerm, -PMT(mortRate/12, mortTerm*12, C1277)*12, 0)
</f>
        <v>0</v>
      </c>
      <c r="H1277" s="16">
        <f>IF(D1277&lt;=mortTerm, G1277 - I1277, 0)
</f>
        <v>0</v>
      </c>
      <c r="I1277" s="16">
        <f>IF(D1277&lt;=mortTerm, F1277 - J1277, 0)
</f>
        <v>0</v>
      </c>
      <c r="J1277" s="16">
        <f>IF(D1277&lt;=mortTerm,
   F1277*(1+mortRate/12)^12 - (-PMT(mortRate/12, mortTerm*12, C1277))*(((1+mortRate/12)^12 - 1)/(mortRate/12)),
   0
)
</f>
        <v>0</v>
      </c>
      <c r="K1277" s="13" t="str">
        <f>IFERROR(__xludf.DUMMYFUNCTION("IF(A1277="""","""",
   IF(F1277&gt;0,
      INDEX(FILTER('RE Portfolio'!L$2:L2000,'RE Portfolio'!D$2:D2000=""BUY""), INT((ROW()-2)/amortYears)+1) - G1277,
      INDEX(FILTER('RE Portfolio'!L$2:L2000,'RE Portfolio'!D$2:D2000=""BUY""), INT((ROW()-2)/amortYears"&amp;")+1)
   )
)
"),"")</f>
        <v/>
      </c>
      <c r="L1277" s="15" t="str">
        <f>IFERROR(__xludf.DUMMYFUNCTION("IF(A1277="""","""",
  INDEX(FILTER('RE Portfolio'!C$2:C2000,'RE Portfolio'!D$2:D2000=""BUY""), INT((ROW()-2)/amortYears)+1)
  * (1 + VALUE(Assumptions!$B$11))^(D1277-1)
)
"),"")</f>
        <v/>
      </c>
    </row>
    <row r="1278">
      <c r="A1278" s="15" t="str">
        <f>IFERROR(__xludf.DUMMYFUNCTION("IFERROR(INDEX(FILTER('RE Portfolio'!A$2:A2000,'RE Portfolio'!D$2:D2000=""BUY""), INT((ROW()-2)/amortYears)+1), )
"),"")</f>
        <v/>
      </c>
      <c r="B1278" s="15" t="str">
        <f>IFERROR(__xludf.DUMMYFUNCTION("IFERROR(INDEX(FILTER('RE Portfolio'!B$2:B2000,'RE Portfolio'!D$2:D2000=""BUY""), INT((ROW()-2)/amortYears)+1), )
"),"")</f>
        <v/>
      </c>
      <c r="C1278" s="15" t="str">
        <f>IFERROR(__xludf.DUMMYFUNCTION("IFERROR(INDEX(FILTER('RE Portfolio'!G$2:G2000,'RE Portfolio'!D$2:D2000=""BUY""), INT((ROW()-2)/amortYears)+1), )
"),"")</f>
        <v/>
      </c>
      <c r="D1278" s="15">
        <f>MOD(ROW()-2, amortYears)+1</f>
        <v>23</v>
      </c>
      <c r="E1278" s="15" t="str">
        <f t="shared" si="1"/>
        <v/>
      </c>
      <c r="F1278" s="16">
        <f t="shared" si="2"/>
        <v>0</v>
      </c>
      <c r="G1278" s="16">
        <f>IF(D1278&lt;=mortTerm, -PMT(mortRate/12, mortTerm*12, C1278)*12, 0)
</f>
        <v>0</v>
      </c>
      <c r="H1278" s="16">
        <f>IF(D1278&lt;=mortTerm, G1278 - I1278, 0)
</f>
        <v>0</v>
      </c>
      <c r="I1278" s="16">
        <f>IF(D1278&lt;=mortTerm, F1278 - J1278, 0)
</f>
        <v>0</v>
      </c>
      <c r="J1278" s="16">
        <f>IF(D1278&lt;=mortTerm,
   F1278*(1+mortRate/12)^12 - (-PMT(mortRate/12, mortTerm*12, C1278))*(((1+mortRate/12)^12 - 1)/(mortRate/12)),
   0
)
</f>
        <v>0</v>
      </c>
      <c r="K1278" s="13" t="str">
        <f>IFERROR(__xludf.DUMMYFUNCTION("IF(A1278="""","""",
   IF(F1278&gt;0,
      INDEX(FILTER('RE Portfolio'!L$2:L2000,'RE Portfolio'!D$2:D2000=""BUY""), INT((ROW()-2)/amortYears)+1) - G1278,
      INDEX(FILTER('RE Portfolio'!L$2:L2000,'RE Portfolio'!D$2:D2000=""BUY""), INT((ROW()-2)/amortYears"&amp;")+1)
   )
)
"),"")</f>
        <v/>
      </c>
      <c r="L1278" s="15" t="str">
        <f>IFERROR(__xludf.DUMMYFUNCTION("IF(A1278="""","""",
  INDEX(FILTER('RE Portfolio'!C$2:C2000,'RE Portfolio'!D$2:D2000=""BUY""), INT((ROW()-2)/amortYears)+1)
  * (1 + VALUE(Assumptions!$B$11))^(D1278-1)
)
"),"")</f>
        <v/>
      </c>
    </row>
    <row r="1279">
      <c r="A1279" s="15" t="str">
        <f>IFERROR(__xludf.DUMMYFUNCTION("IFERROR(INDEX(FILTER('RE Portfolio'!A$2:A2000,'RE Portfolio'!D$2:D2000=""BUY""), INT((ROW()-2)/amortYears)+1), )
"),"")</f>
        <v/>
      </c>
      <c r="B1279" s="15" t="str">
        <f>IFERROR(__xludf.DUMMYFUNCTION("IFERROR(INDEX(FILTER('RE Portfolio'!B$2:B2000,'RE Portfolio'!D$2:D2000=""BUY""), INT((ROW()-2)/amortYears)+1), )
"),"")</f>
        <v/>
      </c>
      <c r="C1279" s="15" t="str">
        <f>IFERROR(__xludf.DUMMYFUNCTION("IFERROR(INDEX(FILTER('RE Portfolio'!G$2:G2000,'RE Portfolio'!D$2:D2000=""BUY""), INT((ROW()-2)/amortYears)+1), )
"),"")</f>
        <v/>
      </c>
      <c r="D1279" s="15">
        <f>MOD(ROW()-2, amortYears)+1</f>
        <v>24</v>
      </c>
      <c r="E1279" s="15" t="str">
        <f t="shared" si="1"/>
        <v/>
      </c>
      <c r="F1279" s="16">
        <f t="shared" si="2"/>
        <v>0</v>
      </c>
      <c r="G1279" s="16">
        <f>IF(D1279&lt;=mortTerm, -PMT(mortRate/12, mortTerm*12, C1279)*12, 0)
</f>
        <v>0</v>
      </c>
      <c r="H1279" s="16">
        <f>IF(D1279&lt;=mortTerm, G1279 - I1279, 0)
</f>
        <v>0</v>
      </c>
      <c r="I1279" s="16">
        <f>IF(D1279&lt;=mortTerm, F1279 - J1279, 0)
</f>
        <v>0</v>
      </c>
      <c r="J1279" s="16">
        <f>IF(D1279&lt;=mortTerm,
   F1279*(1+mortRate/12)^12 - (-PMT(mortRate/12, mortTerm*12, C1279))*(((1+mortRate/12)^12 - 1)/(mortRate/12)),
   0
)
</f>
        <v>0</v>
      </c>
      <c r="K1279" s="13" t="str">
        <f>IFERROR(__xludf.DUMMYFUNCTION("IF(A1279="""","""",
   IF(F1279&gt;0,
      INDEX(FILTER('RE Portfolio'!L$2:L2000,'RE Portfolio'!D$2:D2000=""BUY""), INT((ROW()-2)/amortYears)+1) - G1279,
      INDEX(FILTER('RE Portfolio'!L$2:L2000,'RE Portfolio'!D$2:D2000=""BUY""), INT((ROW()-2)/amortYears"&amp;")+1)
   )
)
"),"")</f>
        <v/>
      </c>
      <c r="L1279" s="15" t="str">
        <f>IFERROR(__xludf.DUMMYFUNCTION("IF(A1279="""","""",
  INDEX(FILTER('RE Portfolio'!C$2:C2000,'RE Portfolio'!D$2:D2000=""BUY""), INT((ROW()-2)/amortYears)+1)
  * (1 + VALUE(Assumptions!$B$11))^(D1279-1)
)
"),"")</f>
        <v/>
      </c>
    </row>
    <row r="1280">
      <c r="A1280" s="15" t="str">
        <f>IFERROR(__xludf.DUMMYFUNCTION("IFERROR(INDEX(FILTER('RE Portfolio'!A$2:A2000,'RE Portfolio'!D$2:D2000=""BUY""), INT((ROW()-2)/amortYears)+1), )
"),"")</f>
        <v/>
      </c>
      <c r="B1280" s="15" t="str">
        <f>IFERROR(__xludf.DUMMYFUNCTION("IFERROR(INDEX(FILTER('RE Portfolio'!B$2:B2000,'RE Portfolio'!D$2:D2000=""BUY""), INT((ROW()-2)/amortYears)+1), )
"),"")</f>
        <v/>
      </c>
      <c r="C1280" s="15" t="str">
        <f>IFERROR(__xludf.DUMMYFUNCTION("IFERROR(INDEX(FILTER('RE Portfolio'!G$2:G2000,'RE Portfolio'!D$2:D2000=""BUY""), INT((ROW()-2)/amortYears)+1), )
"),"")</f>
        <v/>
      </c>
      <c r="D1280" s="15">
        <f>MOD(ROW()-2, amortYears)+1</f>
        <v>25</v>
      </c>
      <c r="E1280" s="15" t="str">
        <f t="shared" si="1"/>
        <v/>
      </c>
      <c r="F1280" s="16">
        <f t="shared" si="2"/>
        <v>0</v>
      </c>
      <c r="G1280" s="16">
        <f>IF(D1280&lt;=mortTerm, -PMT(mortRate/12, mortTerm*12, C1280)*12, 0)
</f>
        <v>0</v>
      </c>
      <c r="H1280" s="16">
        <f>IF(D1280&lt;=mortTerm, G1280 - I1280, 0)
</f>
        <v>0</v>
      </c>
      <c r="I1280" s="16">
        <f>IF(D1280&lt;=mortTerm, F1280 - J1280, 0)
</f>
        <v>0</v>
      </c>
      <c r="J1280" s="16">
        <f>IF(D1280&lt;=mortTerm,
   F1280*(1+mortRate/12)^12 - (-PMT(mortRate/12, mortTerm*12, C1280))*(((1+mortRate/12)^12 - 1)/(mortRate/12)),
   0
)
</f>
        <v>0</v>
      </c>
      <c r="K1280" s="13" t="str">
        <f>IFERROR(__xludf.DUMMYFUNCTION("IF(A1280="""","""",
   IF(F1280&gt;0,
      INDEX(FILTER('RE Portfolio'!L$2:L2000,'RE Portfolio'!D$2:D2000=""BUY""), INT((ROW()-2)/amortYears)+1) - G1280,
      INDEX(FILTER('RE Portfolio'!L$2:L2000,'RE Portfolio'!D$2:D2000=""BUY""), INT((ROW()-2)/amortYears"&amp;")+1)
   )
)
"),"")</f>
        <v/>
      </c>
      <c r="L1280" s="15" t="str">
        <f>IFERROR(__xludf.DUMMYFUNCTION("IF(A1280="""","""",
  INDEX(FILTER('RE Portfolio'!C$2:C2000,'RE Portfolio'!D$2:D2000=""BUY""), INT((ROW()-2)/amortYears)+1)
  * (1 + VALUE(Assumptions!$B$11))^(D1280-1)
)
"),"")</f>
        <v/>
      </c>
    </row>
    <row r="1281">
      <c r="A1281" s="15" t="str">
        <f>IFERROR(__xludf.DUMMYFUNCTION("IFERROR(INDEX(FILTER('RE Portfolio'!A$2:A2000,'RE Portfolio'!D$2:D2000=""BUY""), INT((ROW()-2)/amortYears)+1), )
"),"")</f>
        <v/>
      </c>
      <c r="B1281" s="15" t="str">
        <f>IFERROR(__xludf.DUMMYFUNCTION("IFERROR(INDEX(FILTER('RE Portfolio'!B$2:B2000,'RE Portfolio'!D$2:D2000=""BUY""), INT((ROW()-2)/amortYears)+1), )
"),"")</f>
        <v/>
      </c>
      <c r="C1281" s="15" t="str">
        <f>IFERROR(__xludf.DUMMYFUNCTION("IFERROR(INDEX(FILTER('RE Portfolio'!G$2:G2000,'RE Portfolio'!D$2:D2000=""BUY""), INT((ROW()-2)/amortYears)+1), )
"),"")</f>
        <v/>
      </c>
      <c r="D1281" s="15">
        <f>MOD(ROW()-2, amortYears)+1</f>
        <v>26</v>
      </c>
      <c r="E1281" s="15" t="str">
        <f t="shared" si="1"/>
        <v/>
      </c>
      <c r="F1281" s="16">
        <f t="shared" si="2"/>
        <v>0</v>
      </c>
      <c r="G1281" s="16">
        <f>IF(D1281&lt;=mortTerm, -PMT(mortRate/12, mortTerm*12, C1281)*12, 0)
</f>
        <v>0</v>
      </c>
      <c r="H1281" s="16">
        <f>IF(D1281&lt;=mortTerm, G1281 - I1281, 0)
</f>
        <v>0</v>
      </c>
      <c r="I1281" s="16">
        <f>IF(D1281&lt;=mortTerm, F1281 - J1281, 0)
</f>
        <v>0</v>
      </c>
      <c r="J1281" s="16">
        <f>IF(D1281&lt;=mortTerm,
   F1281*(1+mortRate/12)^12 - (-PMT(mortRate/12, mortTerm*12, C1281))*(((1+mortRate/12)^12 - 1)/(mortRate/12)),
   0
)
</f>
        <v>0</v>
      </c>
      <c r="K1281" s="13" t="str">
        <f>IFERROR(__xludf.DUMMYFUNCTION("IF(A1281="""","""",
   IF(F1281&gt;0,
      INDEX(FILTER('RE Portfolio'!L$2:L2000,'RE Portfolio'!D$2:D2000=""BUY""), INT((ROW()-2)/amortYears)+1) - G1281,
      INDEX(FILTER('RE Portfolio'!L$2:L2000,'RE Portfolio'!D$2:D2000=""BUY""), INT((ROW()-2)/amortYears"&amp;")+1)
   )
)
"),"")</f>
        <v/>
      </c>
      <c r="L1281" s="15" t="str">
        <f>IFERROR(__xludf.DUMMYFUNCTION("IF(A1281="""","""",
  INDEX(FILTER('RE Portfolio'!C$2:C2000,'RE Portfolio'!D$2:D2000=""BUY""), INT((ROW()-2)/amortYears)+1)
  * (1 + VALUE(Assumptions!$B$11))^(D1281-1)
)
"),"")</f>
        <v/>
      </c>
    </row>
    <row r="1282">
      <c r="A1282" s="15" t="str">
        <f>IFERROR(__xludf.DUMMYFUNCTION("IFERROR(INDEX(FILTER('RE Portfolio'!A$2:A2000,'RE Portfolio'!D$2:D2000=""BUY""), INT((ROW()-2)/amortYears)+1), )
"),"")</f>
        <v/>
      </c>
      <c r="B1282" s="15" t="str">
        <f>IFERROR(__xludf.DUMMYFUNCTION("IFERROR(INDEX(FILTER('RE Portfolio'!B$2:B2000,'RE Portfolio'!D$2:D2000=""BUY""), INT((ROW()-2)/amortYears)+1), )
"),"")</f>
        <v/>
      </c>
      <c r="C1282" s="15" t="str">
        <f>IFERROR(__xludf.DUMMYFUNCTION("IFERROR(INDEX(FILTER('RE Portfolio'!G$2:G2000,'RE Portfolio'!D$2:D2000=""BUY""), INT((ROW()-2)/amortYears)+1), )
"),"")</f>
        <v/>
      </c>
      <c r="D1282" s="15">
        <f>MOD(ROW()-2, amortYears)+1</f>
        <v>27</v>
      </c>
      <c r="E1282" s="15" t="str">
        <f t="shared" si="1"/>
        <v/>
      </c>
      <c r="F1282" s="16">
        <f t="shared" si="2"/>
        <v>0</v>
      </c>
      <c r="G1282" s="16">
        <f>IF(D1282&lt;=mortTerm, -PMT(mortRate/12, mortTerm*12, C1282)*12, 0)
</f>
        <v>0</v>
      </c>
      <c r="H1282" s="16">
        <f>IF(D1282&lt;=mortTerm, G1282 - I1282, 0)
</f>
        <v>0</v>
      </c>
      <c r="I1282" s="16">
        <f>IF(D1282&lt;=mortTerm, F1282 - J1282, 0)
</f>
        <v>0</v>
      </c>
      <c r="J1282" s="16">
        <f>IF(D1282&lt;=mortTerm,
   F1282*(1+mortRate/12)^12 - (-PMT(mortRate/12, mortTerm*12, C1282))*(((1+mortRate/12)^12 - 1)/(mortRate/12)),
   0
)
</f>
        <v>0</v>
      </c>
      <c r="K1282" s="13" t="str">
        <f>IFERROR(__xludf.DUMMYFUNCTION("IF(A1282="""","""",
   IF(F1282&gt;0,
      INDEX(FILTER('RE Portfolio'!L$2:L2000,'RE Portfolio'!D$2:D2000=""BUY""), INT((ROW()-2)/amortYears)+1) - G1282,
      INDEX(FILTER('RE Portfolio'!L$2:L2000,'RE Portfolio'!D$2:D2000=""BUY""), INT((ROW()-2)/amortYears"&amp;")+1)
   )
)
"),"")</f>
        <v/>
      </c>
      <c r="L1282" s="15" t="str">
        <f>IFERROR(__xludf.DUMMYFUNCTION("IF(A1282="""","""",
  INDEX(FILTER('RE Portfolio'!C$2:C2000,'RE Portfolio'!D$2:D2000=""BUY""), INT((ROW()-2)/amortYears)+1)
  * (1 + VALUE(Assumptions!$B$11))^(D1282-1)
)
"),"")</f>
        <v/>
      </c>
    </row>
    <row r="1283">
      <c r="A1283" s="15" t="str">
        <f>IFERROR(__xludf.DUMMYFUNCTION("IFERROR(INDEX(FILTER('RE Portfolio'!A$2:A2000,'RE Portfolio'!D$2:D2000=""BUY""), INT((ROW()-2)/amortYears)+1), )
"),"")</f>
        <v/>
      </c>
      <c r="B1283" s="15" t="str">
        <f>IFERROR(__xludf.DUMMYFUNCTION("IFERROR(INDEX(FILTER('RE Portfolio'!B$2:B2000,'RE Portfolio'!D$2:D2000=""BUY""), INT((ROW()-2)/amortYears)+1), )
"),"")</f>
        <v/>
      </c>
      <c r="C1283" s="15" t="str">
        <f>IFERROR(__xludf.DUMMYFUNCTION("IFERROR(INDEX(FILTER('RE Portfolio'!G$2:G2000,'RE Portfolio'!D$2:D2000=""BUY""), INT((ROW()-2)/amortYears)+1), )
"),"")</f>
        <v/>
      </c>
      <c r="D1283" s="15">
        <f>MOD(ROW()-2, amortYears)+1</f>
        <v>28</v>
      </c>
      <c r="E1283" s="15" t="str">
        <f t="shared" si="1"/>
        <v/>
      </c>
      <c r="F1283" s="16">
        <f t="shared" si="2"/>
        <v>0</v>
      </c>
      <c r="G1283" s="16">
        <f>IF(D1283&lt;=mortTerm, -PMT(mortRate/12, mortTerm*12, C1283)*12, 0)
</f>
        <v>0</v>
      </c>
      <c r="H1283" s="16">
        <f>IF(D1283&lt;=mortTerm, G1283 - I1283, 0)
</f>
        <v>0</v>
      </c>
      <c r="I1283" s="16">
        <f>IF(D1283&lt;=mortTerm, F1283 - J1283, 0)
</f>
        <v>0</v>
      </c>
      <c r="J1283" s="16">
        <f>IF(D1283&lt;=mortTerm,
   F1283*(1+mortRate/12)^12 - (-PMT(mortRate/12, mortTerm*12, C1283))*(((1+mortRate/12)^12 - 1)/(mortRate/12)),
   0
)
</f>
        <v>0</v>
      </c>
      <c r="K1283" s="13" t="str">
        <f>IFERROR(__xludf.DUMMYFUNCTION("IF(A1283="""","""",
   IF(F1283&gt;0,
      INDEX(FILTER('RE Portfolio'!L$2:L2000,'RE Portfolio'!D$2:D2000=""BUY""), INT((ROW()-2)/amortYears)+1) - G1283,
      INDEX(FILTER('RE Portfolio'!L$2:L2000,'RE Portfolio'!D$2:D2000=""BUY""), INT((ROW()-2)/amortYears"&amp;")+1)
   )
)
"),"")</f>
        <v/>
      </c>
      <c r="L1283" s="15" t="str">
        <f>IFERROR(__xludf.DUMMYFUNCTION("IF(A1283="""","""",
  INDEX(FILTER('RE Portfolio'!C$2:C2000,'RE Portfolio'!D$2:D2000=""BUY""), INT((ROW()-2)/amortYears)+1)
  * (1 + VALUE(Assumptions!$B$11))^(D1283-1)
)
"),"")</f>
        <v/>
      </c>
    </row>
    <row r="1284">
      <c r="A1284" s="15" t="str">
        <f>IFERROR(__xludf.DUMMYFUNCTION("IFERROR(INDEX(FILTER('RE Portfolio'!A$2:A2000,'RE Portfolio'!D$2:D2000=""BUY""), INT((ROW()-2)/amortYears)+1), )
"),"")</f>
        <v/>
      </c>
      <c r="B1284" s="15" t="str">
        <f>IFERROR(__xludf.DUMMYFUNCTION("IFERROR(INDEX(FILTER('RE Portfolio'!B$2:B2000,'RE Portfolio'!D$2:D2000=""BUY""), INT((ROW()-2)/amortYears)+1), )
"),"")</f>
        <v/>
      </c>
      <c r="C1284" s="15" t="str">
        <f>IFERROR(__xludf.DUMMYFUNCTION("IFERROR(INDEX(FILTER('RE Portfolio'!G$2:G2000,'RE Portfolio'!D$2:D2000=""BUY""), INT((ROW()-2)/amortYears)+1), )
"),"")</f>
        <v/>
      </c>
      <c r="D1284" s="15">
        <f>MOD(ROW()-2, amortYears)+1</f>
        <v>29</v>
      </c>
      <c r="E1284" s="15" t="str">
        <f t="shared" si="1"/>
        <v/>
      </c>
      <c r="F1284" s="16">
        <f t="shared" si="2"/>
        <v>0</v>
      </c>
      <c r="G1284" s="16">
        <f>IF(D1284&lt;=mortTerm, -PMT(mortRate/12, mortTerm*12, C1284)*12, 0)
</f>
        <v>0</v>
      </c>
      <c r="H1284" s="16">
        <f>IF(D1284&lt;=mortTerm, G1284 - I1284, 0)
</f>
        <v>0</v>
      </c>
      <c r="I1284" s="16">
        <f>IF(D1284&lt;=mortTerm, F1284 - J1284, 0)
</f>
        <v>0</v>
      </c>
      <c r="J1284" s="16">
        <f>IF(D1284&lt;=mortTerm,
   F1284*(1+mortRate/12)^12 - (-PMT(mortRate/12, mortTerm*12, C1284))*(((1+mortRate/12)^12 - 1)/(mortRate/12)),
   0
)
</f>
        <v>0</v>
      </c>
      <c r="K1284" s="13" t="str">
        <f>IFERROR(__xludf.DUMMYFUNCTION("IF(A1284="""","""",
   IF(F1284&gt;0,
      INDEX(FILTER('RE Portfolio'!L$2:L2000,'RE Portfolio'!D$2:D2000=""BUY""), INT((ROW()-2)/amortYears)+1) - G1284,
      INDEX(FILTER('RE Portfolio'!L$2:L2000,'RE Portfolio'!D$2:D2000=""BUY""), INT((ROW()-2)/amortYears"&amp;")+1)
   )
)
"),"")</f>
        <v/>
      </c>
      <c r="L1284" s="15" t="str">
        <f>IFERROR(__xludf.DUMMYFUNCTION("IF(A1284="""","""",
  INDEX(FILTER('RE Portfolio'!C$2:C2000,'RE Portfolio'!D$2:D2000=""BUY""), INT((ROW()-2)/amortYears)+1)
  * (1 + VALUE(Assumptions!$B$11))^(D1284-1)
)
"),"")</f>
        <v/>
      </c>
    </row>
    <row r="1285">
      <c r="A1285" s="15" t="str">
        <f>IFERROR(__xludf.DUMMYFUNCTION("IFERROR(INDEX(FILTER('RE Portfolio'!A$2:A2000,'RE Portfolio'!D$2:D2000=""BUY""), INT((ROW()-2)/amortYears)+1), )
"),"")</f>
        <v/>
      </c>
      <c r="B1285" s="15" t="str">
        <f>IFERROR(__xludf.DUMMYFUNCTION("IFERROR(INDEX(FILTER('RE Portfolio'!B$2:B2000,'RE Portfolio'!D$2:D2000=""BUY""), INT((ROW()-2)/amortYears)+1), )
"),"")</f>
        <v/>
      </c>
      <c r="C1285" s="15" t="str">
        <f>IFERROR(__xludf.DUMMYFUNCTION("IFERROR(INDEX(FILTER('RE Portfolio'!G$2:G2000,'RE Portfolio'!D$2:D2000=""BUY""), INT((ROW()-2)/amortYears)+1), )
"),"")</f>
        <v/>
      </c>
      <c r="D1285" s="15">
        <f>MOD(ROW()-2, amortYears)+1</f>
        <v>30</v>
      </c>
      <c r="E1285" s="15" t="str">
        <f t="shared" si="1"/>
        <v/>
      </c>
      <c r="F1285" s="16">
        <f t="shared" si="2"/>
        <v>0</v>
      </c>
      <c r="G1285" s="16">
        <f>IF(D1285&lt;=mortTerm, -PMT(mortRate/12, mortTerm*12, C1285)*12, 0)
</f>
        <v>0</v>
      </c>
      <c r="H1285" s="16">
        <f>IF(D1285&lt;=mortTerm, G1285 - I1285, 0)
</f>
        <v>0</v>
      </c>
      <c r="I1285" s="16">
        <f>IF(D1285&lt;=mortTerm, F1285 - J1285, 0)
</f>
        <v>0</v>
      </c>
      <c r="J1285" s="16">
        <f>IF(D1285&lt;=mortTerm,
   F1285*(1+mortRate/12)^12 - (-PMT(mortRate/12, mortTerm*12, C1285))*(((1+mortRate/12)^12 - 1)/(mortRate/12)),
   0
)
</f>
        <v>0</v>
      </c>
      <c r="K1285" s="13" t="str">
        <f>IFERROR(__xludf.DUMMYFUNCTION("IF(A1285="""","""",
   IF(F1285&gt;0,
      INDEX(FILTER('RE Portfolio'!L$2:L2000,'RE Portfolio'!D$2:D2000=""BUY""), INT((ROW()-2)/amortYears)+1) - G1285,
      INDEX(FILTER('RE Portfolio'!L$2:L2000,'RE Portfolio'!D$2:D2000=""BUY""), INT((ROW()-2)/amortYears"&amp;")+1)
   )
)
"),"")</f>
        <v/>
      </c>
      <c r="L1285" s="15" t="str">
        <f>IFERROR(__xludf.DUMMYFUNCTION("IF(A1285="""","""",
  INDEX(FILTER('RE Portfolio'!C$2:C2000,'RE Portfolio'!D$2:D2000=""BUY""), INT((ROW()-2)/amortYears)+1)
  * (1 + VALUE(Assumptions!$B$11))^(D1285-1)
)
"),"")</f>
        <v/>
      </c>
    </row>
    <row r="1286">
      <c r="A1286" s="15" t="str">
        <f>IFERROR(__xludf.DUMMYFUNCTION("IFERROR(INDEX(FILTER('RE Portfolio'!A$2:A2000,'RE Portfolio'!D$2:D2000=""BUY""), INT((ROW()-2)/amortYears)+1), )
"),"")</f>
        <v/>
      </c>
      <c r="B1286" s="15" t="str">
        <f>IFERROR(__xludf.DUMMYFUNCTION("IFERROR(INDEX(FILTER('RE Portfolio'!B$2:B2000,'RE Portfolio'!D$2:D2000=""BUY""), INT((ROW()-2)/amortYears)+1), )
"),"")</f>
        <v/>
      </c>
      <c r="C1286" s="15" t="str">
        <f>IFERROR(__xludf.DUMMYFUNCTION("IFERROR(INDEX(FILTER('RE Portfolio'!G$2:G2000,'RE Portfolio'!D$2:D2000=""BUY""), INT((ROW()-2)/amortYears)+1), )
"),"")</f>
        <v/>
      </c>
      <c r="D1286" s="15">
        <f>MOD(ROW()-2, amortYears)+1</f>
        <v>31</v>
      </c>
      <c r="E1286" s="15" t="str">
        <f t="shared" si="1"/>
        <v/>
      </c>
      <c r="F1286" s="16">
        <f t="shared" si="2"/>
        <v>0</v>
      </c>
      <c r="G1286" s="15">
        <f>IF(D1286&lt;=mortTerm, -PMT(mortRate/12, mortTerm*12, C1286)*12, 0)
</f>
        <v>0</v>
      </c>
      <c r="H1286" s="15">
        <f>IF(D1286&lt;=mortTerm, G1286 - I1286, 0)
</f>
        <v>0</v>
      </c>
      <c r="I1286" s="15">
        <f>IF(D1286&lt;=mortTerm, F1286 - J1286, 0)
</f>
        <v>0</v>
      </c>
      <c r="J1286" s="15">
        <f>IF(D1286&lt;=mortTerm,
   F1286*(1+mortRate/12)^12 - (-PMT(mortRate/12, mortTerm*12, C1286))*(((1+mortRate/12)^12 - 1)/(mortRate/12)),
   0
)
</f>
        <v>0</v>
      </c>
      <c r="K1286" s="13" t="str">
        <f>IFERROR(__xludf.DUMMYFUNCTION("IF(A1286="""","""",
   IF(F1286&gt;0,
      INDEX(FILTER('RE Portfolio'!L$2:L2000,'RE Portfolio'!D$2:D2000=""BUY""), INT((ROW()-2)/amortYears)+1) - G1286,
      INDEX(FILTER('RE Portfolio'!L$2:L2000,'RE Portfolio'!D$2:D2000=""BUY""), INT((ROW()-2)/amortYears"&amp;")+1)
   )
)
"),"")</f>
        <v/>
      </c>
      <c r="L1286" s="15" t="str">
        <f>IFERROR(__xludf.DUMMYFUNCTION("IF(A1286="""","""",
  INDEX(FILTER('RE Portfolio'!C$2:C2000,'RE Portfolio'!D$2:D2000=""BUY""), INT((ROW()-2)/amortYears)+1)
  * (1 + VALUE(Assumptions!$B$11))^(D1286-1)
)
"),"")</f>
        <v/>
      </c>
    </row>
    <row r="1287">
      <c r="A1287" s="15" t="str">
        <f>IFERROR(__xludf.DUMMYFUNCTION("IFERROR(INDEX(FILTER('RE Portfolio'!A$2:A2000,'RE Portfolio'!D$2:D2000=""BUY""), INT((ROW()-2)/amortYears)+1), )
"),"")</f>
        <v/>
      </c>
      <c r="B1287" s="15" t="str">
        <f>IFERROR(__xludf.DUMMYFUNCTION("IFERROR(INDEX(FILTER('RE Portfolio'!B$2:B2000,'RE Portfolio'!D$2:D2000=""BUY""), INT((ROW()-2)/amortYears)+1), )
"),"")</f>
        <v/>
      </c>
      <c r="C1287" s="15" t="str">
        <f>IFERROR(__xludf.DUMMYFUNCTION("IFERROR(INDEX(FILTER('RE Portfolio'!G$2:G2000,'RE Portfolio'!D$2:D2000=""BUY""), INT((ROW()-2)/amortYears)+1), )
"),"")</f>
        <v/>
      </c>
      <c r="D1287" s="15">
        <f>MOD(ROW()-2, amortYears)+1</f>
        <v>32</v>
      </c>
      <c r="E1287" s="15" t="str">
        <f t="shared" si="1"/>
        <v/>
      </c>
      <c r="F1287" s="15">
        <f t="shared" si="2"/>
        <v>0</v>
      </c>
      <c r="G1287" s="15">
        <f>IF(D1287&lt;=mortTerm, -PMT(mortRate/12, mortTerm*12, C1287)*12, 0)
</f>
        <v>0</v>
      </c>
      <c r="H1287" s="15">
        <f>IF(D1287&lt;=mortTerm, G1287 - I1287, 0)
</f>
        <v>0</v>
      </c>
      <c r="I1287" s="15">
        <f>IF(D1287&lt;=mortTerm, F1287 - J1287, 0)
</f>
        <v>0</v>
      </c>
      <c r="J1287" s="15">
        <f>IF(D1287&lt;=mortTerm,
   F1287*(1+mortRate/12)^12 - (-PMT(mortRate/12, mortTerm*12, C1287))*(((1+mortRate/12)^12 - 1)/(mortRate/12)),
   0
)
</f>
        <v>0</v>
      </c>
      <c r="K1287" s="13" t="str">
        <f>IFERROR(__xludf.DUMMYFUNCTION("IF(A1287="""","""",
   IF(F1287&gt;0,
      INDEX(FILTER('RE Portfolio'!L$2:L2000,'RE Portfolio'!D$2:D2000=""BUY""), INT((ROW()-2)/amortYears)+1) - G1287,
      INDEX(FILTER('RE Portfolio'!L$2:L2000,'RE Portfolio'!D$2:D2000=""BUY""), INT((ROW()-2)/amortYears"&amp;")+1)
   )
)
"),"")</f>
        <v/>
      </c>
      <c r="L1287" s="15" t="str">
        <f>IFERROR(__xludf.DUMMYFUNCTION("IF(A1287="""","""",
  INDEX(FILTER('RE Portfolio'!C$2:C2000,'RE Portfolio'!D$2:D2000=""BUY""), INT((ROW()-2)/amortYears)+1)
  * (1 + VALUE(Assumptions!$B$11))^(D1287-1)
)
"),"")</f>
        <v/>
      </c>
    </row>
    <row r="1288">
      <c r="A1288" s="15" t="str">
        <f>IFERROR(__xludf.DUMMYFUNCTION("IFERROR(INDEX(FILTER('RE Portfolio'!A$2:A2000,'RE Portfolio'!D$2:D2000=""BUY""), INT((ROW()-2)/amortYears)+1), )
"),"")</f>
        <v/>
      </c>
      <c r="B1288" s="15" t="str">
        <f>IFERROR(__xludf.DUMMYFUNCTION("IFERROR(INDEX(FILTER('RE Portfolio'!B$2:B2000,'RE Portfolio'!D$2:D2000=""BUY""), INT((ROW()-2)/amortYears)+1), )
"),"")</f>
        <v/>
      </c>
      <c r="C1288" s="15" t="str">
        <f>IFERROR(__xludf.DUMMYFUNCTION("IFERROR(INDEX(FILTER('RE Portfolio'!G$2:G2000,'RE Portfolio'!D$2:D2000=""BUY""), INT((ROW()-2)/amortYears)+1), )
"),"")</f>
        <v/>
      </c>
      <c r="D1288" s="15">
        <f>MOD(ROW()-2, amortYears)+1</f>
        <v>33</v>
      </c>
      <c r="E1288" s="15" t="str">
        <f t="shared" si="1"/>
        <v/>
      </c>
      <c r="F1288" s="15">
        <f t="shared" si="2"/>
        <v>0</v>
      </c>
      <c r="G1288" s="15">
        <f>IF(D1288&lt;=mortTerm, -PMT(mortRate/12, mortTerm*12, C1288)*12, 0)
</f>
        <v>0</v>
      </c>
      <c r="H1288" s="15">
        <f>IF(D1288&lt;=mortTerm, G1288 - I1288, 0)
</f>
        <v>0</v>
      </c>
      <c r="I1288" s="15">
        <f>IF(D1288&lt;=mortTerm, F1288 - J1288, 0)
</f>
        <v>0</v>
      </c>
      <c r="J1288" s="15">
        <f>IF(D1288&lt;=mortTerm,
   F1288*(1+mortRate/12)^12 - (-PMT(mortRate/12, mortTerm*12, C1288))*(((1+mortRate/12)^12 - 1)/(mortRate/12)),
   0
)
</f>
        <v>0</v>
      </c>
      <c r="K1288" s="13" t="str">
        <f>IFERROR(__xludf.DUMMYFUNCTION("IF(A1288="""","""",
   IF(F1288&gt;0,
      INDEX(FILTER('RE Portfolio'!L$2:L2000,'RE Portfolio'!D$2:D2000=""BUY""), INT((ROW()-2)/amortYears)+1) - G1288,
      INDEX(FILTER('RE Portfolio'!L$2:L2000,'RE Portfolio'!D$2:D2000=""BUY""), INT((ROW()-2)/amortYears"&amp;")+1)
   )
)
"),"")</f>
        <v/>
      </c>
      <c r="L1288" s="15" t="str">
        <f>IFERROR(__xludf.DUMMYFUNCTION("IF(A1288="""","""",
  INDEX(FILTER('RE Portfolio'!C$2:C2000,'RE Portfolio'!D$2:D2000=""BUY""), INT((ROW()-2)/amortYears)+1)
  * (1 + VALUE(Assumptions!$B$11))^(D1288-1)
)
"),"")</f>
        <v/>
      </c>
    </row>
    <row r="1289">
      <c r="A1289" s="15" t="str">
        <f>IFERROR(__xludf.DUMMYFUNCTION("IFERROR(INDEX(FILTER('RE Portfolio'!A$2:A2000,'RE Portfolio'!D$2:D2000=""BUY""), INT((ROW()-2)/amortYears)+1), )
"),"")</f>
        <v/>
      </c>
      <c r="B1289" s="15" t="str">
        <f>IFERROR(__xludf.DUMMYFUNCTION("IFERROR(INDEX(FILTER('RE Portfolio'!B$2:B2000,'RE Portfolio'!D$2:D2000=""BUY""), INT((ROW()-2)/amortYears)+1), )
"),"")</f>
        <v/>
      </c>
      <c r="C1289" s="15" t="str">
        <f>IFERROR(__xludf.DUMMYFUNCTION("IFERROR(INDEX(FILTER('RE Portfolio'!G$2:G2000,'RE Portfolio'!D$2:D2000=""BUY""), INT((ROW()-2)/amortYears)+1), )
"),"")</f>
        <v/>
      </c>
      <c r="D1289" s="15">
        <f>MOD(ROW()-2, amortYears)+1</f>
        <v>34</v>
      </c>
      <c r="E1289" s="15" t="str">
        <f t="shared" si="1"/>
        <v/>
      </c>
      <c r="F1289" s="15">
        <f t="shared" si="2"/>
        <v>0</v>
      </c>
      <c r="G1289" s="15">
        <f>IF(D1289&lt;=mortTerm, -PMT(mortRate/12, mortTerm*12, C1289)*12, 0)
</f>
        <v>0</v>
      </c>
      <c r="H1289" s="15">
        <f>IF(D1289&lt;=mortTerm, G1289 - I1289, 0)
</f>
        <v>0</v>
      </c>
      <c r="I1289" s="15">
        <f>IF(D1289&lt;=mortTerm, F1289 - J1289, 0)
</f>
        <v>0</v>
      </c>
      <c r="J1289" s="15">
        <f>IF(D1289&lt;=mortTerm,
   F1289*(1+mortRate/12)^12 - (-PMT(mortRate/12, mortTerm*12, C1289))*(((1+mortRate/12)^12 - 1)/(mortRate/12)),
   0
)
</f>
        <v>0</v>
      </c>
      <c r="K1289" s="13" t="str">
        <f>IFERROR(__xludf.DUMMYFUNCTION("IF(A1289="""","""",
   IF(F1289&gt;0,
      INDEX(FILTER('RE Portfolio'!L$2:L2000,'RE Portfolio'!D$2:D2000=""BUY""), INT((ROW()-2)/amortYears)+1) - G1289,
      INDEX(FILTER('RE Portfolio'!L$2:L2000,'RE Portfolio'!D$2:D2000=""BUY""), INT((ROW()-2)/amortYears"&amp;")+1)
   )
)
"),"")</f>
        <v/>
      </c>
      <c r="L1289" s="15" t="str">
        <f>IFERROR(__xludf.DUMMYFUNCTION("IF(A1289="""","""",
  INDEX(FILTER('RE Portfolio'!C$2:C2000,'RE Portfolio'!D$2:D2000=""BUY""), INT((ROW()-2)/amortYears)+1)
  * (1 + VALUE(Assumptions!$B$11))^(D1289-1)
)
"),"")</f>
        <v/>
      </c>
    </row>
    <row r="1290">
      <c r="A1290" s="15" t="str">
        <f>IFERROR(__xludf.DUMMYFUNCTION("IFERROR(INDEX(FILTER('RE Portfolio'!A$2:A2000,'RE Portfolio'!D$2:D2000=""BUY""), INT((ROW()-2)/amortYears)+1), )
"),"")</f>
        <v/>
      </c>
      <c r="B1290" s="15" t="str">
        <f>IFERROR(__xludf.DUMMYFUNCTION("IFERROR(INDEX(FILTER('RE Portfolio'!B$2:B2000,'RE Portfolio'!D$2:D2000=""BUY""), INT((ROW()-2)/amortYears)+1), )
"),"")</f>
        <v/>
      </c>
      <c r="C1290" s="15" t="str">
        <f>IFERROR(__xludf.DUMMYFUNCTION("IFERROR(INDEX(FILTER('RE Portfolio'!G$2:G2000,'RE Portfolio'!D$2:D2000=""BUY""), INT((ROW()-2)/amortYears)+1), )
"),"")</f>
        <v/>
      </c>
      <c r="D1290" s="15">
        <f>MOD(ROW()-2, amortYears)+1</f>
        <v>35</v>
      </c>
      <c r="E1290" s="15" t="str">
        <f t="shared" si="1"/>
        <v/>
      </c>
      <c r="F1290" s="15">
        <f t="shared" si="2"/>
        <v>0</v>
      </c>
      <c r="G1290" s="15">
        <f>IF(D1290&lt;=mortTerm, -PMT(mortRate/12, mortTerm*12, C1290)*12, 0)
</f>
        <v>0</v>
      </c>
      <c r="H1290" s="15">
        <f>IF(D1290&lt;=mortTerm, G1290 - I1290, 0)
</f>
        <v>0</v>
      </c>
      <c r="I1290" s="15">
        <f>IF(D1290&lt;=mortTerm, F1290 - J1290, 0)
</f>
        <v>0</v>
      </c>
      <c r="J1290" s="15">
        <f>IF(D1290&lt;=mortTerm,
   F1290*(1+mortRate/12)^12 - (-PMT(mortRate/12, mortTerm*12, C1290))*(((1+mortRate/12)^12 - 1)/(mortRate/12)),
   0
)
</f>
        <v>0</v>
      </c>
      <c r="K1290" s="13" t="str">
        <f>IFERROR(__xludf.DUMMYFUNCTION("IF(A1290="""","""",
   IF(F1290&gt;0,
      INDEX(FILTER('RE Portfolio'!L$2:L2000,'RE Portfolio'!D$2:D2000=""BUY""), INT((ROW()-2)/amortYears)+1) - G1290,
      INDEX(FILTER('RE Portfolio'!L$2:L2000,'RE Portfolio'!D$2:D2000=""BUY""), INT((ROW()-2)/amortYears"&amp;")+1)
   )
)
"),"")</f>
        <v/>
      </c>
      <c r="L1290" s="15" t="str">
        <f>IFERROR(__xludf.DUMMYFUNCTION("IF(A1290="""","""",
  INDEX(FILTER('RE Portfolio'!C$2:C2000,'RE Portfolio'!D$2:D2000=""BUY""), INT((ROW()-2)/amortYears)+1)
  * (1 + VALUE(Assumptions!$B$11))^(D1290-1)
)
"),"")</f>
        <v/>
      </c>
    </row>
    <row r="1291">
      <c r="A1291" s="15" t="str">
        <f>IFERROR(__xludf.DUMMYFUNCTION("IFERROR(INDEX(FILTER('RE Portfolio'!A$2:A2000,'RE Portfolio'!D$2:D2000=""BUY""), INT((ROW()-2)/amortYears)+1), )
"),"")</f>
        <v/>
      </c>
      <c r="B1291" s="15" t="str">
        <f>IFERROR(__xludf.DUMMYFUNCTION("IFERROR(INDEX(FILTER('RE Portfolio'!B$2:B2000,'RE Portfolio'!D$2:D2000=""BUY""), INT((ROW()-2)/amortYears)+1), )
"),"")</f>
        <v/>
      </c>
      <c r="C1291" s="15" t="str">
        <f>IFERROR(__xludf.DUMMYFUNCTION("IFERROR(INDEX(FILTER('RE Portfolio'!G$2:G2000,'RE Portfolio'!D$2:D2000=""BUY""), INT((ROW()-2)/amortYears)+1), )
"),"")</f>
        <v/>
      </c>
      <c r="D1291" s="15">
        <f>MOD(ROW()-2, amortYears)+1</f>
        <v>36</v>
      </c>
      <c r="E1291" s="15" t="str">
        <f t="shared" si="1"/>
        <v/>
      </c>
      <c r="F1291" s="15">
        <f t="shared" si="2"/>
        <v>0</v>
      </c>
      <c r="G1291" s="15">
        <f>IF(D1291&lt;=mortTerm, -PMT(mortRate/12, mortTerm*12, C1291)*12, 0)
</f>
        <v>0</v>
      </c>
      <c r="H1291" s="15">
        <f>IF(D1291&lt;=mortTerm, G1291 - I1291, 0)
</f>
        <v>0</v>
      </c>
      <c r="I1291" s="15">
        <f>IF(D1291&lt;=mortTerm, F1291 - J1291, 0)
</f>
        <v>0</v>
      </c>
      <c r="J1291" s="15">
        <f>IF(D1291&lt;=mortTerm,
   F1291*(1+mortRate/12)^12 - (-PMT(mortRate/12, mortTerm*12, C1291))*(((1+mortRate/12)^12 - 1)/(mortRate/12)),
   0
)
</f>
        <v>0</v>
      </c>
      <c r="K1291" s="13" t="str">
        <f>IFERROR(__xludf.DUMMYFUNCTION("IF(A1291="""","""",
   IF(F1291&gt;0,
      INDEX(FILTER('RE Portfolio'!L$2:L2000,'RE Portfolio'!D$2:D2000=""BUY""), INT((ROW()-2)/amortYears)+1) - G1291,
      INDEX(FILTER('RE Portfolio'!L$2:L2000,'RE Portfolio'!D$2:D2000=""BUY""), INT((ROW()-2)/amortYears"&amp;")+1)
   )
)
"),"")</f>
        <v/>
      </c>
      <c r="L1291" s="15" t="str">
        <f>IFERROR(__xludf.DUMMYFUNCTION("IF(A1291="""","""",
  INDEX(FILTER('RE Portfolio'!C$2:C2000,'RE Portfolio'!D$2:D2000=""BUY""), INT((ROW()-2)/amortYears)+1)
  * (1 + VALUE(Assumptions!$B$11))^(D1291-1)
)
"),"")</f>
        <v/>
      </c>
    </row>
    <row r="1292">
      <c r="A1292" s="15" t="str">
        <f>IFERROR(__xludf.DUMMYFUNCTION("IFERROR(INDEX(FILTER('RE Portfolio'!A$2:A2000,'RE Portfolio'!D$2:D2000=""BUY""), INT((ROW()-2)/amortYears)+1), )
"),"")</f>
        <v/>
      </c>
      <c r="B1292" s="15" t="str">
        <f>IFERROR(__xludf.DUMMYFUNCTION("IFERROR(INDEX(FILTER('RE Portfolio'!B$2:B2000,'RE Portfolio'!D$2:D2000=""BUY""), INT((ROW()-2)/amortYears)+1), )
"),"")</f>
        <v/>
      </c>
      <c r="C1292" s="15" t="str">
        <f>IFERROR(__xludf.DUMMYFUNCTION("IFERROR(INDEX(FILTER('RE Portfolio'!G$2:G2000,'RE Portfolio'!D$2:D2000=""BUY""), INT((ROW()-2)/amortYears)+1), )
"),"")</f>
        <v/>
      </c>
      <c r="D1292" s="15">
        <f>MOD(ROW()-2, amortYears)+1</f>
        <v>37</v>
      </c>
      <c r="E1292" s="15" t="str">
        <f t="shared" si="1"/>
        <v/>
      </c>
      <c r="F1292" s="15">
        <f t="shared" si="2"/>
        <v>0</v>
      </c>
      <c r="G1292" s="15">
        <f>IF(D1292&lt;=mortTerm, -PMT(mortRate/12, mortTerm*12, C1292)*12, 0)
</f>
        <v>0</v>
      </c>
      <c r="H1292" s="15">
        <f>IF(D1292&lt;=mortTerm, G1292 - I1292, 0)
</f>
        <v>0</v>
      </c>
      <c r="I1292" s="15">
        <f>IF(D1292&lt;=mortTerm, F1292 - J1292, 0)
</f>
        <v>0</v>
      </c>
      <c r="J1292" s="15">
        <f>IF(D1292&lt;=mortTerm,
   F1292*(1+mortRate/12)^12 - (-PMT(mortRate/12, mortTerm*12, C1292))*(((1+mortRate/12)^12 - 1)/(mortRate/12)),
   0
)
</f>
        <v>0</v>
      </c>
      <c r="K1292" s="13" t="str">
        <f>IFERROR(__xludf.DUMMYFUNCTION("IF(A1292="""","""",
   IF(F1292&gt;0,
      INDEX(FILTER('RE Portfolio'!L$2:L2000,'RE Portfolio'!D$2:D2000=""BUY""), INT((ROW()-2)/amortYears)+1) - G1292,
      INDEX(FILTER('RE Portfolio'!L$2:L2000,'RE Portfolio'!D$2:D2000=""BUY""), INT((ROW()-2)/amortYears"&amp;")+1)
   )
)
"),"")</f>
        <v/>
      </c>
      <c r="L1292" s="15" t="str">
        <f>IFERROR(__xludf.DUMMYFUNCTION("IF(A1292="""","""",
  INDEX(FILTER('RE Portfolio'!C$2:C2000,'RE Portfolio'!D$2:D2000=""BUY""), INT((ROW()-2)/amortYears)+1)
  * (1 + VALUE(Assumptions!$B$11))^(D1292-1)
)
"),"")</f>
        <v/>
      </c>
    </row>
    <row r="1293">
      <c r="A1293" s="15" t="str">
        <f>IFERROR(__xludf.DUMMYFUNCTION("IFERROR(INDEX(FILTER('RE Portfolio'!A$2:A2000,'RE Portfolio'!D$2:D2000=""BUY""), INT((ROW()-2)/amortYears)+1), )
"),"")</f>
        <v/>
      </c>
      <c r="B1293" s="15" t="str">
        <f>IFERROR(__xludf.DUMMYFUNCTION("IFERROR(INDEX(FILTER('RE Portfolio'!B$2:B2000,'RE Portfolio'!D$2:D2000=""BUY""), INT((ROW()-2)/amortYears)+1), )
"),"")</f>
        <v/>
      </c>
      <c r="C1293" s="15" t="str">
        <f>IFERROR(__xludf.DUMMYFUNCTION("IFERROR(INDEX(FILTER('RE Portfolio'!G$2:G2000,'RE Portfolio'!D$2:D2000=""BUY""), INT((ROW()-2)/amortYears)+1), )
"),"")</f>
        <v/>
      </c>
      <c r="D1293" s="15">
        <f>MOD(ROW()-2, amortYears)+1</f>
        <v>38</v>
      </c>
      <c r="E1293" s="15" t="str">
        <f t="shared" si="1"/>
        <v/>
      </c>
      <c r="F1293" s="15">
        <f t="shared" si="2"/>
        <v>0</v>
      </c>
      <c r="G1293" s="15">
        <f>IF(D1293&lt;=mortTerm, -PMT(mortRate/12, mortTerm*12, C1293)*12, 0)
</f>
        <v>0</v>
      </c>
      <c r="H1293" s="15">
        <f>IF(D1293&lt;=mortTerm, G1293 - I1293, 0)
</f>
        <v>0</v>
      </c>
      <c r="I1293" s="15">
        <f>IF(D1293&lt;=mortTerm, F1293 - J1293, 0)
</f>
        <v>0</v>
      </c>
      <c r="J1293" s="15">
        <f>IF(D1293&lt;=mortTerm,
   F1293*(1+mortRate/12)^12 - (-PMT(mortRate/12, mortTerm*12, C1293))*(((1+mortRate/12)^12 - 1)/(mortRate/12)),
   0
)
</f>
        <v>0</v>
      </c>
      <c r="K1293" s="13" t="str">
        <f>IFERROR(__xludf.DUMMYFUNCTION("IF(A1293="""","""",
   IF(F1293&gt;0,
      INDEX(FILTER('RE Portfolio'!L$2:L2000,'RE Portfolio'!D$2:D2000=""BUY""), INT((ROW()-2)/amortYears)+1) - G1293,
      INDEX(FILTER('RE Portfolio'!L$2:L2000,'RE Portfolio'!D$2:D2000=""BUY""), INT((ROW()-2)/amortYears"&amp;")+1)
   )
)
"),"")</f>
        <v/>
      </c>
      <c r="L1293" s="15" t="str">
        <f>IFERROR(__xludf.DUMMYFUNCTION("IF(A1293="""","""",
  INDEX(FILTER('RE Portfolio'!C$2:C2000,'RE Portfolio'!D$2:D2000=""BUY""), INT((ROW()-2)/amortYears)+1)
  * (1 + VALUE(Assumptions!$B$11))^(D1293-1)
)
"),"")</f>
        <v/>
      </c>
    </row>
    <row r="1294">
      <c r="A1294" s="15" t="str">
        <f>IFERROR(__xludf.DUMMYFUNCTION("IFERROR(INDEX(FILTER('RE Portfolio'!A$2:A2000,'RE Portfolio'!D$2:D2000=""BUY""), INT((ROW()-2)/amortYears)+1), )
"),"")</f>
        <v/>
      </c>
      <c r="B1294" s="15" t="str">
        <f>IFERROR(__xludf.DUMMYFUNCTION("IFERROR(INDEX(FILTER('RE Portfolio'!B$2:B2000,'RE Portfolio'!D$2:D2000=""BUY""), INT((ROW()-2)/amortYears)+1), )
"),"")</f>
        <v/>
      </c>
      <c r="C1294" s="15" t="str">
        <f>IFERROR(__xludf.DUMMYFUNCTION("IFERROR(INDEX(FILTER('RE Portfolio'!G$2:G2000,'RE Portfolio'!D$2:D2000=""BUY""), INT((ROW()-2)/amortYears)+1), )
"),"")</f>
        <v/>
      </c>
      <c r="D1294" s="15">
        <f>MOD(ROW()-2, amortYears)+1</f>
        <v>1</v>
      </c>
      <c r="E1294" s="15" t="str">
        <f t="shared" si="1"/>
        <v/>
      </c>
      <c r="F1294" s="15" t="str">
        <f t="shared" si="2"/>
        <v/>
      </c>
      <c r="G1294" s="16">
        <f>IF(D1294&lt;=mortTerm, -PMT(mortRate/12, mortTerm*12, C1294)*12, 0)
</f>
        <v>0</v>
      </c>
      <c r="H1294" s="16">
        <f>IF(D1294&lt;=mortTerm, G1294 - I1294, 0)
</f>
        <v>0</v>
      </c>
      <c r="I1294" s="16">
        <f>IF(D1294&lt;=mortTerm, F1294 - J1294, 0)
</f>
        <v>0</v>
      </c>
      <c r="J1294" s="16">
        <f>IF(D1294&lt;=mortTerm,
   F1294*(1+mortRate/12)^12 - (-PMT(mortRate/12, mortTerm*12, C1294))*(((1+mortRate/12)^12 - 1)/(mortRate/12)),
   0
)
</f>
        <v>0</v>
      </c>
      <c r="K1294" s="13" t="str">
        <f>IFERROR(__xludf.DUMMYFUNCTION("IF(A1294="""","""",
   IF(F1294&gt;0,
      INDEX(FILTER('RE Portfolio'!L$2:L2000,'RE Portfolio'!D$2:D2000=""BUY""), INT((ROW()-2)/amortYears)+1) - G1294,
      INDEX(FILTER('RE Portfolio'!L$2:L2000,'RE Portfolio'!D$2:D2000=""BUY""), INT((ROW()-2)/amortYears"&amp;")+1)
   )
)
"),"")</f>
        <v/>
      </c>
      <c r="L1294" s="15" t="str">
        <f>IFERROR(__xludf.DUMMYFUNCTION("IF(A1294="""","""",
  INDEX(FILTER('RE Portfolio'!C$2:C2000,'RE Portfolio'!D$2:D2000=""BUY""), INT((ROW()-2)/amortYears)+1)
  * (1 + VALUE(Assumptions!$B$11))^(D1294-1)
)
"),"")</f>
        <v/>
      </c>
    </row>
    <row r="1295">
      <c r="A1295" s="15" t="str">
        <f>IFERROR(__xludf.DUMMYFUNCTION("IFERROR(INDEX(FILTER('RE Portfolio'!A$2:A2000,'RE Portfolio'!D$2:D2000=""BUY""), INT((ROW()-2)/amortYears)+1), )
"),"")</f>
        <v/>
      </c>
      <c r="B1295" s="15" t="str">
        <f>IFERROR(__xludf.DUMMYFUNCTION("IFERROR(INDEX(FILTER('RE Portfolio'!B$2:B2000,'RE Portfolio'!D$2:D2000=""BUY""), INT((ROW()-2)/amortYears)+1), )
"),"")</f>
        <v/>
      </c>
      <c r="C1295" s="15" t="str">
        <f>IFERROR(__xludf.DUMMYFUNCTION("IFERROR(INDEX(FILTER('RE Portfolio'!G$2:G2000,'RE Portfolio'!D$2:D2000=""BUY""), INT((ROW()-2)/amortYears)+1), )
"),"")</f>
        <v/>
      </c>
      <c r="D1295" s="15">
        <f>MOD(ROW()-2, amortYears)+1</f>
        <v>2</v>
      </c>
      <c r="E1295" s="15" t="str">
        <f t="shared" si="1"/>
        <v/>
      </c>
      <c r="F1295" s="16">
        <f t="shared" si="2"/>
        <v>0</v>
      </c>
      <c r="G1295" s="16">
        <f>IF(D1295&lt;=mortTerm, -PMT(mortRate/12, mortTerm*12, C1295)*12, 0)
</f>
        <v>0</v>
      </c>
      <c r="H1295" s="16">
        <f>IF(D1295&lt;=mortTerm, G1295 - I1295, 0)
</f>
        <v>0</v>
      </c>
      <c r="I1295" s="16">
        <f>IF(D1295&lt;=mortTerm, F1295 - J1295, 0)
</f>
        <v>0</v>
      </c>
      <c r="J1295" s="16">
        <f>IF(D1295&lt;=mortTerm,
   F1295*(1+mortRate/12)^12 - (-PMT(mortRate/12, mortTerm*12, C1295))*(((1+mortRate/12)^12 - 1)/(mortRate/12)),
   0
)
</f>
        <v>0</v>
      </c>
      <c r="K1295" s="13" t="str">
        <f>IFERROR(__xludf.DUMMYFUNCTION("IF(A1295="""","""",
   IF(F1295&gt;0,
      INDEX(FILTER('RE Portfolio'!L$2:L2000,'RE Portfolio'!D$2:D2000=""BUY""), INT((ROW()-2)/amortYears)+1) - G1295,
      INDEX(FILTER('RE Portfolio'!L$2:L2000,'RE Portfolio'!D$2:D2000=""BUY""), INT((ROW()-2)/amortYears"&amp;")+1)
   )
)
"),"")</f>
        <v/>
      </c>
      <c r="L1295" s="15" t="str">
        <f>IFERROR(__xludf.DUMMYFUNCTION("IF(A1295="""","""",
  INDEX(FILTER('RE Portfolio'!C$2:C2000,'RE Portfolio'!D$2:D2000=""BUY""), INT((ROW()-2)/amortYears)+1)
  * (1 + VALUE(Assumptions!$B$11))^(D1295-1)
)
"),"")</f>
        <v/>
      </c>
    </row>
    <row r="1296">
      <c r="A1296" s="15" t="str">
        <f>IFERROR(__xludf.DUMMYFUNCTION("IFERROR(INDEX(FILTER('RE Portfolio'!A$2:A2000,'RE Portfolio'!D$2:D2000=""BUY""), INT((ROW()-2)/amortYears)+1), )
"),"")</f>
        <v/>
      </c>
      <c r="B1296" s="15" t="str">
        <f>IFERROR(__xludf.DUMMYFUNCTION("IFERROR(INDEX(FILTER('RE Portfolio'!B$2:B2000,'RE Portfolio'!D$2:D2000=""BUY""), INT((ROW()-2)/amortYears)+1), )
"),"")</f>
        <v/>
      </c>
      <c r="C1296" s="15" t="str">
        <f>IFERROR(__xludf.DUMMYFUNCTION("IFERROR(INDEX(FILTER('RE Portfolio'!G$2:G2000,'RE Portfolio'!D$2:D2000=""BUY""), INT((ROW()-2)/amortYears)+1), )
"),"")</f>
        <v/>
      </c>
      <c r="D1296" s="15">
        <f>MOD(ROW()-2, amortYears)+1</f>
        <v>3</v>
      </c>
      <c r="E1296" s="15" t="str">
        <f t="shared" si="1"/>
        <v/>
      </c>
      <c r="F1296" s="16">
        <f t="shared" si="2"/>
        <v>0</v>
      </c>
      <c r="G1296" s="16">
        <f>IF(D1296&lt;=mortTerm, -PMT(mortRate/12, mortTerm*12, C1296)*12, 0)
</f>
        <v>0</v>
      </c>
      <c r="H1296" s="16">
        <f>IF(D1296&lt;=mortTerm, G1296 - I1296, 0)
</f>
        <v>0</v>
      </c>
      <c r="I1296" s="16">
        <f>IF(D1296&lt;=mortTerm, F1296 - J1296, 0)
</f>
        <v>0</v>
      </c>
      <c r="J1296" s="16">
        <f>IF(D1296&lt;=mortTerm,
   F1296*(1+mortRate/12)^12 - (-PMT(mortRate/12, mortTerm*12, C1296))*(((1+mortRate/12)^12 - 1)/(mortRate/12)),
   0
)
</f>
        <v>0</v>
      </c>
      <c r="K1296" s="13" t="str">
        <f>IFERROR(__xludf.DUMMYFUNCTION("IF(A1296="""","""",
   IF(F1296&gt;0,
      INDEX(FILTER('RE Portfolio'!L$2:L2000,'RE Portfolio'!D$2:D2000=""BUY""), INT((ROW()-2)/amortYears)+1) - G1296,
      INDEX(FILTER('RE Portfolio'!L$2:L2000,'RE Portfolio'!D$2:D2000=""BUY""), INT((ROW()-2)/amortYears"&amp;")+1)
   )
)
"),"")</f>
        <v/>
      </c>
      <c r="L1296" s="15" t="str">
        <f>IFERROR(__xludf.DUMMYFUNCTION("IF(A1296="""","""",
  INDEX(FILTER('RE Portfolio'!C$2:C2000,'RE Portfolio'!D$2:D2000=""BUY""), INT((ROW()-2)/amortYears)+1)
  * (1 + VALUE(Assumptions!$B$11))^(D1296-1)
)
"),"")</f>
        <v/>
      </c>
    </row>
    <row r="1297">
      <c r="A1297" s="15" t="str">
        <f>IFERROR(__xludf.DUMMYFUNCTION("IFERROR(INDEX(FILTER('RE Portfolio'!A$2:A2000,'RE Portfolio'!D$2:D2000=""BUY""), INT((ROW()-2)/amortYears)+1), )
"),"")</f>
        <v/>
      </c>
      <c r="B1297" s="15" t="str">
        <f>IFERROR(__xludf.DUMMYFUNCTION("IFERROR(INDEX(FILTER('RE Portfolio'!B$2:B2000,'RE Portfolio'!D$2:D2000=""BUY""), INT((ROW()-2)/amortYears)+1), )
"),"")</f>
        <v/>
      </c>
      <c r="C1297" s="15" t="str">
        <f>IFERROR(__xludf.DUMMYFUNCTION("IFERROR(INDEX(FILTER('RE Portfolio'!G$2:G2000,'RE Portfolio'!D$2:D2000=""BUY""), INT((ROW()-2)/amortYears)+1), )
"),"")</f>
        <v/>
      </c>
      <c r="D1297" s="15">
        <f>MOD(ROW()-2, amortYears)+1</f>
        <v>4</v>
      </c>
      <c r="E1297" s="15" t="str">
        <f t="shared" si="1"/>
        <v/>
      </c>
      <c r="F1297" s="16">
        <f t="shared" si="2"/>
        <v>0</v>
      </c>
      <c r="G1297" s="16">
        <f>IF(D1297&lt;=mortTerm, -PMT(mortRate/12, mortTerm*12, C1297)*12, 0)
</f>
        <v>0</v>
      </c>
      <c r="H1297" s="16">
        <f>IF(D1297&lt;=mortTerm, G1297 - I1297, 0)
</f>
        <v>0</v>
      </c>
      <c r="I1297" s="16">
        <f>IF(D1297&lt;=mortTerm, F1297 - J1297, 0)
</f>
        <v>0</v>
      </c>
      <c r="J1297" s="16">
        <f>IF(D1297&lt;=mortTerm,
   F1297*(1+mortRate/12)^12 - (-PMT(mortRate/12, mortTerm*12, C1297))*(((1+mortRate/12)^12 - 1)/(mortRate/12)),
   0
)
</f>
        <v>0</v>
      </c>
      <c r="K1297" s="13" t="str">
        <f>IFERROR(__xludf.DUMMYFUNCTION("IF(A1297="""","""",
   IF(F1297&gt;0,
      INDEX(FILTER('RE Portfolio'!L$2:L2000,'RE Portfolio'!D$2:D2000=""BUY""), INT((ROW()-2)/amortYears)+1) - G1297,
      INDEX(FILTER('RE Portfolio'!L$2:L2000,'RE Portfolio'!D$2:D2000=""BUY""), INT((ROW()-2)/amortYears"&amp;")+1)
   )
)
"),"")</f>
        <v/>
      </c>
      <c r="L1297" s="15" t="str">
        <f>IFERROR(__xludf.DUMMYFUNCTION("IF(A1297="""","""",
  INDEX(FILTER('RE Portfolio'!C$2:C2000,'RE Portfolio'!D$2:D2000=""BUY""), INT((ROW()-2)/amortYears)+1)
  * (1 + VALUE(Assumptions!$B$11))^(D1297-1)
)
"),"")</f>
        <v/>
      </c>
    </row>
    <row r="1298">
      <c r="A1298" s="15" t="str">
        <f>IFERROR(__xludf.DUMMYFUNCTION("IFERROR(INDEX(FILTER('RE Portfolio'!A$2:A2000,'RE Portfolio'!D$2:D2000=""BUY""), INT((ROW()-2)/amortYears)+1), )
"),"")</f>
        <v/>
      </c>
      <c r="B1298" s="15" t="str">
        <f>IFERROR(__xludf.DUMMYFUNCTION("IFERROR(INDEX(FILTER('RE Portfolio'!B$2:B2000,'RE Portfolio'!D$2:D2000=""BUY""), INT((ROW()-2)/amortYears)+1), )
"),"")</f>
        <v/>
      </c>
      <c r="C1298" s="15" t="str">
        <f>IFERROR(__xludf.DUMMYFUNCTION("IFERROR(INDEX(FILTER('RE Portfolio'!G$2:G2000,'RE Portfolio'!D$2:D2000=""BUY""), INT((ROW()-2)/amortYears)+1), )
"),"")</f>
        <v/>
      </c>
      <c r="D1298" s="15">
        <f>MOD(ROW()-2, amortYears)+1</f>
        <v>5</v>
      </c>
      <c r="E1298" s="15" t="str">
        <f t="shared" si="1"/>
        <v/>
      </c>
      <c r="F1298" s="16">
        <f t="shared" si="2"/>
        <v>0</v>
      </c>
      <c r="G1298" s="16">
        <f>IF(D1298&lt;=mortTerm, -PMT(mortRate/12, mortTerm*12, C1298)*12, 0)
</f>
        <v>0</v>
      </c>
      <c r="H1298" s="16">
        <f>IF(D1298&lt;=mortTerm, G1298 - I1298, 0)
</f>
        <v>0</v>
      </c>
      <c r="I1298" s="16">
        <f>IF(D1298&lt;=mortTerm, F1298 - J1298, 0)
</f>
        <v>0</v>
      </c>
      <c r="J1298" s="16">
        <f>IF(D1298&lt;=mortTerm,
   F1298*(1+mortRate/12)^12 - (-PMT(mortRate/12, mortTerm*12, C1298))*(((1+mortRate/12)^12 - 1)/(mortRate/12)),
   0
)
</f>
        <v>0</v>
      </c>
      <c r="K1298" s="13" t="str">
        <f>IFERROR(__xludf.DUMMYFUNCTION("IF(A1298="""","""",
   IF(F1298&gt;0,
      INDEX(FILTER('RE Portfolio'!L$2:L2000,'RE Portfolio'!D$2:D2000=""BUY""), INT((ROW()-2)/amortYears)+1) - G1298,
      INDEX(FILTER('RE Portfolio'!L$2:L2000,'RE Portfolio'!D$2:D2000=""BUY""), INT((ROW()-2)/amortYears"&amp;")+1)
   )
)
"),"")</f>
        <v/>
      </c>
      <c r="L1298" s="15" t="str">
        <f>IFERROR(__xludf.DUMMYFUNCTION("IF(A1298="""","""",
  INDEX(FILTER('RE Portfolio'!C$2:C2000,'RE Portfolio'!D$2:D2000=""BUY""), INT((ROW()-2)/amortYears)+1)
  * (1 + VALUE(Assumptions!$B$11))^(D1298-1)
)
"),"")</f>
        <v/>
      </c>
    </row>
    <row r="1299">
      <c r="A1299" s="15" t="str">
        <f>IFERROR(__xludf.DUMMYFUNCTION("IFERROR(INDEX(FILTER('RE Portfolio'!A$2:A2000,'RE Portfolio'!D$2:D2000=""BUY""), INT((ROW()-2)/amortYears)+1), )
"),"")</f>
        <v/>
      </c>
      <c r="B1299" s="15" t="str">
        <f>IFERROR(__xludf.DUMMYFUNCTION("IFERROR(INDEX(FILTER('RE Portfolio'!B$2:B2000,'RE Portfolio'!D$2:D2000=""BUY""), INT((ROW()-2)/amortYears)+1), )
"),"")</f>
        <v/>
      </c>
      <c r="C1299" s="15" t="str">
        <f>IFERROR(__xludf.DUMMYFUNCTION("IFERROR(INDEX(FILTER('RE Portfolio'!G$2:G2000,'RE Portfolio'!D$2:D2000=""BUY""), INT((ROW()-2)/amortYears)+1), )
"),"")</f>
        <v/>
      </c>
      <c r="D1299" s="15">
        <f>MOD(ROW()-2, amortYears)+1</f>
        <v>6</v>
      </c>
      <c r="E1299" s="15" t="str">
        <f t="shared" si="1"/>
        <v/>
      </c>
      <c r="F1299" s="16">
        <f t="shared" si="2"/>
        <v>0</v>
      </c>
      <c r="G1299" s="16">
        <f>IF(D1299&lt;=mortTerm, -PMT(mortRate/12, mortTerm*12, C1299)*12, 0)
</f>
        <v>0</v>
      </c>
      <c r="H1299" s="16">
        <f>IF(D1299&lt;=mortTerm, G1299 - I1299, 0)
</f>
        <v>0</v>
      </c>
      <c r="I1299" s="16">
        <f>IF(D1299&lt;=mortTerm, F1299 - J1299, 0)
</f>
        <v>0</v>
      </c>
      <c r="J1299" s="16">
        <f>IF(D1299&lt;=mortTerm,
   F1299*(1+mortRate/12)^12 - (-PMT(mortRate/12, mortTerm*12, C1299))*(((1+mortRate/12)^12 - 1)/(mortRate/12)),
   0
)
</f>
        <v>0</v>
      </c>
      <c r="K1299" s="13" t="str">
        <f>IFERROR(__xludf.DUMMYFUNCTION("IF(A1299="""","""",
   IF(F1299&gt;0,
      INDEX(FILTER('RE Portfolio'!L$2:L2000,'RE Portfolio'!D$2:D2000=""BUY""), INT((ROW()-2)/amortYears)+1) - G1299,
      INDEX(FILTER('RE Portfolio'!L$2:L2000,'RE Portfolio'!D$2:D2000=""BUY""), INT((ROW()-2)/amortYears"&amp;")+1)
   )
)
"),"")</f>
        <v/>
      </c>
      <c r="L1299" s="15" t="str">
        <f>IFERROR(__xludf.DUMMYFUNCTION("IF(A1299="""","""",
  INDEX(FILTER('RE Portfolio'!C$2:C2000,'RE Portfolio'!D$2:D2000=""BUY""), INT((ROW()-2)/amortYears)+1)
  * (1 + VALUE(Assumptions!$B$11))^(D1299-1)
)
"),"")</f>
        <v/>
      </c>
    </row>
    <row r="1300">
      <c r="A1300" s="15" t="str">
        <f>IFERROR(__xludf.DUMMYFUNCTION("IFERROR(INDEX(FILTER('RE Portfolio'!A$2:A2000,'RE Portfolio'!D$2:D2000=""BUY""), INT((ROW()-2)/amortYears)+1), )
"),"")</f>
        <v/>
      </c>
      <c r="B1300" s="15" t="str">
        <f>IFERROR(__xludf.DUMMYFUNCTION("IFERROR(INDEX(FILTER('RE Portfolio'!B$2:B2000,'RE Portfolio'!D$2:D2000=""BUY""), INT((ROW()-2)/amortYears)+1), )
"),"")</f>
        <v/>
      </c>
      <c r="C1300" s="15" t="str">
        <f>IFERROR(__xludf.DUMMYFUNCTION("IFERROR(INDEX(FILTER('RE Portfolio'!G$2:G2000,'RE Portfolio'!D$2:D2000=""BUY""), INT((ROW()-2)/amortYears)+1), )
"),"")</f>
        <v/>
      </c>
      <c r="D1300" s="15">
        <f>MOD(ROW()-2, amortYears)+1</f>
        <v>7</v>
      </c>
      <c r="E1300" s="15" t="str">
        <f t="shared" si="1"/>
        <v/>
      </c>
      <c r="F1300" s="16">
        <f t="shared" si="2"/>
        <v>0</v>
      </c>
      <c r="G1300" s="16">
        <f>IF(D1300&lt;=mortTerm, -PMT(mortRate/12, mortTerm*12, C1300)*12, 0)
</f>
        <v>0</v>
      </c>
      <c r="H1300" s="16">
        <f>IF(D1300&lt;=mortTerm, G1300 - I1300, 0)
</f>
        <v>0</v>
      </c>
      <c r="I1300" s="16">
        <f>IF(D1300&lt;=mortTerm, F1300 - J1300, 0)
</f>
        <v>0</v>
      </c>
      <c r="J1300" s="16">
        <f>IF(D1300&lt;=mortTerm,
   F1300*(1+mortRate/12)^12 - (-PMT(mortRate/12, mortTerm*12, C1300))*(((1+mortRate/12)^12 - 1)/(mortRate/12)),
   0
)
</f>
        <v>0</v>
      </c>
      <c r="K1300" s="13" t="str">
        <f>IFERROR(__xludf.DUMMYFUNCTION("IF(A1300="""","""",
   IF(F1300&gt;0,
      INDEX(FILTER('RE Portfolio'!L$2:L2000,'RE Portfolio'!D$2:D2000=""BUY""), INT((ROW()-2)/amortYears)+1) - G1300,
      INDEX(FILTER('RE Portfolio'!L$2:L2000,'RE Portfolio'!D$2:D2000=""BUY""), INT((ROW()-2)/amortYears"&amp;")+1)
   )
)
"),"")</f>
        <v/>
      </c>
      <c r="L1300" s="15" t="str">
        <f>IFERROR(__xludf.DUMMYFUNCTION("IF(A1300="""","""",
  INDEX(FILTER('RE Portfolio'!C$2:C2000,'RE Portfolio'!D$2:D2000=""BUY""), INT((ROW()-2)/amortYears)+1)
  * (1 + VALUE(Assumptions!$B$11))^(D1300-1)
)
"),"")</f>
        <v/>
      </c>
    </row>
    <row r="1301">
      <c r="A1301" s="15" t="str">
        <f>IFERROR(__xludf.DUMMYFUNCTION("IFERROR(INDEX(FILTER('RE Portfolio'!A$2:A2000,'RE Portfolio'!D$2:D2000=""BUY""), INT((ROW()-2)/amortYears)+1), )
"),"")</f>
        <v/>
      </c>
      <c r="B1301" s="15" t="str">
        <f>IFERROR(__xludf.DUMMYFUNCTION("IFERROR(INDEX(FILTER('RE Portfolio'!B$2:B2000,'RE Portfolio'!D$2:D2000=""BUY""), INT((ROW()-2)/amortYears)+1), )
"),"")</f>
        <v/>
      </c>
      <c r="C1301" s="15" t="str">
        <f>IFERROR(__xludf.DUMMYFUNCTION("IFERROR(INDEX(FILTER('RE Portfolio'!G$2:G2000,'RE Portfolio'!D$2:D2000=""BUY""), INT((ROW()-2)/amortYears)+1), )
"),"")</f>
        <v/>
      </c>
      <c r="D1301" s="15">
        <f>MOD(ROW()-2, amortYears)+1</f>
        <v>8</v>
      </c>
      <c r="E1301" s="15" t="str">
        <f t="shared" si="1"/>
        <v/>
      </c>
      <c r="F1301" s="16">
        <f t="shared" si="2"/>
        <v>0</v>
      </c>
      <c r="G1301" s="16">
        <f>IF(D1301&lt;=mortTerm, -PMT(mortRate/12, mortTerm*12, C1301)*12, 0)
</f>
        <v>0</v>
      </c>
      <c r="H1301" s="16">
        <f>IF(D1301&lt;=mortTerm, G1301 - I1301, 0)
</f>
        <v>0</v>
      </c>
      <c r="I1301" s="16">
        <f>IF(D1301&lt;=mortTerm, F1301 - J1301, 0)
</f>
        <v>0</v>
      </c>
      <c r="J1301" s="16">
        <f>IF(D1301&lt;=mortTerm,
   F1301*(1+mortRate/12)^12 - (-PMT(mortRate/12, mortTerm*12, C1301))*(((1+mortRate/12)^12 - 1)/(mortRate/12)),
   0
)
</f>
        <v>0</v>
      </c>
      <c r="K1301" s="13" t="str">
        <f>IFERROR(__xludf.DUMMYFUNCTION("IF(A1301="""","""",
   IF(F1301&gt;0,
      INDEX(FILTER('RE Portfolio'!L$2:L2000,'RE Portfolio'!D$2:D2000=""BUY""), INT((ROW()-2)/amortYears)+1) - G1301,
      INDEX(FILTER('RE Portfolio'!L$2:L2000,'RE Portfolio'!D$2:D2000=""BUY""), INT((ROW()-2)/amortYears"&amp;")+1)
   )
)
"),"")</f>
        <v/>
      </c>
      <c r="L1301" s="15" t="str">
        <f>IFERROR(__xludf.DUMMYFUNCTION("IF(A1301="""","""",
  INDEX(FILTER('RE Portfolio'!C$2:C2000,'RE Portfolio'!D$2:D2000=""BUY""), INT((ROW()-2)/amortYears)+1)
  * (1 + VALUE(Assumptions!$B$11))^(D1301-1)
)
"),"")</f>
        <v/>
      </c>
    </row>
    <row r="1302">
      <c r="A1302" s="15" t="str">
        <f>IFERROR(__xludf.DUMMYFUNCTION("IFERROR(INDEX(FILTER('RE Portfolio'!A$2:A2000,'RE Portfolio'!D$2:D2000=""BUY""), INT((ROW()-2)/amortYears)+1), )
"),"")</f>
        <v/>
      </c>
      <c r="B1302" s="15" t="str">
        <f>IFERROR(__xludf.DUMMYFUNCTION("IFERROR(INDEX(FILTER('RE Portfolio'!B$2:B2000,'RE Portfolio'!D$2:D2000=""BUY""), INT((ROW()-2)/amortYears)+1), )
"),"")</f>
        <v/>
      </c>
      <c r="C1302" s="15" t="str">
        <f>IFERROR(__xludf.DUMMYFUNCTION("IFERROR(INDEX(FILTER('RE Portfolio'!G$2:G2000,'RE Portfolio'!D$2:D2000=""BUY""), INT((ROW()-2)/amortYears)+1), )
"),"")</f>
        <v/>
      </c>
      <c r="D1302" s="15">
        <f>MOD(ROW()-2, amortYears)+1</f>
        <v>9</v>
      </c>
      <c r="E1302" s="15" t="str">
        <f t="shared" si="1"/>
        <v/>
      </c>
      <c r="F1302" s="16">
        <f t="shared" si="2"/>
        <v>0</v>
      </c>
      <c r="G1302" s="16">
        <f>IF(D1302&lt;=mortTerm, -PMT(mortRate/12, mortTerm*12, C1302)*12, 0)
</f>
        <v>0</v>
      </c>
      <c r="H1302" s="16">
        <f>IF(D1302&lt;=mortTerm, G1302 - I1302, 0)
</f>
        <v>0</v>
      </c>
      <c r="I1302" s="16">
        <f>IF(D1302&lt;=mortTerm, F1302 - J1302, 0)
</f>
        <v>0</v>
      </c>
      <c r="J1302" s="16">
        <f>IF(D1302&lt;=mortTerm,
   F1302*(1+mortRate/12)^12 - (-PMT(mortRate/12, mortTerm*12, C1302))*(((1+mortRate/12)^12 - 1)/(mortRate/12)),
   0
)
</f>
        <v>0</v>
      </c>
      <c r="K1302" s="13" t="str">
        <f>IFERROR(__xludf.DUMMYFUNCTION("IF(A1302="""","""",
   IF(F1302&gt;0,
      INDEX(FILTER('RE Portfolio'!L$2:L2000,'RE Portfolio'!D$2:D2000=""BUY""), INT((ROW()-2)/amortYears)+1) - G1302,
      INDEX(FILTER('RE Portfolio'!L$2:L2000,'RE Portfolio'!D$2:D2000=""BUY""), INT((ROW()-2)/amortYears"&amp;")+1)
   )
)
"),"")</f>
        <v/>
      </c>
      <c r="L1302" s="15" t="str">
        <f>IFERROR(__xludf.DUMMYFUNCTION("IF(A1302="""","""",
  INDEX(FILTER('RE Portfolio'!C$2:C2000,'RE Portfolio'!D$2:D2000=""BUY""), INT((ROW()-2)/amortYears)+1)
  * (1 + VALUE(Assumptions!$B$11))^(D1302-1)
)
"),"")</f>
        <v/>
      </c>
    </row>
    <row r="1303">
      <c r="A1303" s="15" t="str">
        <f>IFERROR(__xludf.DUMMYFUNCTION("IFERROR(INDEX(FILTER('RE Portfolio'!A$2:A2000,'RE Portfolio'!D$2:D2000=""BUY""), INT((ROW()-2)/amortYears)+1), )
"),"")</f>
        <v/>
      </c>
      <c r="B1303" s="15" t="str">
        <f>IFERROR(__xludf.DUMMYFUNCTION("IFERROR(INDEX(FILTER('RE Portfolio'!B$2:B2000,'RE Portfolio'!D$2:D2000=""BUY""), INT((ROW()-2)/amortYears)+1), )
"),"")</f>
        <v/>
      </c>
      <c r="C1303" s="15" t="str">
        <f>IFERROR(__xludf.DUMMYFUNCTION("IFERROR(INDEX(FILTER('RE Portfolio'!G$2:G2000,'RE Portfolio'!D$2:D2000=""BUY""), INT((ROW()-2)/amortYears)+1), )
"),"")</f>
        <v/>
      </c>
      <c r="D1303" s="15">
        <f>MOD(ROW()-2, amortYears)+1</f>
        <v>10</v>
      </c>
      <c r="E1303" s="15" t="str">
        <f t="shared" si="1"/>
        <v/>
      </c>
      <c r="F1303" s="16">
        <f t="shared" si="2"/>
        <v>0</v>
      </c>
      <c r="G1303" s="16">
        <f>IF(D1303&lt;=mortTerm, -PMT(mortRate/12, mortTerm*12, C1303)*12, 0)
</f>
        <v>0</v>
      </c>
      <c r="H1303" s="16">
        <f>IF(D1303&lt;=mortTerm, G1303 - I1303, 0)
</f>
        <v>0</v>
      </c>
      <c r="I1303" s="16">
        <f>IF(D1303&lt;=mortTerm, F1303 - J1303, 0)
</f>
        <v>0</v>
      </c>
      <c r="J1303" s="16">
        <f>IF(D1303&lt;=mortTerm,
   F1303*(1+mortRate/12)^12 - (-PMT(mortRate/12, mortTerm*12, C1303))*(((1+mortRate/12)^12 - 1)/(mortRate/12)),
   0
)
</f>
        <v>0</v>
      </c>
      <c r="K1303" s="13" t="str">
        <f>IFERROR(__xludf.DUMMYFUNCTION("IF(A1303="""","""",
   IF(F1303&gt;0,
      INDEX(FILTER('RE Portfolio'!L$2:L2000,'RE Portfolio'!D$2:D2000=""BUY""), INT((ROW()-2)/amortYears)+1) - G1303,
      INDEX(FILTER('RE Portfolio'!L$2:L2000,'RE Portfolio'!D$2:D2000=""BUY""), INT((ROW()-2)/amortYears"&amp;")+1)
   )
)
"),"")</f>
        <v/>
      </c>
      <c r="L1303" s="15" t="str">
        <f>IFERROR(__xludf.DUMMYFUNCTION("IF(A1303="""","""",
  INDEX(FILTER('RE Portfolio'!C$2:C2000,'RE Portfolio'!D$2:D2000=""BUY""), INT((ROW()-2)/amortYears)+1)
  * (1 + VALUE(Assumptions!$B$11))^(D1303-1)
)
"),"")</f>
        <v/>
      </c>
    </row>
    <row r="1304">
      <c r="A1304" s="15" t="str">
        <f>IFERROR(__xludf.DUMMYFUNCTION("IFERROR(INDEX(FILTER('RE Portfolio'!A$2:A2000,'RE Portfolio'!D$2:D2000=""BUY""), INT((ROW()-2)/amortYears)+1), )
"),"")</f>
        <v/>
      </c>
      <c r="B1304" s="15" t="str">
        <f>IFERROR(__xludf.DUMMYFUNCTION("IFERROR(INDEX(FILTER('RE Portfolio'!B$2:B2000,'RE Portfolio'!D$2:D2000=""BUY""), INT((ROW()-2)/amortYears)+1), )
"),"")</f>
        <v/>
      </c>
      <c r="C1304" s="15" t="str">
        <f>IFERROR(__xludf.DUMMYFUNCTION("IFERROR(INDEX(FILTER('RE Portfolio'!G$2:G2000,'RE Portfolio'!D$2:D2000=""BUY""), INT((ROW()-2)/amortYears)+1), )
"),"")</f>
        <v/>
      </c>
      <c r="D1304" s="15">
        <f>MOD(ROW()-2, amortYears)+1</f>
        <v>11</v>
      </c>
      <c r="E1304" s="15" t="str">
        <f t="shared" si="1"/>
        <v/>
      </c>
      <c r="F1304" s="16">
        <f t="shared" si="2"/>
        <v>0</v>
      </c>
      <c r="G1304" s="16">
        <f>IF(D1304&lt;=mortTerm, -PMT(mortRate/12, mortTerm*12, C1304)*12, 0)
</f>
        <v>0</v>
      </c>
      <c r="H1304" s="16">
        <f>IF(D1304&lt;=mortTerm, G1304 - I1304, 0)
</f>
        <v>0</v>
      </c>
      <c r="I1304" s="16">
        <f>IF(D1304&lt;=mortTerm, F1304 - J1304, 0)
</f>
        <v>0</v>
      </c>
      <c r="J1304" s="16">
        <f>IF(D1304&lt;=mortTerm,
   F1304*(1+mortRate/12)^12 - (-PMT(mortRate/12, mortTerm*12, C1304))*(((1+mortRate/12)^12 - 1)/(mortRate/12)),
   0
)
</f>
        <v>0</v>
      </c>
      <c r="K1304" s="13" t="str">
        <f>IFERROR(__xludf.DUMMYFUNCTION("IF(A1304="""","""",
   IF(F1304&gt;0,
      INDEX(FILTER('RE Portfolio'!L$2:L2000,'RE Portfolio'!D$2:D2000=""BUY""), INT((ROW()-2)/amortYears)+1) - G1304,
      INDEX(FILTER('RE Portfolio'!L$2:L2000,'RE Portfolio'!D$2:D2000=""BUY""), INT((ROW()-2)/amortYears"&amp;")+1)
   )
)
"),"")</f>
        <v/>
      </c>
      <c r="L1304" s="15" t="str">
        <f>IFERROR(__xludf.DUMMYFUNCTION("IF(A1304="""","""",
  INDEX(FILTER('RE Portfolio'!C$2:C2000,'RE Portfolio'!D$2:D2000=""BUY""), INT((ROW()-2)/amortYears)+1)
  * (1 + VALUE(Assumptions!$B$11))^(D1304-1)
)
"),"")</f>
        <v/>
      </c>
    </row>
    <row r="1305">
      <c r="A1305" s="15" t="str">
        <f>IFERROR(__xludf.DUMMYFUNCTION("IFERROR(INDEX(FILTER('RE Portfolio'!A$2:A2000,'RE Portfolio'!D$2:D2000=""BUY""), INT((ROW()-2)/amortYears)+1), )
"),"")</f>
        <v/>
      </c>
      <c r="B1305" s="15" t="str">
        <f>IFERROR(__xludf.DUMMYFUNCTION("IFERROR(INDEX(FILTER('RE Portfolio'!B$2:B2000,'RE Portfolio'!D$2:D2000=""BUY""), INT((ROW()-2)/amortYears)+1), )
"),"")</f>
        <v/>
      </c>
      <c r="C1305" s="15" t="str">
        <f>IFERROR(__xludf.DUMMYFUNCTION("IFERROR(INDEX(FILTER('RE Portfolio'!G$2:G2000,'RE Portfolio'!D$2:D2000=""BUY""), INT((ROW()-2)/amortYears)+1), )
"),"")</f>
        <v/>
      </c>
      <c r="D1305" s="15">
        <f>MOD(ROW()-2, amortYears)+1</f>
        <v>12</v>
      </c>
      <c r="E1305" s="15" t="str">
        <f t="shared" si="1"/>
        <v/>
      </c>
      <c r="F1305" s="16">
        <f t="shared" si="2"/>
        <v>0</v>
      </c>
      <c r="G1305" s="16">
        <f>IF(D1305&lt;=mortTerm, -PMT(mortRate/12, mortTerm*12, C1305)*12, 0)
</f>
        <v>0</v>
      </c>
      <c r="H1305" s="16">
        <f>IF(D1305&lt;=mortTerm, G1305 - I1305, 0)
</f>
        <v>0</v>
      </c>
      <c r="I1305" s="16">
        <f>IF(D1305&lt;=mortTerm, F1305 - J1305, 0)
</f>
        <v>0</v>
      </c>
      <c r="J1305" s="16">
        <f>IF(D1305&lt;=mortTerm,
   F1305*(1+mortRate/12)^12 - (-PMT(mortRate/12, mortTerm*12, C1305))*(((1+mortRate/12)^12 - 1)/(mortRate/12)),
   0
)
</f>
        <v>0</v>
      </c>
      <c r="K1305" s="13" t="str">
        <f>IFERROR(__xludf.DUMMYFUNCTION("IF(A1305="""","""",
   IF(F1305&gt;0,
      INDEX(FILTER('RE Portfolio'!L$2:L2000,'RE Portfolio'!D$2:D2000=""BUY""), INT((ROW()-2)/amortYears)+1) - G1305,
      INDEX(FILTER('RE Portfolio'!L$2:L2000,'RE Portfolio'!D$2:D2000=""BUY""), INT((ROW()-2)/amortYears"&amp;")+1)
   )
)
"),"")</f>
        <v/>
      </c>
      <c r="L1305" s="15" t="str">
        <f>IFERROR(__xludf.DUMMYFUNCTION("IF(A1305="""","""",
  INDEX(FILTER('RE Portfolio'!C$2:C2000,'RE Portfolio'!D$2:D2000=""BUY""), INT((ROW()-2)/amortYears)+1)
  * (1 + VALUE(Assumptions!$B$11))^(D1305-1)
)
"),"")</f>
        <v/>
      </c>
    </row>
    <row r="1306">
      <c r="A1306" s="15" t="str">
        <f>IFERROR(__xludf.DUMMYFUNCTION("IFERROR(INDEX(FILTER('RE Portfolio'!A$2:A2000,'RE Portfolio'!D$2:D2000=""BUY""), INT((ROW()-2)/amortYears)+1), )
"),"")</f>
        <v/>
      </c>
      <c r="B1306" s="15" t="str">
        <f>IFERROR(__xludf.DUMMYFUNCTION("IFERROR(INDEX(FILTER('RE Portfolio'!B$2:B2000,'RE Portfolio'!D$2:D2000=""BUY""), INT((ROW()-2)/amortYears)+1), )
"),"")</f>
        <v/>
      </c>
      <c r="C1306" s="15" t="str">
        <f>IFERROR(__xludf.DUMMYFUNCTION("IFERROR(INDEX(FILTER('RE Portfolio'!G$2:G2000,'RE Portfolio'!D$2:D2000=""BUY""), INT((ROW()-2)/amortYears)+1), )
"),"")</f>
        <v/>
      </c>
      <c r="D1306" s="15">
        <f>MOD(ROW()-2, amortYears)+1</f>
        <v>13</v>
      </c>
      <c r="E1306" s="15" t="str">
        <f t="shared" si="1"/>
        <v/>
      </c>
      <c r="F1306" s="16">
        <f t="shared" si="2"/>
        <v>0</v>
      </c>
      <c r="G1306" s="16">
        <f>IF(D1306&lt;=mortTerm, -PMT(mortRate/12, mortTerm*12, C1306)*12, 0)
</f>
        <v>0</v>
      </c>
      <c r="H1306" s="16">
        <f>IF(D1306&lt;=mortTerm, G1306 - I1306, 0)
</f>
        <v>0</v>
      </c>
      <c r="I1306" s="16">
        <f>IF(D1306&lt;=mortTerm, F1306 - J1306, 0)
</f>
        <v>0</v>
      </c>
      <c r="J1306" s="16">
        <f>IF(D1306&lt;=mortTerm,
   F1306*(1+mortRate/12)^12 - (-PMT(mortRate/12, mortTerm*12, C1306))*(((1+mortRate/12)^12 - 1)/(mortRate/12)),
   0
)
</f>
        <v>0</v>
      </c>
      <c r="K1306" s="13" t="str">
        <f>IFERROR(__xludf.DUMMYFUNCTION("IF(A1306="""","""",
   IF(F1306&gt;0,
      INDEX(FILTER('RE Portfolio'!L$2:L2000,'RE Portfolio'!D$2:D2000=""BUY""), INT((ROW()-2)/amortYears)+1) - G1306,
      INDEX(FILTER('RE Portfolio'!L$2:L2000,'RE Portfolio'!D$2:D2000=""BUY""), INT((ROW()-2)/amortYears"&amp;")+1)
   )
)
"),"")</f>
        <v/>
      </c>
      <c r="L1306" s="15" t="str">
        <f>IFERROR(__xludf.DUMMYFUNCTION("IF(A1306="""","""",
  INDEX(FILTER('RE Portfolio'!C$2:C2000,'RE Portfolio'!D$2:D2000=""BUY""), INT((ROW()-2)/amortYears)+1)
  * (1 + VALUE(Assumptions!$B$11))^(D1306-1)
)
"),"")</f>
        <v/>
      </c>
    </row>
    <row r="1307">
      <c r="A1307" s="15" t="str">
        <f>IFERROR(__xludf.DUMMYFUNCTION("IFERROR(INDEX(FILTER('RE Portfolio'!A$2:A2000,'RE Portfolio'!D$2:D2000=""BUY""), INT((ROW()-2)/amortYears)+1), )
"),"")</f>
        <v/>
      </c>
      <c r="B1307" s="15" t="str">
        <f>IFERROR(__xludf.DUMMYFUNCTION("IFERROR(INDEX(FILTER('RE Portfolio'!B$2:B2000,'RE Portfolio'!D$2:D2000=""BUY""), INT((ROW()-2)/amortYears)+1), )
"),"")</f>
        <v/>
      </c>
      <c r="C1307" s="15" t="str">
        <f>IFERROR(__xludf.DUMMYFUNCTION("IFERROR(INDEX(FILTER('RE Portfolio'!G$2:G2000,'RE Portfolio'!D$2:D2000=""BUY""), INT((ROW()-2)/amortYears)+1), )
"),"")</f>
        <v/>
      </c>
      <c r="D1307" s="15">
        <f>MOD(ROW()-2, amortYears)+1</f>
        <v>14</v>
      </c>
      <c r="E1307" s="15" t="str">
        <f t="shared" si="1"/>
        <v/>
      </c>
      <c r="F1307" s="16">
        <f t="shared" si="2"/>
        <v>0</v>
      </c>
      <c r="G1307" s="16">
        <f>IF(D1307&lt;=mortTerm, -PMT(mortRate/12, mortTerm*12, C1307)*12, 0)
</f>
        <v>0</v>
      </c>
      <c r="H1307" s="16">
        <f>IF(D1307&lt;=mortTerm, G1307 - I1307, 0)
</f>
        <v>0</v>
      </c>
      <c r="I1307" s="16">
        <f>IF(D1307&lt;=mortTerm, F1307 - J1307, 0)
</f>
        <v>0</v>
      </c>
      <c r="J1307" s="16">
        <f>IF(D1307&lt;=mortTerm,
   F1307*(1+mortRate/12)^12 - (-PMT(mortRate/12, mortTerm*12, C1307))*(((1+mortRate/12)^12 - 1)/(mortRate/12)),
   0
)
</f>
        <v>0</v>
      </c>
      <c r="K1307" s="13" t="str">
        <f>IFERROR(__xludf.DUMMYFUNCTION("IF(A1307="""","""",
   IF(F1307&gt;0,
      INDEX(FILTER('RE Portfolio'!L$2:L2000,'RE Portfolio'!D$2:D2000=""BUY""), INT((ROW()-2)/amortYears)+1) - G1307,
      INDEX(FILTER('RE Portfolio'!L$2:L2000,'RE Portfolio'!D$2:D2000=""BUY""), INT((ROW()-2)/amortYears"&amp;")+1)
   )
)
"),"")</f>
        <v/>
      </c>
      <c r="L1307" s="15" t="str">
        <f>IFERROR(__xludf.DUMMYFUNCTION("IF(A1307="""","""",
  INDEX(FILTER('RE Portfolio'!C$2:C2000,'RE Portfolio'!D$2:D2000=""BUY""), INT((ROW()-2)/amortYears)+1)
  * (1 + VALUE(Assumptions!$B$11))^(D1307-1)
)
"),"")</f>
        <v/>
      </c>
    </row>
    <row r="1308">
      <c r="A1308" s="15" t="str">
        <f>IFERROR(__xludf.DUMMYFUNCTION("IFERROR(INDEX(FILTER('RE Portfolio'!A$2:A2000,'RE Portfolio'!D$2:D2000=""BUY""), INT((ROW()-2)/amortYears)+1), )
"),"")</f>
        <v/>
      </c>
      <c r="B1308" s="15" t="str">
        <f>IFERROR(__xludf.DUMMYFUNCTION("IFERROR(INDEX(FILTER('RE Portfolio'!B$2:B2000,'RE Portfolio'!D$2:D2000=""BUY""), INT((ROW()-2)/amortYears)+1), )
"),"")</f>
        <v/>
      </c>
      <c r="C1308" s="15" t="str">
        <f>IFERROR(__xludf.DUMMYFUNCTION("IFERROR(INDEX(FILTER('RE Portfolio'!G$2:G2000,'RE Portfolio'!D$2:D2000=""BUY""), INT((ROW()-2)/amortYears)+1), )
"),"")</f>
        <v/>
      </c>
      <c r="D1308" s="15">
        <f>MOD(ROW()-2, amortYears)+1</f>
        <v>15</v>
      </c>
      <c r="E1308" s="15" t="str">
        <f t="shared" si="1"/>
        <v/>
      </c>
      <c r="F1308" s="16">
        <f t="shared" si="2"/>
        <v>0</v>
      </c>
      <c r="G1308" s="16">
        <f>IF(D1308&lt;=mortTerm, -PMT(mortRate/12, mortTerm*12, C1308)*12, 0)
</f>
        <v>0</v>
      </c>
      <c r="H1308" s="16">
        <f>IF(D1308&lt;=mortTerm, G1308 - I1308, 0)
</f>
        <v>0</v>
      </c>
      <c r="I1308" s="16">
        <f>IF(D1308&lt;=mortTerm, F1308 - J1308, 0)
</f>
        <v>0</v>
      </c>
      <c r="J1308" s="16">
        <f>IF(D1308&lt;=mortTerm,
   F1308*(1+mortRate/12)^12 - (-PMT(mortRate/12, mortTerm*12, C1308))*(((1+mortRate/12)^12 - 1)/(mortRate/12)),
   0
)
</f>
        <v>0</v>
      </c>
      <c r="K1308" s="13" t="str">
        <f>IFERROR(__xludf.DUMMYFUNCTION("IF(A1308="""","""",
   IF(F1308&gt;0,
      INDEX(FILTER('RE Portfolio'!L$2:L2000,'RE Portfolio'!D$2:D2000=""BUY""), INT((ROW()-2)/amortYears)+1) - G1308,
      INDEX(FILTER('RE Portfolio'!L$2:L2000,'RE Portfolio'!D$2:D2000=""BUY""), INT((ROW()-2)/amortYears"&amp;")+1)
   )
)
"),"")</f>
        <v/>
      </c>
      <c r="L1308" s="15" t="str">
        <f>IFERROR(__xludf.DUMMYFUNCTION("IF(A1308="""","""",
  INDEX(FILTER('RE Portfolio'!C$2:C2000,'RE Portfolio'!D$2:D2000=""BUY""), INT((ROW()-2)/amortYears)+1)
  * (1 + VALUE(Assumptions!$B$11))^(D1308-1)
)
"),"")</f>
        <v/>
      </c>
    </row>
    <row r="1309">
      <c r="A1309" s="15" t="str">
        <f>IFERROR(__xludf.DUMMYFUNCTION("IFERROR(INDEX(FILTER('RE Portfolio'!A$2:A2000,'RE Portfolio'!D$2:D2000=""BUY""), INT((ROW()-2)/amortYears)+1), )
"),"")</f>
        <v/>
      </c>
      <c r="B1309" s="15" t="str">
        <f>IFERROR(__xludf.DUMMYFUNCTION("IFERROR(INDEX(FILTER('RE Portfolio'!B$2:B2000,'RE Portfolio'!D$2:D2000=""BUY""), INT((ROW()-2)/amortYears)+1), )
"),"")</f>
        <v/>
      </c>
      <c r="C1309" s="15" t="str">
        <f>IFERROR(__xludf.DUMMYFUNCTION("IFERROR(INDEX(FILTER('RE Portfolio'!G$2:G2000,'RE Portfolio'!D$2:D2000=""BUY""), INT((ROW()-2)/amortYears)+1), )
"),"")</f>
        <v/>
      </c>
      <c r="D1309" s="15">
        <f>MOD(ROW()-2, amortYears)+1</f>
        <v>16</v>
      </c>
      <c r="E1309" s="15" t="str">
        <f t="shared" si="1"/>
        <v/>
      </c>
      <c r="F1309" s="16">
        <f t="shared" si="2"/>
        <v>0</v>
      </c>
      <c r="G1309" s="16">
        <f>IF(D1309&lt;=mortTerm, -PMT(mortRate/12, mortTerm*12, C1309)*12, 0)
</f>
        <v>0</v>
      </c>
      <c r="H1309" s="16">
        <f>IF(D1309&lt;=mortTerm, G1309 - I1309, 0)
</f>
        <v>0</v>
      </c>
      <c r="I1309" s="16">
        <f>IF(D1309&lt;=mortTerm, F1309 - J1309, 0)
</f>
        <v>0</v>
      </c>
      <c r="J1309" s="16">
        <f>IF(D1309&lt;=mortTerm,
   F1309*(1+mortRate/12)^12 - (-PMT(mortRate/12, mortTerm*12, C1309))*(((1+mortRate/12)^12 - 1)/(mortRate/12)),
   0
)
</f>
        <v>0</v>
      </c>
      <c r="K1309" s="13" t="str">
        <f>IFERROR(__xludf.DUMMYFUNCTION("IF(A1309="""","""",
   IF(F1309&gt;0,
      INDEX(FILTER('RE Portfolio'!L$2:L2000,'RE Portfolio'!D$2:D2000=""BUY""), INT((ROW()-2)/amortYears)+1) - G1309,
      INDEX(FILTER('RE Portfolio'!L$2:L2000,'RE Portfolio'!D$2:D2000=""BUY""), INT((ROW()-2)/amortYears"&amp;")+1)
   )
)
"),"")</f>
        <v/>
      </c>
      <c r="L1309" s="15" t="str">
        <f>IFERROR(__xludf.DUMMYFUNCTION("IF(A1309="""","""",
  INDEX(FILTER('RE Portfolio'!C$2:C2000,'RE Portfolio'!D$2:D2000=""BUY""), INT((ROW()-2)/amortYears)+1)
  * (1 + VALUE(Assumptions!$B$11))^(D1309-1)
)
"),"")</f>
        <v/>
      </c>
    </row>
    <row r="1310">
      <c r="A1310" s="15" t="str">
        <f>IFERROR(__xludf.DUMMYFUNCTION("IFERROR(INDEX(FILTER('RE Portfolio'!A$2:A2000,'RE Portfolio'!D$2:D2000=""BUY""), INT((ROW()-2)/amortYears)+1), )
"),"")</f>
        <v/>
      </c>
      <c r="B1310" s="15" t="str">
        <f>IFERROR(__xludf.DUMMYFUNCTION("IFERROR(INDEX(FILTER('RE Portfolio'!B$2:B2000,'RE Portfolio'!D$2:D2000=""BUY""), INT((ROW()-2)/amortYears)+1), )
"),"")</f>
        <v/>
      </c>
      <c r="C1310" s="15" t="str">
        <f>IFERROR(__xludf.DUMMYFUNCTION("IFERROR(INDEX(FILTER('RE Portfolio'!G$2:G2000,'RE Portfolio'!D$2:D2000=""BUY""), INT((ROW()-2)/amortYears)+1), )
"),"")</f>
        <v/>
      </c>
      <c r="D1310" s="15">
        <f>MOD(ROW()-2, amortYears)+1</f>
        <v>17</v>
      </c>
      <c r="E1310" s="15" t="str">
        <f t="shared" si="1"/>
        <v/>
      </c>
      <c r="F1310" s="16">
        <f t="shared" si="2"/>
        <v>0</v>
      </c>
      <c r="G1310" s="16">
        <f>IF(D1310&lt;=mortTerm, -PMT(mortRate/12, mortTerm*12, C1310)*12, 0)
</f>
        <v>0</v>
      </c>
      <c r="H1310" s="16">
        <f>IF(D1310&lt;=mortTerm, G1310 - I1310, 0)
</f>
        <v>0</v>
      </c>
      <c r="I1310" s="16">
        <f>IF(D1310&lt;=mortTerm, F1310 - J1310, 0)
</f>
        <v>0</v>
      </c>
      <c r="J1310" s="16">
        <f>IF(D1310&lt;=mortTerm,
   F1310*(1+mortRate/12)^12 - (-PMT(mortRate/12, mortTerm*12, C1310))*(((1+mortRate/12)^12 - 1)/(mortRate/12)),
   0
)
</f>
        <v>0</v>
      </c>
      <c r="K1310" s="13" t="str">
        <f>IFERROR(__xludf.DUMMYFUNCTION("IF(A1310="""","""",
   IF(F1310&gt;0,
      INDEX(FILTER('RE Portfolio'!L$2:L2000,'RE Portfolio'!D$2:D2000=""BUY""), INT((ROW()-2)/amortYears)+1) - G1310,
      INDEX(FILTER('RE Portfolio'!L$2:L2000,'RE Portfolio'!D$2:D2000=""BUY""), INT((ROW()-2)/amortYears"&amp;")+1)
   )
)
"),"")</f>
        <v/>
      </c>
      <c r="L1310" s="15" t="str">
        <f>IFERROR(__xludf.DUMMYFUNCTION("IF(A1310="""","""",
  INDEX(FILTER('RE Portfolio'!C$2:C2000,'RE Portfolio'!D$2:D2000=""BUY""), INT((ROW()-2)/amortYears)+1)
  * (1 + VALUE(Assumptions!$B$11))^(D1310-1)
)
"),"")</f>
        <v/>
      </c>
    </row>
    <row r="1311">
      <c r="A1311" s="15" t="str">
        <f>IFERROR(__xludf.DUMMYFUNCTION("IFERROR(INDEX(FILTER('RE Portfolio'!A$2:A2000,'RE Portfolio'!D$2:D2000=""BUY""), INT((ROW()-2)/amortYears)+1), )
"),"")</f>
        <v/>
      </c>
      <c r="B1311" s="15" t="str">
        <f>IFERROR(__xludf.DUMMYFUNCTION("IFERROR(INDEX(FILTER('RE Portfolio'!B$2:B2000,'RE Portfolio'!D$2:D2000=""BUY""), INT((ROW()-2)/amortYears)+1), )
"),"")</f>
        <v/>
      </c>
      <c r="C1311" s="15" t="str">
        <f>IFERROR(__xludf.DUMMYFUNCTION("IFERROR(INDEX(FILTER('RE Portfolio'!G$2:G2000,'RE Portfolio'!D$2:D2000=""BUY""), INT((ROW()-2)/amortYears)+1), )
"),"")</f>
        <v/>
      </c>
      <c r="D1311" s="15">
        <f>MOD(ROW()-2, amortYears)+1</f>
        <v>18</v>
      </c>
      <c r="E1311" s="15" t="str">
        <f t="shared" si="1"/>
        <v/>
      </c>
      <c r="F1311" s="16">
        <f t="shared" si="2"/>
        <v>0</v>
      </c>
      <c r="G1311" s="16">
        <f>IF(D1311&lt;=mortTerm, -PMT(mortRate/12, mortTerm*12, C1311)*12, 0)
</f>
        <v>0</v>
      </c>
      <c r="H1311" s="16">
        <f>IF(D1311&lt;=mortTerm, G1311 - I1311, 0)
</f>
        <v>0</v>
      </c>
      <c r="I1311" s="16">
        <f>IF(D1311&lt;=mortTerm, F1311 - J1311, 0)
</f>
        <v>0</v>
      </c>
      <c r="J1311" s="16">
        <f>IF(D1311&lt;=mortTerm,
   F1311*(1+mortRate/12)^12 - (-PMT(mortRate/12, mortTerm*12, C1311))*(((1+mortRate/12)^12 - 1)/(mortRate/12)),
   0
)
</f>
        <v>0</v>
      </c>
      <c r="K1311" s="13" t="str">
        <f>IFERROR(__xludf.DUMMYFUNCTION("IF(A1311="""","""",
   IF(F1311&gt;0,
      INDEX(FILTER('RE Portfolio'!L$2:L2000,'RE Portfolio'!D$2:D2000=""BUY""), INT((ROW()-2)/amortYears)+1) - G1311,
      INDEX(FILTER('RE Portfolio'!L$2:L2000,'RE Portfolio'!D$2:D2000=""BUY""), INT((ROW()-2)/amortYears"&amp;")+1)
   )
)
"),"")</f>
        <v/>
      </c>
      <c r="L1311" s="15" t="str">
        <f>IFERROR(__xludf.DUMMYFUNCTION("IF(A1311="""","""",
  INDEX(FILTER('RE Portfolio'!C$2:C2000,'RE Portfolio'!D$2:D2000=""BUY""), INT((ROW()-2)/amortYears)+1)
  * (1 + VALUE(Assumptions!$B$11))^(D1311-1)
)
"),"")</f>
        <v/>
      </c>
    </row>
    <row r="1312">
      <c r="A1312" s="15" t="str">
        <f>IFERROR(__xludf.DUMMYFUNCTION("IFERROR(INDEX(FILTER('RE Portfolio'!A$2:A2000,'RE Portfolio'!D$2:D2000=""BUY""), INT((ROW()-2)/amortYears)+1), )
"),"")</f>
        <v/>
      </c>
      <c r="B1312" s="15" t="str">
        <f>IFERROR(__xludf.DUMMYFUNCTION("IFERROR(INDEX(FILTER('RE Portfolio'!B$2:B2000,'RE Portfolio'!D$2:D2000=""BUY""), INT((ROW()-2)/amortYears)+1), )
"),"")</f>
        <v/>
      </c>
      <c r="C1312" s="15" t="str">
        <f>IFERROR(__xludf.DUMMYFUNCTION("IFERROR(INDEX(FILTER('RE Portfolio'!G$2:G2000,'RE Portfolio'!D$2:D2000=""BUY""), INT((ROW()-2)/amortYears)+1), )
"),"")</f>
        <v/>
      </c>
      <c r="D1312" s="15">
        <f>MOD(ROW()-2, amortYears)+1</f>
        <v>19</v>
      </c>
      <c r="E1312" s="15" t="str">
        <f t="shared" si="1"/>
        <v/>
      </c>
      <c r="F1312" s="16">
        <f t="shared" si="2"/>
        <v>0</v>
      </c>
      <c r="G1312" s="16">
        <f>IF(D1312&lt;=mortTerm, -PMT(mortRate/12, mortTerm*12, C1312)*12, 0)
</f>
        <v>0</v>
      </c>
      <c r="H1312" s="16">
        <f>IF(D1312&lt;=mortTerm, G1312 - I1312, 0)
</f>
        <v>0</v>
      </c>
      <c r="I1312" s="16">
        <f>IF(D1312&lt;=mortTerm, F1312 - J1312, 0)
</f>
        <v>0</v>
      </c>
      <c r="J1312" s="16">
        <f>IF(D1312&lt;=mortTerm,
   F1312*(1+mortRate/12)^12 - (-PMT(mortRate/12, mortTerm*12, C1312))*(((1+mortRate/12)^12 - 1)/(mortRate/12)),
   0
)
</f>
        <v>0</v>
      </c>
      <c r="K1312" s="13" t="str">
        <f>IFERROR(__xludf.DUMMYFUNCTION("IF(A1312="""","""",
   IF(F1312&gt;0,
      INDEX(FILTER('RE Portfolio'!L$2:L2000,'RE Portfolio'!D$2:D2000=""BUY""), INT((ROW()-2)/amortYears)+1) - G1312,
      INDEX(FILTER('RE Portfolio'!L$2:L2000,'RE Portfolio'!D$2:D2000=""BUY""), INT((ROW()-2)/amortYears"&amp;")+1)
   )
)
"),"")</f>
        <v/>
      </c>
      <c r="L1312" s="15" t="str">
        <f>IFERROR(__xludf.DUMMYFUNCTION("IF(A1312="""","""",
  INDEX(FILTER('RE Portfolio'!C$2:C2000,'RE Portfolio'!D$2:D2000=""BUY""), INT((ROW()-2)/amortYears)+1)
  * (1 + VALUE(Assumptions!$B$11))^(D1312-1)
)
"),"")</f>
        <v/>
      </c>
    </row>
    <row r="1313">
      <c r="A1313" s="15" t="str">
        <f>IFERROR(__xludf.DUMMYFUNCTION("IFERROR(INDEX(FILTER('RE Portfolio'!A$2:A2000,'RE Portfolio'!D$2:D2000=""BUY""), INT((ROW()-2)/amortYears)+1), )
"),"")</f>
        <v/>
      </c>
      <c r="B1313" s="15" t="str">
        <f>IFERROR(__xludf.DUMMYFUNCTION("IFERROR(INDEX(FILTER('RE Portfolio'!B$2:B2000,'RE Portfolio'!D$2:D2000=""BUY""), INT((ROW()-2)/amortYears)+1), )
"),"")</f>
        <v/>
      </c>
      <c r="C1313" s="15" t="str">
        <f>IFERROR(__xludf.DUMMYFUNCTION("IFERROR(INDEX(FILTER('RE Portfolio'!G$2:G2000,'RE Portfolio'!D$2:D2000=""BUY""), INT((ROW()-2)/amortYears)+1), )
"),"")</f>
        <v/>
      </c>
      <c r="D1313" s="15">
        <f>MOD(ROW()-2, amortYears)+1</f>
        <v>20</v>
      </c>
      <c r="E1313" s="15" t="str">
        <f t="shared" si="1"/>
        <v/>
      </c>
      <c r="F1313" s="16">
        <f t="shared" si="2"/>
        <v>0</v>
      </c>
      <c r="G1313" s="16">
        <f>IF(D1313&lt;=mortTerm, -PMT(mortRate/12, mortTerm*12, C1313)*12, 0)
</f>
        <v>0</v>
      </c>
      <c r="H1313" s="16">
        <f>IF(D1313&lt;=mortTerm, G1313 - I1313, 0)
</f>
        <v>0</v>
      </c>
      <c r="I1313" s="16">
        <f>IF(D1313&lt;=mortTerm, F1313 - J1313, 0)
</f>
        <v>0</v>
      </c>
      <c r="J1313" s="16">
        <f>IF(D1313&lt;=mortTerm,
   F1313*(1+mortRate/12)^12 - (-PMT(mortRate/12, mortTerm*12, C1313))*(((1+mortRate/12)^12 - 1)/(mortRate/12)),
   0
)
</f>
        <v>0</v>
      </c>
      <c r="K1313" s="13" t="str">
        <f>IFERROR(__xludf.DUMMYFUNCTION("IF(A1313="""","""",
   IF(F1313&gt;0,
      INDEX(FILTER('RE Portfolio'!L$2:L2000,'RE Portfolio'!D$2:D2000=""BUY""), INT((ROW()-2)/amortYears)+1) - G1313,
      INDEX(FILTER('RE Portfolio'!L$2:L2000,'RE Portfolio'!D$2:D2000=""BUY""), INT((ROW()-2)/amortYears"&amp;")+1)
   )
)
"),"")</f>
        <v/>
      </c>
      <c r="L1313" s="15" t="str">
        <f>IFERROR(__xludf.DUMMYFUNCTION("IF(A1313="""","""",
  INDEX(FILTER('RE Portfolio'!C$2:C2000,'RE Portfolio'!D$2:D2000=""BUY""), INT((ROW()-2)/amortYears)+1)
  * (1 + VALUE(Assumptions!$B$11))^(D1313-1)
)
"),"")</f>
        <v/>
      </c>
    </row>
    <row r="1314">
      <c r="A1314" s="15" t="str">
        <f>IFERROR(__xludf.DUMMYFUNCTION("IFERROR(INDEX(FILTER('RE Portfolio'!A$2:A2000,'RE Portfolio'!D$2:D2000=""BUY""), INT((ROW()-2)/amortYears)+1), )
"),"")</f>
        <v/>
      </c>
      <c r="B1314" s="15" t="str">
        <f>IFERROR(__xludf.DUMMYFUNCTION("IFERROR(INDEX(FILTER('RE Portfolio'!B$2:B2000,'RE Portfolio'!D$2:D2000=""BUY""), INT((ROW()-2)/amortYears)+1), )
"),"")</f>
        <v/>
      </c>
      <c r="C1314" s="15" t="str">
        <f>IFERROR(__xludf.DUMMYFUNCTION("IFERROR(INDEX(FILTER('RE Portfolio'!G$2:G2000,'RE Portfolio'!D$2:D2000=""BUY""), INT((ROW()-2)/amortYears)+1), )
"),"")</f>
        <v/>
      </c>
      <c r="D1314" s="15">
        <f>MOD(ROW()-2, amortYears)+1</f>
        <v>21</v>
      </c>
      <c r="E1314" s="15" t="str">
        <f t="shared" si="1"/>
        <v/>
      </c>
      <c r="F1314" s="16">
        <f t="shared" si="2"/>
        <v>0</v>
      </c>
      <c r="G1314" s="16">
        <f>IF(D1314&lt;=mortTerm, -PMT(mortRate/12, mortTerm*12, C1314)*12, 0)
</f>
        <v>0</v>
      </c>
      <c r="H1314" s="16">
        <f>IF(D1314&lt;=mortTerm, G1314 - I1314, 0)
</f>
        <v>0</v>
      </c>
      <c r="I1314" s="16">
        <f>IF(D1314&lt;=mortTerm, F1314 - J1314, 0)
</f>
        <v>0</v>
      </c>
      <c r="J1314" s="16">
        <f>IF(D1314&lt;=mortTerm,
   F1314*(1+mortRate/12)^12 - (-PMT(mortRate/12, mortTerm*12, C1314))*(((1+mortRate/12)^12 - 1)/(mortRate/12)),
   0
)
</f>
        <v>0</v>
      </c>
      <c r="K1314" s="13" t="str">
        <f>IFERROR(__xludf.DUMMYFUNCTION("IF(A1314="""","""",
   IF(F1314&gt;0,
      INDEX(FILTER('RE Portfolio'!L$2:L2000,'RE Portfolio'!D$2:D2000=""BUY""), INT((ROW()-2)/amortYears)+1) - G1314,
      INDEX(FILTER('RE Portfolio'!L$2:L2000,'RE Portfolio'!D$2:D2000=""BUY""), INT((ROW()-2)/amortYears"&amp;")+1)
   )
)
"),"")</f>
        <v/>
      </c>
      <c r="L1314" s="15" t="str">
        <f>IFERROR(__xludf.DUMMYFUNCTION("IF(A1314="""","""",
  INDEX(FILTER('RE Portfolio'!C$2:C2000,'RE Portfolio'!D$2:D2000=""BUY""), INT((ROW()-2)/amortYears)+1)
  * (1 + VALUE(Assumptions!$B$11))^(D1314-1)
)
"),"")</f>
        <v/>
      </c>
    </row>
    <row r="1315">
      <c r="A1315" s="15" t="str">
        <f>IFERROR(__xludf.DUMMYFUNCTION("IFERROR(INDEX(FILTER('RE Portfolio'!A$2:A2000,'RE Portfolio'!D$2:D2000=""BUY""), INT((ROW()-2)/amortYears)+1), )
"),"")</f>
        <v/>
      </c>
      <c r="B1315" s="15" t="str">
        <f>IFERROR(__xludf.DUMMYFUNCTION("IFERROR(INDEX(FILTER('RE Portfolio'!B$2:B2000,'RE Portfolio'!D$2:D2000=""BUY""), INT((ROW()-2)/amortYears)+1), )
"),"")</f>
        <v/>
      </c>
      <c r="C1315" s="15" t="str">
        <f>IFERROR(__xludf.DUMMYFUNCTION("IFERROR(INDEX(FILTER('RE Portfolio'!G$2:G2000,'RE Portfolio'!D$2:D2000=""BUY""), INT((ROW()-2)/amortYears)+1), )
"),"")</f>
        <v/>
      </c>
      <c r="D1315" s="15">
        <f>MOD(ROW()-2, amortYears)+1</f>
        <v>22</v>
      </c>
      <c r="E1315" s="15" t="str">
        <f t="shared" si="1"/>
        <v/>
      </c>
      <c r="F1315" s="16">
        <f t="shared" si="2"/>
        <v>0</v>
      </c>
      <c r="G1315" s="16">
        <f>IF(D1315&lt;=mortTerm, -PMT(mortRate/12, mortTerm*12, C1315)*12, 0)
</f>
        <v>0</v>
      </c>
      <c r="H1315" s="16">
        <f>IF(D1315&lt;=mortTerm, G1315 - I1315, 0)
</f>
        <v>0</v>
      </c>
      <c r="I1315" s="16">
        <f>IF(D1315&lt;=mortTerm, F1315 - J1315, 0)
</f>
        <v>0</v>
      </c>
      <c r="J1315" s="16">
        <f>IF(D1315&lt;=mortTerm,
   F1315*(1+mortRate/12)^12 - (-PMT(mortRate/12, mortTerm*12, C1315))*(((1+mortRate/12)^12 - 1)/(mortRate/12)),
   0
)
</f>
        <v>0</v>
      </c>
      <c r="K1315" s="13" t="str">
        <f>IFERROR(__xludf.DUMMYFUNCTION("IF(A1315="""","""",
   IF(F1315&gt;0,
      INDEX(FILTER('RE Portfolio'!L$2:L2000,'RE Portfolio'!D$2:D2000=""BUY""), INT((ROW()-2)/amortYears)+1) - G1315,
      INDEX(FILTER('RE Portfolio'!L$2:L2000,'RE Portfolio'!D$2:D2000=""BUY""), INT((ROW()-2)/amortYears"&amp;")+1)
   )
)
"),"")</f>
        <v/>
      </c>
      <c r="L1315" s="15" t="str">
        <f>IFERROR(__xludf.DUMMYFUNCTION("IF(A1315="""","""",
  INDEX(FILTER('RE Portfolio'!C$2:C2000,'RE Portfolio'!D$2:D2000=""BUY""), INT((ROW()-2)/amortYears)+1)
  * (1 + VALUE(Assumptions!$B$11))^(D1315-1)
)
"),"")</f>
        <v/>
      </c>
    </row>
    <row r="1316">
      <c r="A1316" s="15" t="str">
        <f>IFERROR(__xludf.DUMMYFUNCTION("IFERROR(INDEX(FILTER('RE Portfolio'!A$2:A2000,'RE Portfolio'!D$2:D2000=""BUY""), INT((ROW()-2)/amortYears)+1), )
"),"")</f>
        <v/>
      </c>
      <c r="B1316" s="15" t="str">
        <f>IFERROR(__xludf.DUMMYFUNCTION("IFERROR(INDEX(FILTER('RE Portfolio'!B$2:B2000,'RE Portfolio'!D$2:D2000=""BUY""), INT((ROW()-2)/amortYears)+1), )
"),"")</f>
        <v/>
      </c>
      <c r="C1316" s="15" t="str">
        <f>IFERROR(__xludf.DUMMYFUNCTION("IFERROR(INDEX(FILTER('RE Portfolio'!G$2:G2000,'RE Portfolio'!D$2:D2000=""BUY""), INT((ROW()-2)/amortYears)+1), )
"),"")</f>
        <v/>
      </c>
      <c r="D1316" s="15">
        <f>MOD(ROW()-2, amortYears)+1</f>
        <v>23</v>
      </c>
      <c r="E1316" s="15" t="str">
        <f t="shared" si="1"/>
        <v/>
      </c>
      <c r="F1316" s="16">
        <f t="shared" si="2"/>
        <v>0</v>
      </c>
      <c r="G1316" s="16">
        <f>IF(D1316&lt;=mortTerm, -PMT(mortRate/12, mortTerm*12, C1316)*12, 0)
</f>
        <v>0</v>
      </c>
      <c r="H1316" s="16">
        <f>IF(D1316&lt;=mortTerm, G1316 - I1316, 0)
</f>
        <v>0</v>
      </c>
      <c r="I1316" s="16">
        <f>IF(D1316&lt;=mortTerm, F1316 - J1316, 0)
</f>
        <v>0</v>
      </c>
      <c r="J1316" s="16">
        <f>IF(D1316&lt;=mortTerm,
   F1316*(1+mortRate/12)^12 - (-PMT(mortRate/12, mortTerm*12, C1316))*(((1+mortRate/12)^12 - 1)/(mortRate/12)),
   0
)
</f>
        <v>0</v>
      </c>
      <c r="K1316" s="13" t="str">
        <f>IFERROR(__xludf.DUMMYFUNCTION("IF(A1316="""","""",
   IF(F1316&gt;0,
      INDEX(FILTER('RE Portfolio'!L$2:L2000,'RE Portfolio'!D$2:D2000=""BUY""), INT((ROW()-2)/amortYears)+1) - G1316,
      INDEX(FILTER('RE Portfolio'!L$2:L2000,'RE Portfolio'!D$2:D2000=""BUY""), INT((ROW()-2)/amortYears"&amp;")+1)
   )
)
"),"")</f>
        <v/>
      </c>
      <c r="L1316" s="15" t="str">
        <f>IFERROR(__xludf.DUMMYFUNCTION("IF(A1316="""","""",
  INDEX(FILTER('RE Portfolio'!C$2:C2000,'RE Portfolio'!D$2:D2000=""BUY""), INT((ROW()-2)/amortYears)+1)
  * (1 + VALUE(Assumptions!$B$11))^(D1316-1)
)
"),"")</f>
        <v/>
      </c>
    </row>
    <row r="1317">
      <c r="A1317" s="15" t="str">
        <f>IFERROR(__xludf.DUMMYFUNCTION("IFERROR(INDEX(FILTER('RE Portfolio'!A$2:A2000,'RE Portfolio'!D$2:D2000=""BUY""), INT((ROW()-2)/amortYears)+1), )
"),"")</f>
        <v/>
      </c>
      <c r="B1317" s="15" t="str">
        <f>IFERROR(__xludf.DUMMYFUNCTION("IFERROR(INDEX(FILTER('RE Portfolio'!B$2:B2000,'RE Portfolio'!D$2:D2000=""BUY""), INT((ROW()-2)/amortYears)+1), )
"),"")</f>
        <v/>
      </c>
      <c r="C1317" s="15" t="str">
        <f>IFERROR(__xludf.DUMMYFUNCTION("IFERROR(INDEX(FILTER('RE Portfolio'!G$2:G2000,'RE Portfolio'!D$2:D2000=""BUY""), INT((ROW()-2)/amortYears)+1), )
"),"")</f>
        <v/>
      </c>
      <c r="D1317" s="15">
        <f>MOD(ROW()-2, amortYears)+1</f>
        <v>24</v>
      </c>
      <c r="E1317" s="15" t="str">
        <f t="shared" si="1"/>
        <v/>
      </c>
      <c r="F1317" s="16">
        <f t="shared" si="2"/>
        <v>0</v>
      </c>
      <c r="G1317" s="16">
        <f>IF(D1317&lt;=mortTerm, -PMT(mortRate/12, mortTerm*12, C1317)*12, 0)
</f>
        <v>0</v>
      </c>
      <c r="H1317" s="16">
        <f>IF(D1317&lt;=mortTerm, G1317 - I1317, 0)
</f>
        <v>0</v>
      </c>
      <c r="I1317" s="16">
        <f>IF(D1317&lt;=mortTerm, F1317 - J1317, 0)
</f>
        <v>0</v>
      </c>
      <c r="J1317" s="16">
        <f>IF(D1317&lt;=mortTerm,
   F1317*(1+mortRate/12)^12 - (-PMT(mortRate/12, mortTerm*12, C1317))*(((1+mortRate/12)^12 - 1)/(mortRate/12)),
   0
)
</f>
        <v>0</v>
      </c>
      <c r="K1317" s="13" t="str">
        <f>IFERROR(__xludf.DUMMYFUNCTION("IF(A1317="""","""",
   IF(F1317&gt;0,
      INDEX(FILTER('RE Portfolio'!L$2:L2000,'RE Portfolio'!D$2:D2000=""BUY""), INT((ROW()-2)/amortYears)+1) - G1317,
      INDEX(FILTER('RE Portfolio'!L$2:L2000,'RE Portfolio'!D$2:D2000=""BUY""), INT((ROW()-2)/amortYears"&amp;")+1)
   )
)
"),"")</f>
        <v/>
      </c>
      <c r="L1317" s="15" t="str">
        <f>IFERROR(__xludf.DUMMYFUNCTION("IF(A1317="""","""",
  INDEX(FILTER('RE Portfolio'!C$2:C2000,'RE Portfolio'!D$2:D2000=""BUY""), INT((ROW()-2)/amortYears)+1)
  * (1 + VALUE(Assumptions!$B$11))^(D1317-1)
)
"),"")</f>
        <v/>
      </c>
    </row>
    <row r="1318">
      <c r="A1318" s="15" t="str">
        <f>IFERROR(__xludf.DUMMYFUNCTION("IFERROR(INDEX(FILTER('RE Portfolio'!A$2:A2000,'RE Portfolio'!D$2:D2000=""BUY""), INT((ROW()-2)/amortYears)+1), )
"),"")</f>
        <v/>
      </c>
      <c r="B1318" s="15" t="str">
        <f>IFERROR(__xludf.DUMMYFUNCTION("IFERROR(INDEX(FILTER('RE Portfolio'!B$2:B2000,'RE Portfolio'!D$2:D2000=""BUY""), INT((ROW()-2)/amortYears)+1), )
"),"")</f>
        <v/>
      </c>
      <c r="C1318" s="15" t="str">
        <f>IFERROR(__xludf.DUMMYFUNCTION("IFERROR(INDEX(FILTER('RE Portfolio'!G$2:G2000,'RE Portfolio'!D$2:D2000=""BUY""), INT((ROW()-2)/amortYears)+1), )
"),"")</f>
        <v/>
      </c>
      <c r="D1318" s="15">
        <f>MOD(ROW()-2, amortYears)+1</f>
        <v>25</v>
      </c>
      <c r="E1318" s="15" t="str">
        <f t="shared" si="1"/>
        <v/>
      </c>
      <c r="F1318" s="16">
        <f t="shared" si="2"/>
        <v>0</v>
      </c>
      <c r="G1318" s="16">
        <f>IF(D1318&lt;=mortTerm, -PMT(mortRate/12, mortTerm*12, C1318)*12, 0)
</f>
        <v>0</v>
      </c>
      <c r="H1318" s="16">
        <f>IF(D1318&lt;=mortTerm, G1318 - I1318, 0)
</f>
        <v>0</v>
      </c>
      <c r="I1318" s="16">
        <f>IF(D1318&lt;=mortTerm, F1318 - J1318, 0)
</f>
        <v>0</v>
      </c>
      <c r="J1318" s="16">
        <f>IF(D1318&lt;=mortTerm,
   F1318*(1+mortRate/12)^12 - (-PMT(mortRate/12, mortTerm*12, C1318))*(((1+mortRate/12)^12 - 1)/(mortRate/12)),
   0
)
</f>
        <v>0</v>
      </c>
      <c r="K1318" s="13" t="str">
        <f>IFERROR(__xludf.DUMMYFUNCTION("IF(A1318="""","""",
   IF(F1318&gt;0,
      INDEX(FILTER('RE Portfolio'!L$2:L2000,'RE Portfolio'!D$2:D2000=""BUY""), INT((ROW()-2)/amortYears)+1) - G1318,
      INDEX(FILTER('RE Portfolio'!L$2:L2000,'RE Portfolio'!D$2:D2000=""BUY""), INT((ROW()-2)/amortYears"&amp;")+1)
   )
)
"),"")</f>
        <v/>
      </c>
      <c r="L1318" s="15" t="str">
        <f>IFERROR(__xludf.DUMMYFUNCTION("IF(A1318="""","""",
  INDEX(FILTER('RE Portfolio'!C$2:C2000,'RE Portfolio'!D$2:D2000=""BUY""), INT((ROW()-2)/amortYears)+1)
  * (1 + VALUE(Assumptions!$B$11))^(D1318-1)
)
"),"")</f>
        <v/>
      </c>
    </row>
    <row r="1319">
      <c r="A1319" s="15" t="str">
        <f>IFERROR(__xludf.DUMMYFUNCTION("IFERROR(INDEX(FILTER('RE Portfolio'!A$2:A2000,'RE Portfolio'!D$2:D2000=""BUY""), INT((ROW()-2)/amortYears)+1), )
"),"")</f>
        <v/>
      </c>
      <c r="B1319" s="15" t="str">
        <f>IFERROR(__xludf.DUMMYFUNCTION("IFERROR(INDEX(FILTER('RE Portfolio'!B$2:B2000,'RE Portfolio'!D$2:D2000=""BUY""), INT((ROW()-2)/amortYears)+1), )
"),"")</f>
        <v/>
      </c>
      <c r="C1319" s="15" t="str">
        <f>IFERROR(__xludf.DUMMYFUNCTION("IFERROR(INDEX(FILTER('RE Portfolio'!G$2:G2000,'RE Portfolio'!D$2:D2000=""BUY""), INT((ROW()-2)/amortYears)+1), )
"),"")</f>
        <v/>
      </c>
      <c r="D1319" s="15">
        <f>MOD(ROW()-2, amortYears)+1</f>
        <v>26</v>
      </c>
      <c r="E1319" s="15" t="str">
        <f t="shared" si="1"/>
        <v/>
      </c>
      <c r="F1319" s="16">
        <f t="shared" si="2"/>
        <v>0</v>
      </c>
      <c r="G1319" s="16">
        <f>IF(D1319&lt;=mortTerm, -PMT(mortRate/12, mortTerm*12, C1319)*12, 0)
</f>
        <v>0</v>
      </c>
      <c r="H1319" s="16">
        <f>IF(D1319&lt;=mortTerm, G1319 - I1319, 0)
</f>
        <v>0</v>
      </c>
      <c r="I1319" s="16">
        <f>IF(D1319&lt;=mortTerm, F1319 - J1319, 0)
</f>
        <v>0</v>
      </c>
      <c r="J1319" s="16">
        <f>IF(D1319&lt;=mortTerm,
   F1319*(1+mortRate/12)^12 - (-PMT(mortRate/12, mortTerm*12, C1319))*(((1+mortRate/12)^12 - 1)/(mortRate/12)),
   0
)
</f>
        <v>0</v>
      </c>
      <c r="K1319" s="13" t="str">
        <f>IFERROR(__xludf.DUMMYFUNCTION("IF(A1319="""","""",
   IF(F1319&gt;0,
      INDEX(FILTER('RE Portfolio'!L$2:L2000,'RE Portfolio'!D$2:D2000=""BUY""), INT((ROW()-2)/amortYears)+1) - G1319,
      INDEX(FILTER('RE Portfolio'!L$2:L2000,'RE Portfolio'!D$2:D2000=""BUY""), INT((ROW()-2)/amortYears"&amp;")+1)
   )
)
"),"")</f>
        <v/>
      </c>
      <c r="L1319" s="15" t="str">
        <f>IFERROR(__xludf.DUMMYFUNCTION("IF(A1319="""","""",
  INDEX(FILTER('RE Portfolio'!C$2:C2000,'RE Portfolio'!D$2:D2000=""BUY""), INT((ROW()-2)/amortYears)+1)
  * (1 + VALUE(Assumptions!$B$11))^(D1319-1)
)
"),"")</f>
        <v/>
      </c>
    </row>
    <row r="1320">
      <c r="A1320" s="15" t="str">
        <f>IFERROR(__xludf.DUMMYFUNCTION("IFERROR(INDEX(FILTER('RE Portfolio'!A$2:A2000,'RE Portfolio'!D$2:D2000=""BUY""), INT((ROW()-2)/amortYears)+1), )
"),"")</f>
        <v/>
      </c>
      <c r="B1320" s="15" t="str">
        <f>IFERROR(__xludf.DUMMYFUNCTION("IFERROR(INDEX(FILTER('RE Portfolio'!B$2:B2000,'RE Portfolio'!D$2:D2000=""BUY""), INT((ROW()-2)/amortYears)+1), )
"),"")</f>
        <v/>
      </c>
      <c r="C1320" s="15" t="str">
        <f>IFERROR(__xludf.DUMMYFUNCTION("IFERROR(INDEX(FILTER('RE Portfolio'!G$2:G2000,'RE Portfolio'!D$2:D2000=""BUY""), INT((ROW()-2)/amortYears)+1), )
"),"")</f>
        <v/>
      </c>
      <c r="D1320" s="15">
        <f>MOD(ROW()-2, amortYears)+1</f>
        <v>27</v>
      </c>
      <c r="E1320" s="15" t="str">
        <f t="shared" si="1"/>
        <v/>
      </c>
      <c r="F1320" s="16">
        <f t="shared" si="2"/>
        <v>0</v>
      </c>
      <c r="G1320" s="16">
        <f>IF(D1320&lt;=mortTerm, -PMT(mortRate/12, mortTerm*12, C1320)*12, 0)
</f>
        <v>0</v>
      </c>
      <c r="H1320" s="16">
        <f>IF(D1320&lt;=mortTerm, G1320 - I1320, 0)
</f>
        <v>0</v>
      </c>
      <c r="I1320" s="16">
        <f>IF(D1320&lt;=mortTerm, F1320 - J1320, 0)
</f>
        <v>0</v>
      </c>
      <c r="J1320" s="16">
        <f>IF(D1320&lt;=mortTerm,
   F1320*(1+mortRate/12)^12 - (-PMT(mortRate/12, mortTerm*12, C1320))*(((1+mortRate/12)^12 - 1)/(mortRate/12)),
   0
)
</f>
        <v>0</v>
      </c>
      <c r="K1320" s="13" t="str">
        <f>IFERROR(__xludf.DUMMYFUNCTION("IF(A1320="""","""",
   IF(F1320&gt;0,
      INDEX(FILTER('RE Portfolio'!L$2:L2000,'RE Portfolio'!D$2:D2000=""BUY""), INT((ROW()-2)/amortYears)+1) - G1320,
      INDEX(FILTER('RE Portfolio'!L$2:L2000,'RE Portfolio'!D$2:D2000=""BUY""), INT((ROW()-2)/amortYears"&amp;")+1)
   )
)
"),"")</f>
        <v/>
      </c>
      <c r="L1320" s="15" t="str">
        <f>IFERROR(__xludf.DUMMYFUNCTION("IF(A1320="""","""",
  INDEX(FILTER('RE Portfolio'!C$2:C2000,'RE Portfolio'!D$2:D2000=""BUY""), INT((ROW()-2)/amortYears)+1)
  * (1 + VALUE(Assumptions!$B$11))^(D1320-1)
)
"),"")</f>
        <v/>
      </c>
    </row>
    <row r="1321">
      <c r="A1321" s="15" t="str">
        <f>IFERROR(__xludf.DUMMYFUNCTION("IFERROR(INDEX(FILTER('RE Portfolio'!A$2:A2000,'RE Portfolio'!D$2:D2000=""BUY""), INT((ROW()-2)/amortYears)+1), )
"),"")</f>
        <v/>
      </c>
      <c r="B1321" s="15" t="str">
        <f>IFERROR(__xludf.DUMMYFUNCTION("IFERROR(INDEX(FILTER('RE Portfolio'!B$2:B2000,'RE Portfolio'!D$2:D2000=""BUY""), INT((ROW()-2)/amortYears)+1), )
"),"")</f>
        <v/>
      </c>
      <c r="C1321" s="15" t="str">
        <f>IFERROR(__xludf.DUMMYFUNCTION("IFERROR(INDEX(FILTER('RE Portfolio'!G$2:G2000,'RE Portfolio'!D$2:D2000=""BUY""), INT((ROW()-2)/amortYears)+1), )
"),"")</f>
        <v/>
      </c>
      <c r="D1321" s="15">
        <f>MOD(ROW()-2, amortYears)+1</f>
        <v>28</v>
      </c>
      <c r="E1321" s="15" t="str">
        <f t="shared" si="1"/>
        <v/>
      </c>
      <c r="F1321" s="16">
        <f t="shared" si="2"/>
        <v>0</v>
      </c>
      <c r="G1321" s="16">
        <f>IF(D1321&lt;=mortTerm, -PMT(mortRate/12, mortTerm*12, C1321)*12, 0)
</f>
        <v>0</v>
      </c>
      <c r="H1321" s="16">
        <f>IF(D1321&lt;=mortTerm, G1321 - I1321, 0)
</f>
        <v>0</v>
      </c>
      <c r="I1321" s="16">
        <f>IF(D1321&lt;=mortTerm, F1321 - J1321, 0)
</f>
        <v>0</v>
      </c>
      <c r="J1321" s="16">
        <f>IF(D1321&lt;=mortTerm,
   F1321*(1+mortRate/12)^12 - (-PMT(mortRate/12, mortTerm*12, C1321))*(((1+mortRate/12)^12 - 1)/(mortRate/12)),
   0
)
</f>
        <v>0</v>
      </c>
      <c r="K1321" s="13" t="str">
        <f>IFERROR(__xludf.DUMMYFUNCTION("IF(A1321="""","""",
   IF(F1321&gt;0,
      INDEX(FILTER('RE Portfolio'!L$2:L2000,'RE Portfolio'!D$2:D2000=""BUY""), INT((ROW()-2)/amortYears)+1) - G1321,
      INDEX(FILTER('RE Portfolio'!L$2:L2000,'RE Portfolio'!D$2:D2000=""BUY""), INT((ROW()-2)/amortYears"&amp;")+1)
   )
)
"),"")</f>
        <v/>
      </c>
      <c r="L1321" s="15" t="str">
        <f>IFERROR(__xludf.DUMMYFUNCTION("IF(A1321="""","""",
  INDEX(FILTER('RE Portfolio'!C$2:C2000,'RE Portfolio'!D$2:D2000=""BUY""), INT((ROW()-2)/amortYears)+1)
  * (1 + VALUE(Assumptions!$B$11))^(D1321-1)
)
"),"")</f>
        <v/>
      </c>
    </row>
    <row r="1322">
      <c r="A1322" s="15" t="str">
        <f>IFERROR(__xludf.DUMMYFUNCTION("IFERROR(INDEX(FILTER('RE Portfolio'!A$2:A2000,'RE Portfolio'!D$2:D2000=""BUY""), INT((ROW()-2)/amortYears)+1), )
"),"")</f>
        <v/>
      </c>
      <c r="B1322" s="15" t="str">
        <f>IFERROR(__xludf.DUMMYFUNCTION("IFERROR(INDEX(FILTER('RE Portfolio'!B$2:B2000,'RE Portfolio'!D$2:D2000=""BUY""), INT((ROW()-2)/amortYears)+1), )
"),"")</f>
        <v/>
      </c>
      <c r="C1322" s="15" t="str">
        <f>IFERROR(__xludf.DUMMYFUNCTION("IFERROR(INDEX(FILTER('RE Portfolio'!G$2:G2000,'RE Portfolio'!D$2:D2000=""BUY""), INT((ROW()-2)/amortYears)+1), )
"),"")</f>
        <v/>
      </c>
      <c r="D1322" s="15">
        <f>MOD(ROW()-2, amortYears)+1</f>
        <v>29</v>
      </c>
      <c r="E1322" s="15" t="str">
        <f t="shared" si="1"/>
        <v/>
      </c>
      <c r="F1322" s="16">
        <f t="shared" si="2"/>
        <v>0</v>
      </c>
      <c r="G1322" s="16">
        <f>IF(D1322&lt;=mortTerm, -PMT(mortRate/12, mortTerm*12, C1322)*12, 0)
</f>
        <v>0</v>
      </c>
      <c r="H1322" s="16">
        <f>IF(D1322&lt;=mortTerm, G1322 - I1322, 0)
</f>
        <v>0</v>
      </c>
      <c r="I1322" s="16">
        <f>IF(D1322&lt;=mortTerm, F1322 - J1322, 0)
</f>
        <v>0</v>
      </c>
      <c r="J1322" s="16">
        <f>IF(D1322&lt;=mortTerm,
   F1322*(1+mortRate/12)^12 - (-PMT(mortRate/12, mortTerm*12, C1322))*(((1+mortRate/12)^12 - 1)/(mortRate/12)),
   0
)
</f>
        <v>0</v>
      </c>
      <c r="K1322" s="13" t="str">
        <f>IFERROR(__xludf.DUMMYFUNCTION("IF(A1322="""","""",
   IF(F1322&gt;0,
      INDEX(FILTER('RE Portfolio'!L$2:L2000,'RE Portfolio'!D$2:D2000=""BUY""), INT((ROW()-2)/amortYears)+1) - G1322,
      INDEX(FILTER('RE Portfolio'!L$2:L2000,'RE Portfolio'!D$2:D2000=""BUY""), INT((ROW()-2)/amortYears"&amp;")+1)
   )
)
"),"")</f>
        <v/>
      </c>
      <c r="L1322" s="15" t="str">
        <f>IFERROR(__xludf.DUMMYFUNCTION("IF(A1322="""","""",
  INDEX(FILTER('RE Portfolio'!C$2:C2000,'RE Portfolio'!D$2:D2000=""BUY""), INT((ROW()-2)/amortYears)+1)
  * (1 + VALUE(Assumptions!$B$11))^(D1322-1)
)
"),"")</f>
        <v/>
      </c>
    </row>
    <row r="1323">
      <c r="A1323" s="15" t="str">
        <f>IFERROR(__xludf.DUMMYFUNCTION("IFERROR(INDEX(FILTER('RE Portfolio'!A$2:A2000,'RE Portfolio'!D$2:D2000=""BUY""), INT((ROW()-2)/amortYears)+1), )
"),"")</f>
        <v/>
      </c>
      <c r="B1323" s="15" t="str">
        <f>IFERROR(__xludf.DUMMYFUNCTION("IFERROR(INDEX(FILTER('RE Portfolio'!B$2:B2000,'RE Portfolio'!D$2:D2000=""BUY""), INT((ROW()-2)/amortYears)+1), )
"),"")</f>
        <v/>
      </c>
      <c r="C1323" s="15" t="str">
        <f>IFERROR(__xludf.DUMMYFUNCTION("IFERROR(INDEX(FILTER('RE Portfolio'!G$2:G2000,'RE Portfolio'!D$2:D2000=""BUY""), INT((ROW()-2)/amortYears)+1), )
"),"")</f>
        <v/>
      </c>
      <c r="D1323" s="15">
        <f>MOD(ROW()-2, amortYears)+1</f>
        <v>30</v>
      </c>
      <c r="E1323" s="15" t="str">
        <f t="shared" si="1"/>
        <v/>
      </c>
      <c r="F1323" s="16">
        <f t="shared" si="2"/>
        <v>0</v>
      </c>
      <c r="G1323" s="16">
        <f>IF(D1323&lt;=mortTerm, -PMT(mortRate/12, mortTerm*12, C1323)*12, 0)
</f>
        <v>0</v>
      </c>
      <c r="H1323" s="16">
        <f>IF(D1323&lt;=mortTerm, G1323 - I1323, 0)
</f>
        <v>0</v>
      </c>
      <c r="I1323" s="16">
        <f>IF(D1323&lt;=mortTerm, F1323 - J1323, 0)
</f>
        <v>0</v>
      </c>
      <c r="J1323" s="16">
        <f>IF(D1323&lt;=mortTerm,
   F1323*(1+mortRate/12)^12 - (-PMT(mortRate/12, mortTerm*12, C1323))*(((1+mortRate/12)^12 - 1)/(mortRate/12)),
   0
)
</f>
        <v>0</v>
      </c>
      <c r="K1323" s="13" t="str">
        <f>IFERROR(__xludf.DUMMYFUNCTION("IF(A1323="""","""",
   IF(F1323&gt;0,
      INDEX(FILTER('RE Portfolio'!L$2:L2000,'RE Portfolio'!D$2:D2000=""BUY""), INT((ROW()-2)/amortYears)+1) - G1323,
      INDEX(FILTER('RE Portfolio'!L$2:L2000,'RE Portfolio'!D$2:D2000=""BUY""), INT((ROW()-2)/amortYears"&amp;")+1)
   )
)
"),"")</f>
        <v/>
      </c>
      <c r="L1323" s="15" t="str">
        <f>IFERROR(__xludf.DUMMYFUNCTION("IF(A1323="""","""",
  INDEX(FILTER('RE Portfolio'!C$2:C2000,'RE Portfolio'!D$2:D2000=""BUY""), INT((ROW()-2)/amortYears)+1)
  * (1 + VALUE(Assumptions!$B$11))^(D1323-1)
)
"),"")</f>
        <v/>
      </c>
    </row>
    <row r="1324">
      <c r="A1324" s="15" t="str">
        <f>IFERROR(__xludf.DUMMYFUNCTION("IFERROR(INDEX(FILTER('RE Portfolio'!A$2:A2000,'RE Portfolio'!D$2:D2000=""BUY""), INT((ROW()-2)/amortYears)+1), )
"),"")</f>
        <v/>
      </c>
      <c r="B1324" s="15" t="str">
        <f>IFERROR(__xludf.DUMMYFUNCTION("IFERROR(INDEX(FILTER('RE Portfolio'!B$2:B2000,'RE Portfolio'!D$2:D2000=""BUY""), INT((ROW()-2)/amortYears)+1), )
"),"")</f>
        <v/>
      </c>
      <c r="C1324" s="15" t="str">
        <f>IFERROR(__xludf.DUMMYFUNCTION("IFERROR(INDEX(FILTER('RE Portfolio'!G$2:G2000,'RE Portfolio'!D$2:D2000=""BUY""), INT((ROW()-2)/amortYears)+1), )
"),"")</f>
        <v/>
      </c>
      <c r="D1324" s="15">
        <f>MOD(ROW()-2, amortYears)+1</f>
        <v>31</v>
      </c>
      <c r="E1324" s="15" t="str">
        <f t="shared" si="1"/>
        <v/>
      </c>
      <c r="F1324" s="16">
        <f t="shared" si="2"/>
        <v>0</v>
      </c>
      <c r="G1324" s="15">
        <f>IF(D1324&lt;=mortTerm, -PMT(mortRate/12, mortTerm*12, C1324)*12, 0)
</f>
        <v>0</v>
      </c>
      <c r="H1324" s="15">
        <f>IF(D1324&lt;=mortTerm, G1324 - I1324, 0)
</f>
        <v>0</v>
      </c>
      <c r="I1324" s="15">
        <f>IF(D1324&lt;=mortTerm, F1324 - J1324, 0)
</f>
        <v>0</v>
      </c>
      <c r="J1324" s="15">
        <f>IF(D1324&lt;=mortTerm,
   F1324*(1+mortRate/12)^12 - (-PMT(mortRate/12, mortTerm*12, C1324))*(((1+mortRate/12)^12 - 1)/(mortRate/12)),
   0
)
</f>
        <v>0</v>
      </c>
      <c r="K1324" s="13" t="str">
        <f>IFERROR(__xludf.DUMMYFUNCTION("IF(A1324="""","""",
   IF(F1324&gt;0,
      INDEX(FILTER('RE Portfolio'!L$2:L2000,'RE Portfolio'!D$2:D2000=""BUY""), INT((ROW()-2)/amortYears)+1) - G1324,
      INDEX(FILTER('RE Portfolio'!L$2:L2000,'RE Portfolio'!D$2:D2000=""BUY""), INT((ROW()-2)/amortYears"&amp;")+1)
   )
)
"),"")</f>
        <v/>
      </c>
      <c r="L1324" s="15" t="str">
        <f>IFERROR(__xludf.DUMMYFUNCTION("IF(A1324="""","""",
  INDEX(FILTER('RE Portfolio'!C$2:C2000,'RE Portfolio'!D$2:D2000=""BUY""), INT((ROW()-2)/amortYears)+1)
  * (1 + VALUE(Assumptions!$B$11))^(D1324-1)
)
"),"")</f>
        <v/>
      </c>
    </row>
    <row r="1325">
      <c r="A1325" s="15" t="str">
        <f>IFERROR(__xludf.DUMMYFUNCTION("IFERROR(INDEX(FILTER('RE Portfolio'!A$2:A2000,'RE Portfolio'!D$2:D2000=""BUY""), INT((ROW()-2)/amortYears)+1), )
"),"")</f>
        <v/>
      </c>
      <c r="B1325" s="15" t="str">
        <f>IFERROR(__xludf.DUMMYFUNCTION("IFERROR(INDEX(FILTER('RE Portfolio'!B$2:B2000,'RE Portfolio'!D$2:D2000=""BUY""), INT((ROW()-2)/amortYears)+1), )
"),"")</f>
        <v/>
      </c>
      <c r="C1325" s="15" t="str">
        <f>IFERROR(__xludf.DUMMYFUNCTION("IFERROR(INDEX(FILTER('RE Portfolio'!G$2:G2000,'RE Portfolio'!D$2:D2000=""BUY""), INT((ROW()-2)/amortYears)+1), )
"),"")</f>
        <v/>
      </c>
      <c r="D1325" s="15">
        <f>MOD(ROW()-2, amortYears)+1</f>
        <v>32</v>
      </c>
      <c r="E1325" s="15" t="str">
        <f t="shared" si="1"/>
        <v/>
      </c>
      <c r="F1325" s="15">
        <f t="shared" si="2"/>
        <v>0</v>
      </c>
      <c r="G1325" s="15">
        <f>IF(D1325&lt;=mortTerm, -PMT(mortRate/12, mortTerm*12, C1325)*12, 0)
</f>
        <v>0</v>
      </c>
      <c r="H1325" s="15">
        <f>IF(D1325&lt;=mortTerm, G1325 - I1325, 0)
</f>
        <v>0</v>
      </c>
      <c r="I1325" s="15">
        <f>IF(D1325&lt;=mortTerm, F1325 - J1325, 0)
</f>
        <v>0</v>
      </c>
      <c r="J1325" s="15">
        <f>IF(D1325&lt;=mortTerm,
   F1325*(1+mortRate/12)^12 - (-PMT(mortRate/12, mortTerm*12, C1325))*(((1+mortRate/12)^12 - 1)/(mortRate/12)),
   0
)
</f>
        <v>0</v>
      </c>
      <c r="K1325" s="13" t="str">
        <f>IFERROR(__xludf.DUMMYFUNCTION("IF(A1325="""","""",
   IF(F1325&gt;0,
      INDEX(FILTER('RE Portfolio'!L$2:L2000,'RE Portfolio'!D$2:D2000=""BUY""), INT((ROW()-2)/amortYears)+1) - G1325,
      INDEX(FILTER('RE Portfolio'!L$2:L2000,'RE Portfolio'!D$2:D2000=""BUY""), INT((ROW()-2)/amortYears"&amp;")+1)
   )
)
"),"")</f>
        <v/>
      </c>
      <c r="L1325" s="15" t="str">
        <f>IFERROR(__xludf.DUMMYFUNCTION("IF(A1325="""","""",
  INDEX(FILTER('RE Portfolio'!C$2:C2000,'RE Portfolio'!D$2:D2000=""BUY""), INT((ROW()-2)/amortYears)+1)
  * (1 + VALUE(Assumptions!$B$11))^(D1325-1)
)
"),"")</f>
        <v/>
      </c>
    </row>
    <row r="1326">
      <c r="A1326" s="15" t="str">
        <f>IFERROR(__xludf.DUMMYFUNCTION("IFERROR(INDEX(FILTER('RE Portfolio'!A$2:A2000,'RE Portfolio'!D$2:D2000=""BUY""), INT((ROW()-2)/amortYears)+1), )
"),"")</f>
        <v/>
      </c>
      <c r="B1326" s="15" t="str">
        <f>IFERROR(__xludf.DUMMYFUNCTION("IFERROR(INDEX(FILTER('RE Portfolio'!B$2:B2000,'RE Portfolio'!D$2:D2000=""BUY""), INT((ROW()-2)/amortYears)+1), )
"),"")</f>
        <v/>
      </c>
      <c r="C1326" s="15" t="str">
        <f>IFERROR(__xludf.DUMMYFUNCTION("IFERROR(INDEX(FILTER('RE Portfolio'!G$2:G2000,'RE Portfolio'!D$2:D2000=""BUY""), INT((ROW()-2)/amortYears)+1), )
"),"")</f>
        <v/>
      </c>
      <c r="D1326" s="15">
        <f>MOD(ROW()-2, amortYears)+1</f>
        <v>33</v>
      </c>
      <c r="E1326" s="15" t="str">
        <f t="shared" si="1"/>
        <v/>
      </c>
      <c r="F1326" s="15">
        <f t="shared" si="2"/>
        <v>0</v>
      </c>
      <c r="G1326" s="15">
        <f>IF(D1326&lt;=mortTerm, -PMT(mortRate/12, mortTerm*12, C1326)*12, 0)
</f>
        <v>0</v>
      </c>
      <c r="H1326" s="15">
        <f>IF(D1326&lt;=mortTerm, G1326 - I1326, 0)
</f>
        <v>0</v>
      </c>
      <c r="I1326" s="15">
        <f>IF(D1326&lt;=mortTerm, F1326 - J1326, 0)
</f>
        <v>0</v>
      </c>
      <c r="J1326" s="15">
        <f>IF(D1326&lt;=mortTerm,
   F1326*(1+mortRate/12)^12 - (-PMT(mortRate/12, mortTerm*12, C1326))*(((1+mortRate/12)^12 - 1)/(mortRate/12)),
   0
)
</f>
        <v>0</v>
      </c>
      <c r="K1326" s="13" t="str">
        <f>IFERROR(__xludf.DUMMYFUNCTION("IF(A1326="""","""",
   IF(F1326&gt;0,
      INDEX(FILTER('RE Portfolio'!L$2:L2000,'RE Portfolio'!D$2:D2000=""BUY""), INT((ROW()-2)/amortYears)+1) - G1326,
      INDEX(FILTER('RE Portfolio'!L$2:L2000,'RE Portfolio'!D$2:D2000=""BUY""), INT((ROW()-2)/amortYears"&amp;")+1)
   )
)
"),"")</f>
        <v/>
      </c>
      <c r="L1326" s="15" t="str">
        <f>IFERROR(__xludf.DUMMYFUNCTION("IF(A1326="""","""",
  INDEX(FILTER('RE Portfolio'!C$2:C2000,'RE Portfolio'!D$2:D2000=""BUY""), INT((ROW()-2)/amortYears)+1)
  * (1 + VALUE(Assumptions!$B$11))^(D1326-1)
)
"),"")</f>
        <v/>
      </c>
    </row>
    <row r="1327">
      <c r="A1327" s="15" t="str">
        <f>IFERROR(__xludf.DUMMYFUNCTION("IFERROR(INDEX(FILTER('RE Portfolio'!A$2:A2000,'RE Portfolio'!D$2:D2000=""BUY""), INT((ROW()-2)/amortYears)+1), )
"),"")</f>
        <v/>
      </c>
      <c r="B1327" s="15" t="str">
        <f>IFERROR(__xludf.DUMMYFUNCTION("IFERROR(INDEX(FILTER('RE Portfolio'!B$2:B2000,'RE Portfolio'!D$2:D2000=""BUY""), INT((ROW()-2)/amortYears)+1), )
"),"")</f>
        <v/>
      </c>
      <c r="C1327" s="15" t="str">
        <f>IFERROR(__xludf.DUMMYFUNCTION("IFERROR(INDEX(FILTER('RE Portfolio'!G$2:G2000,'RE Portfolio'!D$2:D2000=""BUY""), INT((ROW()-2)/amortYears)+1), )
"),"")</f>
        <v/>
      </c>
      <c r="D1327" s="15">
        <f>MOD(ROW()-2, amortYears)+1</f>
        <v>34</v>
      </c>
      <c r="E1327" s="15" t="str">
        <f t="shared" si="1"/>
        <v/>
      </c>
      <c r="F1327" s="15">
        <f t="shared" si="2"/>
        <v>0</v>
      </c>
      <c r="G1327" s="15">
        <f>IF(D1327&lt;=mortTerm, -PMT(mortRate/12, mortTerm*12, C1327)*12, 0)
</f>
        <v>0</v>
      </c>
      <c r="H1327" s="15">
        <f>IF(D1327&lt;=mortTerm, G1327 - I1327, 0)
</f>
        <v>0</v>
      </c>
      <c r="I1327" s="15">
        <f>IF(D1327&lt;=mortTerm, F1327 - J1327, 0)
</f>
        <v>0</v>
      </c>
      <c r="J1327" s="15">
        <f>IF(D1327&lt;=mortTerm,
   F1327*(1+mortRate/12)^12 - (-PMT(mortRate/12, mortTerm*12, C1327))*(((1+mortRate/12)^12 - 1)/(mortRate/12)),
   0
)
</f>
        <v>0</v>
      </c>
      <c r="K1327" s="13" t="str">
        <f>IFERROR(__xludf.DUMMYFUNCTION("IF(A1327="""","""",
   IF(F1327&gt;0,
      INDEX(FILTER('RE Portfolio'!L$2:L2000,'RE Portfolio'!D$2:D2000=""BUY""), INT((ROW()-2)/amortYears)+1) - G1327,
      INDEX(FILTER('RE Portfolio'!L$2:L2000,'RE Portfolio'!D$2:D2000=""BUY""), INT((ROW()-2)/amortYears"&amp;")+1)
   )
)
"),"")</f>
        <v/>
      </c>
      <c r="L1327" s="15" t="str">
        <f>IFERROR(__xludf.DUMMYFUNCTION("IF(A1327="""","""",
  INDEX(FILTER('RE Portfolio'!C$2:C2000,'RE Portfolio'!D$2:D2000=""BUY""), INT((ROW()-2)/amortYears)+1)
  * (1 + VALUE(Assumptions!$B$11))^(D1327-1)
)
"),"")</f>
        <v/>
      </c>
    </row>
    <row r="1328">
      <c r="A1328" s="15" t="str">
        <f>IFERROR(__xludf.DUMMYFUNCTION("IFERROR(INDEX(FILTER('RE Portfolio'!A$2:A2000,'RE Portfolio'!D$2:D2000=""BUY""), INT((ROW()-2)/amortYears)+1), )
"),"")</f>
        <v/>
      </c>
      <c r="B1328" s="15" t="str">
        <f>IFERROR(__xludf.DUMMYFUNCTION("IFERROR(INDEX(FILTER('RE Portfolio'!B$2:B2000,'RE Portfolio'!D$2:D2000=""BUY""), INT((ROW()-2)/amortYears)+1), )
"),"")</f>
        <v/>
      </c>
      <c r="C1328" s="15" t="str">
        <f>IFERROR(__xludf.DUMMYFUNCTION("IFERROR(INDEX(FILTER('RE Portfolio'!G$2:G2000,'RE Portfolio'!D$2:D2000=""BUY""), INT((ROW()-2)/amortYears)+1), )
"),"")</f>
        <v/>
      </c>
      <c r="D1328" s="15">
        <f>MOD(ROW()-2, amortYears)+1</f>
        <v>35</v>
      </c>
      <c r="E1328" s="15" t="str">
        <f t="shared" si="1"/>
        <v/>
      </c>
      <c r="F1328" s="15">
        <f t="shared" si="2"/>
        <v>0</v>
      </c>
      <c r="G1328" s="15">
        <f>IF(D1328&lt;=mortTerm, -PMT(mortRate/12, mortTerm*12, C1328)*12, 0)
</f>
        <v>0</v>
      </c>
      <c r="H1328" s="15">
        <f>IF(D1328&lt;=mortTerm, G1328 - I1328, 0)
</f>
        <v>0</v>
      </c>
      <c r="I1328" s="15">
        <f>IF(D1328&lt;=mortTerm, F1328 - J1328, 0)
</f>
        <v>0</v>
      </c>
      <c r="J1328" s="15">
        <f>IF(D1328&lt;=mortTerm,
   F1328*(1+mortRate/12)^12 - (-PMT(mortRate/12, mortTerm*12, C1328))*(((1+mortRate/12)^12 - 1)/(mortRate/12)),
   0
)
</f>
        <v>0</v>
      </c>
      <c r="K1328" s="13" t="str">
        <f>IFERROR(__xludf.DUMMYFUNCTION("IF(A1328="""","""",
   IF(F1328&gt;0,
      INDEX(FILTER('RE Portfolio'!L$2:L2000,'RE Portfolio'!D$2:D2000=""BUY""), INT((ROW()-2)/amortYears)+1) - G1328,
      INDEX(FILTER('RE Portfolio'!L$2:L2000,'RE Portfolio'!D$2:D2000=""BUY""), INT((ROW()-2)/amortYears"&amp;")+1)
   )
)
"),"")</f>
        <v/>
      </c>
      <c r="L1328" s="15" t="str">
        <f>IFERROR(__xludf.DUMMYFUNCTION("IF(A1328="""","""",
  INDEX(FILTER('RE Portfolio'!C$2:C2000,'RE Portfolio'!D$2:D2000=""BUY""), INT((ROW()-2)/amortYears)+1)
  * (1 + VALUE(Assumptions!$B$11))^(D1328-1)
)
"),"")</f>
        <v/>
      </c>
    </row>
    <row r="1329">
      <c r="A1329" s="15" t="str">
        <f>IFERROR(__xludf.DUMMYFUNCTION("IFERROR(INDEX(FILTER('RE Portfolio'!A$2:A2000,'RE Portfolio'!D$2:D2000=""BUY""), INT((ROW()-2)/amortYears)+1), )
"),"")</f>
        <v/>
      </c>
      <c r="B1329" s="15" t="str">
        <f>IFERROR(__xludf.DUMMYFUNCTION("IFERROR(INDEX(FILTER('RE Portfolio'!B$2:B2000,'RE Portfolio'!D$2:D2000=""BUY""), INT((ROW()-2)/amortYears)+1), )
"),"")</f>
        <v/>
      </c>
      <c r="C1329" s="15" t="str">
        <f>IFERROR(__xludf.DUMMYFUNCTION("IFERROR(INDEX(FILTER('RE Portfolio'!G$2:G2000,'RE Portfolio'!D$2:D2000=""BUY""), INT((ROW()-2)/amortYears)+1), )
"),"")</f>
        <v/>
      </c>
      <c r="D1329" s="15">
        <f>MOD(ROW()-2, amortYears)+1</f>
        <v>36</v>
      </c>
      <c r="E1329" s="15" t="str">
        <f t="shared" si="1"/>
        <v/>
      </c>
      <c r="F1329" s="15">
        <f t="shared" si="2"/>
        <v>0</v>
      </c>
      <c r="G1329" s="15">
        <f>IF(D1329&lt;=mortTerm, -PMT(mortRate/12, mortTerm*12, C1329)*12, 0)
</f>
        <v>0</v>
      </c>
      <c r="H1329" s="15">
        <f>IF(D1329&lt;=mortTerm, G1329 - I1329, 0)
</f>
        <v>0</v>
      </c>
      <c r="I1329" s="15">
        <f>IF(D1329&lt;=mortTerm, F1329 - J1329, 0)
</f>
        <v>0</v>
      </c>
      <c r="J1329" s="15">
        <f>IF(D1329&lt;=mortTerm,
   F1329*(1+mortRate/12)^12 - (-PMT(mortRate/12, mortTerm*12, C1329))*(((1+mortRate/12)^12 - 1)/(mortRate/12)),
   0
)
</f>
        <v>0</v>
      </c>
      <c r="K1329" s="13" t="str">
        <f>IFERROR(__xludf.DUMMYFUNCTION("IF(A1329="""","""",
   IF(F1329&gt;0,
      INDEX(FILTER('RE Portfolio'!L$2:L2000,'RE Portfolio'!D$2:D2000=""BUY""), INT((ROW()-2)/amortYears)+1) - G1329,
      INDEX(FILTER('RE Portfolio'!L$2:L2000,'RE Portfolio'!D$2:D2000=""BUY""), INT((ROW()-2)/amortYears"&amp;")+1)
   )
)
"),"")</f>
        <v/>
      </c>
      <c r="L1329" s="15" t="str">
        <f>IFERROR(__xludf.DUMMYFUNCTION("IF(A1329="""","""",
  INDEX(FILTER('RE Portfolio'!C$2:C2000,'RE Portfolio'!D$2:D2000=""BUY""), INT((ROW()-2)/amortYears)+1)
  * (1 + VALUE(Assumptions!$B$11))^(D1329-1)
)
"),"")</f>
        <v/>
      </c>
    </row>
    <row r="1330">
      <c r="A1330" s="15" t="str">
        <f>IFERROR(__xludf.DUMMYFUNCTION("IFERROR(INDEX(FILTER('RE Portfolio'!A$2:A2000,'RE Portfolio'!D$2:D2000=""BUY""), INT((ROW()-2)/amortYears)+1), )
"),"")</f>
        <v/>
      </c>
      <c r="B1330" s="15" t="str">
        <f>IFERROR(__xludf.DUMMYFUNCTION("IFERROR(INDEX(FILTER('RE Portfolio'!B$2:B2000,'RE Portfolio'!D$2:D2000=""BUY""), INT((ROW()-2)/amortYears)+1), )
"),"")</f>
        <v/>
      </c>
      <c r="C1330" s="15" t="str">
        <f>IFERROR(__xludf.DUMMYFUNCTION("IFERROR(INDEX(FILTER('RE Portfolio'!G$2:G2000,'RE Portfolio'!D$2:D2000=""BUY""), INT((ROW()-2)/amortYears)+1), )
"),"")</f>
        <v/>
      </c>
      <c r="D1330" s="15">
        <f>MOD(ROW()-2, amortYears)+1</f>
        <v>37</v>
      </c>
      <c r="E1330" s="15" t="str">
        <f t="shared" si="1"/>
        <v/>
      </c>
      <c r="F1330" s="15">
        <f t="shared" si="2"/>
        <v>0</v>
      </c>
      <c r="G1330" s="15">
        <f>IF(D1330&lt;=mortTerm, -PMT(mortRate/12, mortTerm*12, C1330)*12, 0)
</f>
        <v>0</v>
      </c>
      <c r="H1330" s="15">
        <f>IF(D1330&lt;=mortTerm, G1330 - I1330, 0)
</f>
        <v>0</v>
      </c>
      <c r="I1330" s="15">
        <f>IF(D1330&lt;=mortTerm, F1330 - J1330, 0)
</f>
        <v>0</v>
      </c>
      <c r="J1330" s="15">
        <f>IF(D1330&lt;=mortTerm,
   F1330*(1+mortRate/12)^12 - (-PMT(mortRate/12, mortTerm*12, C1330))*(((1+mortRate/12)^12 - 1)/(mortRate/12)),
   0
)
</f>
        <v>0</v>
      </c>
      <c r="K1330" s="13" t="str">
        <f>IFERROR(__xludf.DUMMYFUNCTION("IF(A1330="""","""",
   IF(F1330&gt;0,
      INDEX(FILTER('RE Portfolio'!L$2:L2000,'RE Portfolio'!D$2:D2000=""BUY""), INT((ROW()-2)/amortYears)+1) - G1330,
      INDEX(FILTER('RE Portfolio'!L$2:L2000,'RE Portfolio'!D$2:D2000=""BUY""), INT((ROW()-2)/amortYears"&amp;")+1)
   )
)
"),"")</f>
        <v/>
      </c>
      <c r="L1330" s="15" t="str">
        <f>IFERROR(__xludf.DUMMYFUNCTION("IF(A1330="""","""",
  INDEX(FILTER('RE Portfolio'!C$2:C2000,'RE Portfolio'!D$2:D2000=""BUY""), INT((ROW()-2)/amortYears)+1)
  * (1 + VALUE(Assumptions!$B$11))^(D1330-1)
)
"),"")</f>
        <v/>
      </c>
    </row>
    <row r="1331">
      <c r="A1331" s="15" t="str">
        <f>IFERROR(__xludf.DUMMYFUNCTION("IFERROR(INDEX(FILTER('RE Portfolio'!A$2:A2000,'RE Portfolio'!D$2:D2000=""BUY""), INT((ROW()-2)/amortYears)+1), )
"),"")</f>
        <v/>
      </c>
      <c r="B1331" s="15" t="str">
        <f>IFERROR(__xludf.DUMMYFUNCTION("IFERROR(INDEX(FILTER('RE Portfolio'!B$2:B2000,'RE Portfolio'!D$2:D2000=""BUY""), INT((ROW()-2)/amortYears)+1), )
"),"")</f>
        <v/>
      </c>
      <c r="C1331" s="15" t="str">
        <f>IFERROR(__xludf.DUMMYFUNCTION("IFERROR(INDEX(FILTER('RE Portfolio'!G$2:G2000,'RE Portfolio'!D$2:D2000=""BUY""), INT((ROW()-2)/amortYears)+1), )
"),"")</f>
        <v/>
      </c>
      <c r="D1331" s="15">
        <f>MOD(ROW()-2, amortYears)+1</f>
        <v>38</v>
      </c>
      <c r="E1331" s="15" t="str">
        <f t="shared" si="1"/>
        <v/>
      </c>
      <c r="F1331" s="15">
        <f t="shared" si="2"/>
        <v>0</v>
      </c>
      <c r="G1331" s="15">
        <f>IF(D1331&lt;=mortTerm, -PMT(mortRate/12, mortTerm*12, C1331)*12, 0)
</f>
        <v>0</v>
      </c>
      <c r="H1331" s="15">
        <f>IF(D1331&lt;=mortTerm, G1331 - I1331, 0)
</f>
        <v>0</v>
      </c>
      <c r="I1331" s="15">
        <f>IF(D1331&lt;=mortTerm, F1331 - J1331, 0)
</f>
        <v>0</v>
      </c>
      <c r="J1331" s="15">
        <f>IF(D1331&lt;=mortTerm,
   F1331*(1+mortRate/12)^12 - (-PMT(mortRate/12, mortTerm*12, C1331))*(((1+mortRate/12)^12 - 1)/(mortRate/12)),
   0
)
</f>
        <v>0</v>
      </c>
      <c r="K1331" s="13" t="str">
        <f>IFERROR(__xludf.DUMMYFUNCTION("IF(A1331="""","""",
   IF(F1331&gt;0,
      INDEX(FILTER('RE Portfolio'!L$2:L2000,'RE Portfolio'!D$2:D2000=""BUY""), INT((ROW()-2)/amortYears)+1) - G1331,
      INDEX(FILTER('RE Portfolio'!L$2:L2000,'RE Portfolio'!D$2:D2000=""BUY""), INT((ROW()-2)/amortYears"&amp;")+1)
   )
)
"),"")</f>
        <v/>
      </c>
      <c r="L1331" s="15" t="str">
        <f>IFERROR(__xludf.DUMMYFUNCTION("IF(A1331="""","""",
  INDEX(FILTER('RE Portfolio'!C$2:C2000,'RE Portfolio'!D$2:D2000=""BUY""), INT((ROW()-2)/amortYears)+1)
  * (1 + VALUE(Assumptions!$B$11))^(D1331-1)
)
"),"")</f>
        <v/>
      </c>
    </row>
    <row r="1332">
      <c r="A1332" s="15" t="str">
        <f>IFERROR(__xludf.DUMMYFUNCTION("IFERROR(INDEX(FILTER('RE Portfolio'!A$2:A2000,'RE Portfolio'!D$2:D2000=""BUY""), INT((ROW()-2)/amortYears)+1), )
"),"")</f>
        <v/>
      </c>
      <c r="B1332" s="15" t="str">
        <f>IFERROR(__xludf.DUMMYFUNCTION("IFERROR(INDEX(FILTER('RE Portfolio'!B$2:B2000,'RE Portfolio'!D$2:D2000=""BUY""), INT((ROW()-2)/amortYears)+1), )
"),"")</f>
        <v/>
      </c>
      <c r="C1332" s="15" t="str">
        <f>IFERROR(__xludf.DUMMYFUNCTION("IFERROR(INDEX(FILTER('RE Portfolio'!G$2:G2000,'RE Portfolio'!D$2:D2000=""BUY""), INT((ROW()-2)/amortYears)+1), )
"),"")</f>
        <v/>
      </c>
      <c r="D1332" s="15">
        <f>MOD(ROW()-2, amortYears)+1</f>
        <v>1</v>
      </c>
      <c r="E1332" s="15" t="str">
        <f t="shared" si="1"/>
        <v/>
      </c>
      <c r="F1332" s="15" t="str">
        <f t="shared" si="2"/>
        <v/>
      </c>
      <c r="G1332" s="16">
        <f>IF(D1332&lt;=mortTerm, -PMT(mortRate/12, mortTerm*12, C1332)*12, 0)
</f>
        <v>0</v>
      </c>
      <c r="H1332" s="16">
        <f>IF(D1332&lt;=mortTerm, G1332 - I1332, 0)
</f>
        <v>0</v>
      </c>
      <c r="I1332" s="16">
        <f>IF(D1332&lt;=mortTerm, F1332 - J1332, 0)
</f>
        <v>0</v>
      </c>
      <c r="J1332" s="16">
        <f>IF(D1332&lt;=mortTerm,
   F1332*(1+mortRate/12)^12 - (-PMT(mortRate/12, mortTerm*12, C1332))*(((1+mortRate/12)^12 - 1)/(mortRate/12)),
   0
)
</f>
        <v>0</v>
      </c>
      <c r="K1332" s="13" t="str">
        <f>IFERROR(__xludf.DUMMYFUNCTION("IF(A1332="""","""",
   IF(F1332&gt;0,
      INDEX(FILTER('RE Portfolio'!L$2:L2000,'RE Portfolio'!D$2:D2000=""BUY""), INT((ROW()-2)/amortYears)+1) - G1332,
      INDEX(FILTER('RE Portfolio'!L$2:L2000,'RE Portfolio'!D$2:D2000=""BUY""), INT((ROW()-2)/amortYears"&amp;")+1)
   )
)
"),"")</f>
        <v/>
      </c>
      <c r="L1332" s="15" t="str">
        <f>IFERROR(__xludf.DUMMYFUNCTION("IF(A1332="""","""",
  INDEX(FILTER('RE Portfolio'!C$2:C2000,'RE Portfolio'!D$2:D2000=""BUY""), INT((ROW()-2)/amortYears)+1)
  * (1 + VALUE(Assumptions!$B$11))^(D1332-1)
)
"),"")</f>
        <v/>
      </c>
    </row>
    <row r="1333">
      <c r="A1333" s="15" t="str">
        <f>IFERROR(__xludf.DUMMYFUNCTION("IFERROR(INDEX(FILTER('RE Portfolio'!A$2:A2000,'RE Portfolio'!D$2:D2000=""BUY""), INT((ROW()-2)/amortYears)+1), )
"),"")</f>
        <v/>
      </c>
      <c r="B1333" s="15" t="str">
        <f>IFERROR(__xludf.DUMMYFUNCTION("IFERROR(INDEX(FILTER('RE Portfolio'!B$2:B2000,'RE Portfolio'!D$2:D2000=""BUY""), INT((ROW()-2)/amortYears)+1), )
"),"")</f>
        <v/>
      </c>
      <c r="C1333" s="15" t="str">
        <f>IFERROR(__xludf.DUMMYFUNCTION("IFERROR(INDEX(FILTER('RE Portfolio'!G$2:G2000,'RE Portfolio'!D$2:D2000=""BUY""), INT((ROW()-2)/amortYears)+1), )
"),"")</f>
        <v/>
      </c>
      <c r="D1333" s="15">
        <f>MOD(ROW()-2, amortYears)+1</f>
        <v>2</v>
      </c>
      <c r="E1333" s="15" t="str">
        <f t="shared" si="1"/>
        <v/>
      </c>
      <c r="F1333" s="16">
        <f t="shared" si="2"/>
        <v>0</v>
      </c>
      <c r="G1333" s="16">
        <f>IF(D1333&lt;=mortTerm, -PMT(mortRate/12, mortTerm*12, C1333)*12, 0)
</f>
        <v>0</v>
      </c>
      <c r="H1333" s="16">
        <f>IF(D1333&lt;=mortTerm, G1333 - I1333, 0)
</f>
        <v>0</v>
      </c>
      <c r="I1333" s="16">
        <f>IF(D1333&lt;=mortTerm, F1333 - J1333, 0)
</f>
        <v>0</v>
      </c>
      <c r="J1333" s="16">
        <f>IF(D1333&lt;=mortTerm,
   F1333*(1+mortRate/12)^12 - (-PMT(mortRate/12, mortTerm*12, C1333))*(((1+mortRate/12)^12 - 1)/(mortRate/12)),
   0
)
</f>
        <v>0</v>
      </c>
      <c r="K1333" s="13" t="str">
        <f>IFERROR(__xludf.DUMMYFUNCTION("IF(A1333="""","""",
   IF(F1333&gt;0,
      INDEX(FILTER('RE Portfolio'!L$2:L2000,'RE Portfolio'!D$2:D2000=""BUY""), INT((ROW()-2)/amortYears)+1) - G1333,
      INDEX(FILTER('RE Portfolio'!L$2:L2000,'RE Portfolio'!D$2:D2000=""BUY""), INT((ROW()-2)/amortYears"&amp;")+1)
   )
)
"),"")</f>
        <v/>
      </c>
      <c r="L1333" s="15" t="str">
        <f>IFERROR(__xludf.DUMMYFUNCTION("IF(A1333="""","""",
  INDEX(FILTER('RE Portfolio'!C$2:C2000,'RE Portfolio'!D$2:D2000=""BUY""), INT((ROW()-2)/amortYears)+1)
  * (1 + VALUE(Assumptions!$B$11))^(D1333-1)
)
"),"")</f>
        <v/>
      </c>
    </row>
    <row r="1334">
      <c r="A1334" s="15" t="str">
        <f>IFERROR(__xludf.DUMMYFUNCTION("IFERROR(INDEX(FILTER('RE Portfolio'!A$2:A2000,'RE Portfolio'!D$2:D2000=""BUY""), INT((ROW()-2)/amortYears)+1), )
"),"")</f>
        <v/>
      </c>
      <c r="B1334" s="15" t="str">
        <f>IFERROR(__xludf.DUMMYFUNCTION("IFERROR(INDEX(FILTER('RE Portfolio'!B$2:B2000,'RE Portfolio'!D$2:D2000=""BUY""), INT((ROW()-2)/amortYears)+1), )
"),"")</f>
        <v/>
      </c>
      <c r="C1334" s="15" t="str">
        <f>IFERROR(__xludf.DUMMYFUNCTION("IFERROR(INDEX(FILTER('RE Portfolio'!G$2:G2000,'RE Portfolio'!D$2:D2000=""BUY""), INT((ROW()-2)/amortYears)+1), )
"),"")</f>
        <v/>
      </c>
      <c r="D1334" s="15">
        <f>MOD(ROW()-2, amortYears)+1</f>
        <v>3</v>
      </c>
      <c r="E1334" s="15" t="str">
        <f t="shared" si="1"/>
        <v/>
      </c>
      <c r="F1334" s="16">
        <f t="shared" si="2"/>
        <v>0</v>
      </c>
      <c r="G1334" s="16">
        <f>IF(D1334&lt;=mortTerm, -PMT(mortRate/12, mortTerm*12, C1334)*12, 0)
</f>
        <v>0</v>
      </c>
      <c r="H1334" s="16">
        <f>IF(D1334&lt;=mortTerm, G1334 - I1334, 0)
</f>
        <v>0</v>
      </c>
      <c r="I1334" s="16">
        <f>IF(D1334&lt;=mortTerm, F1334 - J1334, 0)
</f>
        <v>0</v>
      </c>
      <c r="J1334" s="16">
        <f>IF(D1334&lt;=mortTerm,
   F1334*(1+mortRate/12)^12 - (-PMT(mortRate/12, mortTerm*12, C1334))*(((1+mortRate/12)^12 - 1)/(mortRate/12)),
   0
)
</f>
        <v>0</v>
      </c>
      <c r="K1334" s="13" t="str">
        <f>IFERROR(__xludf.DUMMYFUNCTION("IF(A1334="""","""",
   IF(F1334&gt;0,
      INDEX(FILTER('RE Portfolio'!L$2:L2000,'RE Portfolio'!D$2:D2000=""BUY""), INT((ROW()-2)/amortYears)+1) - G1334,
      INDEX(FILTER('RE Portfolio'!L$2:L2000,'RE Portfolio'!D$2:D2000=""BUY""), INT((ROW()-2)/amortYears"&amp;")+1)
   )
)
"),"")</f>
        <v/>
      </c>
      <c r="L1334" s="15" t="str">
        <f>IFERROR(__xludf.DUMMYFUNCTION("IF(A1334="""","""",
  INDEX(FILTER('RE Portfolio'!C$2:C2000,'RE Portfolio'!D$2:D2000=""BUY""), INT((ROW()-2)/amortYears)+1)
  * (1 + VALUE(Assumptions!$B$11))^(D1334-1)
)
"),"")</f>
        <v/>
      </c>
    </row>
    <row r="1335">
      <c r="A1335" s="15" t="str">
        <f>IFERROR(__xludf.DUMMYFUNCTION("IFERROR(INDEX(FILTER('RE Portfolio'!A$2:A2000,'RE Portfolio'!D$2:D2000=""BUY""), INT((ROW()-2)/amortYears)+1), )
"),"")</f>
        <v/>
      </c>
      <c r="B1335" s="15" t="str">
        <f>IFERROR(__xludf.DUMMYFUNCTION("IFERROR(INDEX(FILTER('RE Portfolio'!B$2:B2000,'RE Portfolio'!D$2:D2000=""BUY""), INT((ROW()-2)/amortYears)+1), )
"),"")</f>
        <v/>
      </c>
      <c r="C1335" s="15" t="str">
        <f>IFERROR(__xludf.DUMMYFUNCTION("IFERROR(INDEX(FILTER('RE Portfolio'!G$2:G2000,'RE Portfolio'!D$2:D2000=""BUY""), INT((ROW()-2)/amortYears)+1), )
"),"")</f>
        <v/>
      </c>
      <c r="D1335" s="15">
        <f>MOD(ROW()-2, amortYears)+1</f>
        <v>4</v>
      </c>
      <c r="E1335" s="15" t="str">
        <f t="shared" si="1"/>
        <v/>
      </c>
      <c r="F1335" s="16">
        <f t="shared" si="2"/>
        <v>0</v>
      </c>
      <c r="G1335" s="16">
        <f>IF(D1335&lt;=mortTerm, -PMT(mortRate/12, mortTerm*12, C1335)*12, 0)
</f>
        <v>0</v>
      </c>
      <c r="H1335" s="16">
        <f>IF(D1335&lt;=mortTerm, G1335 - I1335, 0)
</f>
        <v>0</v>
      </c>
      <c r="I1335" s="16">
        <f>IF(D1335&lt;=mortTerm, F1335 - J1335, 0)
</f>
        <v>0</v>
      </c>
      <c r="J1335" s="16">
        <f>IF(D1335&lt;=mortTerm,
   F1335*(1+mortRate/12)^12 - (-PMT(mortRate/12, mortTerm*12, C1335))*(((1+mortRate/12)^12 - 1)/(mortRate/12)),
   0
)
</f>
        <v>0</v>
      </c>
      <c r="K1335" s="13" t="str">
        <f>IFERROR(__xludf.DUMMYFUNCTION("IF(A1335="""","""",
   IF(F1335&gt;0,
      INDEX(FILTER('RE Portfolio'!L$2:L2000,'RE Portfolio'!D$2:D2000=""BUY""), INT((ROW()-2)/amortYears)+1) - G1335,
      INDEX(FILTER('RE Portfolio'!L$2:L2000,'RE Portfolio'!D$2:D2000=""BUY""), INT((ROW()-2)/amortYears"&amp;")+1)
   )
)
"),"")</f>
        <v/>
      </c>
      <c r="L1335" s="15" t="str">
        <f>IFERROR(__xludf.DUMMYFUNCTION("IF(A1335="""","""",
  INDEX(FILTER('RE Portfolio'!C$2:C2000,'RE Portfolio'!D$2:D2000=""BUY""), INT((ROW()-2)/amortYears)+1)
  * (1 + VALUE(Assumptions!$B$11))^(D1335-1)
)
"),"")</f>
        <v/>
      </c>
    </row>
    <row r="1336">
      <c r="A1336" s="15" t="str">
        <f>IFERROR(__xludf.DUMMYFUNCTION("IFERROR(INDEX(FILTER('RE Portfolio'!A$2:A2000,'RE Portfolio'!D$2:D2000=""BUY""), INT((ROW()-2)/amortYears)+1), )
"),"")</f>
        <v/>
      </c>
      <c r="B1336" s="15" t="str">
        <f>IFERROR(__xludf.DUMMYFUNCTION("IFERROR(INDEX(FILTER('RE Portfolio'!B$2:B2000,'RE Portfolio'!D$2:D2000=""BUY""), INT((ROW()-2)/amortYears)+1), )
"),"")</f>
        <v/>
      </c>
      <c r="C1336" s="15" t="str">
        <f>IFERROR(__xludf.DUMMYFUNCTION("IFERROR(INDEX(FILTER('RE Portfolio'!G$2:G2000,'RE Portfolio'!D$2:D2000=""BUY""), INT((ROW()-2)/amortYears)+1), )
"),"")</f>
        <v/>
      </c>
      <c r="D1336" s="15">
        <f>MOD(ROW()-2, amortYears)+1</f>
        <v>5</v>
      </c>
      <c r="E1336" s="15" t="str">
        <f t="shared" si="1"/>
        <v/>
      </c>
      <c r="F1336" s="16">
        <f t="shared" si="2"/>
        <v>0</v>
      </c>
      <c r="G1336" s="16">
        <f>IF(D1336&lt;=mortTerm, -PMT(mortRate/12, mortTerm*12, C1336)*12, 0)
</f>
        <v>0</v>
      </c>
      <c r="H1336" s="16">
        <f>IF(D1336&lt;=mortTerm, G1336 - I1336, 0)
</f>
        <v>0</v>
      </c>
      <c r="I1336" s="16">
        <f>IF(D1336&lt;=mortTerm, F1336 - J1336, 0)
</f>
        <v>0</v>
      </c>
      <c r="J1336" s="16">
        <f>IF(D1336&lt;=mortTerm,
   F1336*(1+mortRate/12)^12 - (-PMT(mortRate/12, mortTerm*12, C1336))*(((1+mortRate/12)^12 - 1)/(mortRate/12)),
   0
)
</f>
        <v>0</v>
      </c>
      <c r="K1336" s="13" t="str">
        <f>IFERROR(__xludf.DUMMYFUNCTION("IF(A1336="""","""",
   IF(F1336&gt;0,
      INDEX(FILTER('RE Portfolio'!L$2:L2000,'RE Portfolio'!D$2:D2000=""BUY""), INT((ROW()-2)/amortYears)+1) - G1336,
      INDEX(FILTER('RE Portfolio'!L$2:L2000,'RE Portfolio'!D$2:D2000=""BUY""), INT((ROW()-2)/amortYears"&amp;")+1)
   )
)
"),"")</f>
        <v/>
      </c>
      <c r="L1336" s="15" t="str">
        <f>IFERROR(__xludf.DUMMYFUNCTION("IF(A1336="""","""",
  INDEX(FILTER('RE Portfolio'!C$2:C2000,'RE Portfolio'!D$2:D2000=""BUY""), INT((ROW()-2)/amortYears)+1)
  * (1 + VALUE(Assumptions!$B$11))^(D1336-1)
)
"),"")</f>
        <v/>
      </c>
    </row>
    <row r="1337">
      <c r="A1337" s="15" t="str">
        <f>IFERROR(__xludf.DUMMYFUNCTION("IFERROR(INDEX(FILTER('RE Portfolio'!A$2:A2000,'RE Portfolio'!D$2:D2000=""BUY""), INT((ROW()-2)/amortYears)+1), )
"),"")</f>
        <v/>
      </c>
      <c r="B1337" s="15" t="str">
        <f>IFERROR(__xludf.DUMMYFUNCTION("IFERROR(INDEX(FILTER('RE Portfolio'!B$2:B2000,'RE Portfolio'!D$2:D2000=""BUY""), INT((ROW()-2)/amortYears)+1), )
"),"")</f>
        <v/>
      </c>
      <c r="C1337" s="15" t="str">
        <f>IFERROR(__xludf.DUMMYFUNCTION("IFERROR(INDEX(FILTER('RE Portfolio'!G$2:G2000,'RE Portfolio'!D$2:D2000=""BUY""), INT((ROW()-2)/amortYears)+1), )
"),"")</f>
        <v/>
      </c>
      <c r="D1337" s="15">
        <f>MOD(ROW()-2, amortYears)+1</f>
        <v>6</v>
      </c>
      <c r="E1337" s="15" t="str">
        <f t="shared" si="1"/>
        <v/>
      </c>
      <c r="F1337" s="16">
        <f t="shared" si="2"/>
        <v>0</v>
      </c>
      <c r="G1337" s="16">
        <f>IF(D1337&lt;=mortTerm, -PMT(mortRate/12, mortTerm*12, C1337)*12, 0)
</f>
        <v>0</v>
      </c>
      <c r="H1337" s="16">
        <f>IF(D1337&lt;=mortTerm, G1337 - I1337, 0)
</f>
        <v>0</v>
      </c>
      <c r="I1337" s="16">
        <f>IF(D1337&lt;=mortTerm, F1337 - J1337, 0)
</f>
        <v>0</v>
      </c>
      <c r="J1337" s="16">
        <f>IF(D1337&lt;=mortTerm,
   F1337*(1+mortRate/12)^12 - (-PMT(mortRate/12, mortTerm*12, C1337))*(((1+mortRate/12)^12 - 1)/(mortRate/12)),
   0
)
</f>
        <v>0</v>
      </c>
      <c r="K1337" s="13" t="str">
        <f>IFERROR(__xludf.DUMMYFUNCTION("IF(A1337="""","""",
   IF(F1337&gt;0,
      INDEX(FILTER('RE Portfolio'!L$2:L2000,'RE Portfolio'!D$2:D2000=""BUY""), INT((ROW()-2)/amortYears)+1) - G1337,
      INDEX(FILTER('RE Portfolio'!L$2:L2000,'RE Portfolio'!D$2:D2000=""BUY""), INT((ROW()-2)/amortYears"&amp;")+1)
   )
)
"),"")</f>
        <v/>
      </c>
      <c r="L1337" s="15" t="str">
        <f>IFERROR(__xludf.DUMMYFUNCTION("IF(A1337="""","""",
  INDEX(FILTER('RE Portfolio'!C$2:C2000,'RE Portfolio'!D$2:D2000=""BUY""), INT((ROW()-2)/amortYears)+1)
  * (1 + VALUE(Assumptions!$B$11))^(D1337-1)
)
"),"")</f>
        <v/>
      </c>
    </row>
    <row r="1338">
      <c r="A1338" s="15" t="str">
        <f>IFERROR(__xludf.DUMMYFUNCTION("IFERROR(INDEX(FILTER('RE Portfolio'!A$2:A2000,'RE Portfolio'!D$2:D2000=""BUY""), INT((ROW()-2)/amortYears)+1), )
"),"")</f>
        <v/>
      </c>
      <c r="B1338" s="15" t="str">
        <f>IFERROR(__xludf.DUMMYFUNCTION("IFERROR(INDEX(FILTER('RE Portfolio'!B$2:B2000,'RE Portfolio'!D$2:D2000=""BUY""), INT((ROW()-2)/amortYears)+1), )
"),"")</f>
        <v/>
      </c>
      <c r="C1338" s="15" t="str">
        <f>IFERROR(__xludf.DUMMYFUNCTION("IFERROR(INDEX(FILTER('RE Portfolio'!G$2:G2000,'RE Portfolio'!D$2:D2000=""BUY""), INT((ROW()-2)/amortYears)+1), )
"),"")</f>
        <v/>
      </c>
      <c r="D1338" s="15">
        <f>MOD(ROW()-2, amortYears)+1</f>
        <v>7</v>
      </c>
      <c r="E1338" s="15" t="str">
        <f t="shared" si="1"/>
        <v/>
      </c>
      <c r="F1338" s="16">
        <f t="shared" si="2"/>
        <v>0</v>
      </c>
      <c r="G1338" s="16">
        <f>IF(D1338&lt;=mortTerm, -PMT(mortRate/12, mortTerm*12, C1338)*12, 0)
</f>
        <v>0</v>
      </c>
      <c r="H1338" s="16">
        <f>IF(D1338&lt;=mortTerm, G1338 - I1338, 0)
</f>
        <v>0</v>
      </c>
      <c r="I1338" s="16">
        <f>IF(D1338&lt;=mortTerm, F1338 - J1338, 0)
</f>
        <v>0</v>
      </c>
      <c r="J1338" s="16">
        <f>IF(D1338&lt;=mortTerm,
   F1338*(1+mortRate/12)^12 - (-PMT(mortRate/12, mortTerm*12, C1338))*(((1+mortRate/12)^12 - 1)/(mortRate/12)),
   0
)
</f>
        <v>0</v>
      </c>
      <c r="K1338" s="13" t="str">
        <f>IFERROR(__xludf.DUMMYFUNCTION("IF(A1338="""","""",
   IF(F1338&gt;0,
      INDEX(FILTER('RE Portfolio'!L$2:L2000,'RE Portfolio'!D$2:D2000=""BUY""), INT((ROW()-2)/amortYears)+1) - G1338,
      INDEX(FILTER('RE Portfolio'!L$2:L2000,'RE Portfolio'!D$2:D2000=""BUY""), INT((ROW()-2)/amortYears"&amp;")+1)
   )
)
"),"")</f>
        <v/>
      </c>
      <c r="L1338" s="15" t="str">
        <f>IFERROR(__xludf.DUMMYFUNCTION("IF(A1338="""","""",
  INDEX(FILTER('RE Portfolio'!C$2:C2000,'RE Portfolio'!D$2:D2000=""BUY""), INT((ROW()-2)/amortYears)+1)
  * (1 + VALUE(Assumptions!$B$11))^(D1338-1)
)
"),"")</f>
        <v/>
      </c>
    </row>
    <row r="1339">
      <c r="A1339" s="15" t="str">
        <f>IFERROR(__xludf.DUMMYFUNCTION("IFERROR(INDEX(FILTER('RE Portfolio'!A$2:A2000,'RE Portfolio'!D$2:D2000=""BUY""), INT((ROW()-2)/amortYears)+1), )
"),"")</f>
        <v/>
      </c>
      <c r="B1339" s="15" t="str">
        <f>IFERROR(__xludf.DUMMYFUNCTION("IFERROR(INDEX(FILTER('RE Portfolio'!B$2:B2000,'RE Portfolio'!D$2:D2000=""BUY""), INT((ROW()-2)/amortYears)+1), )
"),"")</f>
        <v/>
      </c>
      <c r="C1339" s="15" t="str">
        <f>IFERROR(__xludf.DUMMYFUNCTION("IFERROR(INDEX(FILTER('RE Portfolio'!G$2:G2000,'RE Portfolio'!D$2:D2000=""BUY""), INT((ROW()-2)/amortYears)+1), )
"),"")</f>
        <v/>
      </c>
      <c r="D1339" s="15">
        <f>MOD(ROW()-2, amortYears)+1</f>
        <v>8</v>
      </c>
      <c r="E1339" s="15" t="str">
        <f t="shared" si="1"/>
        <v/>
      </c>
      <c r="F1339" s="16">
        <f t="shared" si="2"/>
        <v>0</v>
      </c>
      <c r="G1339" s="16">
        <f>IF(D1339&lt;=mortTerm, -PMT(mortRate/12, mortTerm*12, C1339)*12, 0)
</f>
        <v>0</v>
      </c>
      <c r="H1339" s="16">
        <f>IF(D1339&lt;=mortTerm, G1339 - I1339, 0)
</f>
        <v>0</v>
      </c>
      <c r="I1339" s="16">
        <f>IF(D1339&lt;=mortTerm, F1339 - J1339, 0)
</f>
        <v>0</v>
      </c>
      <c r="J1339" s="16">
        <f>IF(D1339&lt;=mortTerm,
   F1339*(1+mortRate/12)^12 - (-PMT(mortRate/12, mortTerm*12, C1339))*(((1+mortRate/12)^12 - 1)/(mortRate/12)),
   0
)
</f>
        <v>0</v>
      </c>
      <c r="K1339" s="13" t="str">
        <f>IFERROR(__xludf.DUMMYFUNCTION("IF(A1339="""","""",
   IF(F1339&gt;0,
      INDEX(FILTER('RE Portfolio'!L$2:L2000,'RE Portfolio'!D$2:D2000=""BUY""), INT((ROW()-2)/amortYears)+1) - G1339,
      INDEX(FILTER('RE Portfolio'!L$2:L2000,'RE Portfolio'!D$2:D2000=""BUY""), INT((ROW()-2)/amortYears"&amp;")+1)
   )
)
"),"")</f>
        <v/>
      </c>
      <c r="L1339" s="15" t="str">
        <f>IFERROR(__xludf.DUMMYFUNCTION("IF(A1339="""","""",
  INDEX(FILTER('RE Portfolio'!C$2:C2000,'RE Portfolio'!D$2:D2000=""BUY""), INT((ROW()-2)/amortYears)+1)
  * (1 + VALUE(Assumptions!$B$11))^(D1339-1)
)
"),"")</f>
        <v/>
      </c>
    </row>
    <row r="1340">
      <c r="A1340" s="15" t="str">
        <f>IFERROR(__xludf.DUMMYFUNCTION("IFERROR(INDEX(FILTER('RE Portfolio'!A$2:A2000,'RE Portfolio'!D$2:D2000=""BUY""), INT((ROW()-2)/amortYears)+1), )
"),"")</f>
        <v/>
      </c>
      <c r="B1340" s="15" t="str">
        <f>IFERROR(__xludf.DUMMYFUNCTION("IFERROR(INDEX(FILTER('RE Portfolio'!B$2:B2000,'RE Portfolio'!D$2:D2000=""BUY""), INT((ROW()-2)/amortYears)+1), )
"),"")</f>
        <v/>
      </c>
      <c r="C1340" s="15" t="str">
        <f>IFERROR(__xludf.DUMMYFUNCTION("IFERROR(INDEX(FILTER('RE Portfolio'!G$2:G2000,'RE Portfolio'!D$2:D2000=""BUY""), INT((ROW()-2)/amortYears)+1), )
"),"")</f>
        <v/>
      </c>
      <c r="D1340" s="15">
        <f>MOD(ROW()-2, amortYears)+1</f>
        <v>9</v>
      </c>
      <c r="E1340" s="15" t="str">
        <f t="shared" si="1"/>
        <v/>
      </c>
      <c r="F1340" s="16">
        <f t="shared" si="2"/>
        <v>0</v>
      </c>
      <c r="G1340" s="16">
        <f>IF(D1340&lt;=mortTerm, -PMT(mortRate/12, mortTerm*12, C1340)*12, 0)
</f>
        <v>0</v>
      </c>
      <c r="H1340" s="16">
        <f>IF(D1340&lt;=mortTerm, G1340 - I1340, 0)
</f>
        <v>0</v>
      </c>
      <c r="I1340" s="16">
        <f>IF(D1340&lt;=mortTerm, F1340 - J1340, 0)
</f>
        <v>0</v>
      </c>
      <c r="J1340" s="16">
        <f>IF(D1340&lt;=mortTerm,
   F1340*(1+mortRate/12)^12 - (-PMT(mortRate/12, mortTerm*12, C1340))*(((1+mortRate/12)^12 - 1)/(mortRate/12)),
   0
)
</f>
        <v>0</v>
      </c>
      <c r="K1340" s="13" t="str">
        <f>IFERROR(__xludf.DUMMYFUNCTION("IF(A1340="""","""",
   IF(F1340&gt;0,
      INDEX(FILTER('RE Portfolio'!L$2:L2000,'RE Portfolio'!D$2:D2000=""BUY""), INT((ROW()-2)/amortYears)+1) - G1340,
      INDEX(FILTER('RE Portfolio'!L$2:L2000,'RE Portfolio'!D$2:D2000=""BUY""), INT((ROW()-2)/amortYears"&amp;")+1)
   )
)
"),"")</f>
        <v/>
      </c>
      <c r="L1340" s="15" t="str">
        <f>IFERROR(__xludf.DUMMYFUNCTION("IF(A1340="""","""",
  INDEX(FILTER('RE Portfolio'!C$2:C2000,'RE Portfolio'!D$2:D2000=""BUY""), INT((ROW()-2)/amortYears)+1)
  * (1 + VALUE(Assumptions!$B$11))^(D1340-1)
)
"),"")</f>
        <v/>
      </c>
    </row>
    <row r="1341">
      <c r="A1341" s="15" t="str">
        <f>IFERROR(__xludf.DUMMYFUNCTION("IFERROR(INDEX(FILTER('RE Portfolio'!A$2:A2000,'RE Portfolio'!D$2:D2000=""BUY""), INT((ROW()-2)/amortYears)+1), )
"),"")</f>
        <v/>
      </c>
      <c r="B1341" s="15" t="str">
        <f>IFERROR(__xludf.DUMMYFUNCTION("IFERROR(INDEX(FILTER('RE Portfolio'!B$2:B2000,'RE Portfolio'!D$2:D2000=""BUY""), INT((ROW()-2)/amortYears)+1), )
"),"")</f>
        <v/>
      </c>
      <c r="C1341" s="15" t="str">
        <f>IFERROR(__xludf.DUMMYFUNCTION("IFERROR(INDEX(FILTER('RE Portfolio'!G$2:G2000,'RE Portfolio'!D$2:D2000=""BUY""), INT((ROW()-2)/amortYears)+1), )
"),"")</f>
        <v/>
      </c>
      <c r="D1341" s="15">
        <f>MOD(ROW()-2, amortYears)+1</f>
        <v>10</v>
      </c>
      <c r="E1341" s="15" t="str">
        <f t="shared" si="1"/>
        <v/>
      </c>
      <c r="F1341" s="16">
        <f t="shared" si="2"/>
        <v>0</v>
      </c>
      <c r="G1341" s="16">
        <f>IF(D1341&lt;=mortTerm, -PMT(mortRate/12, mortTerm*12, C1341)*12, 0)
</f>
        <v>0</v>
      </c>
      <c r="H1341" s="16">
        <f>IF(D1341&lt;=mortTerm, G1341 - I1341, 0)
</f>
        <v>0</v>
      </c>
      <c r="I1341" s="16">
        <f>IF(D1341&lt;=mortTerm, F1341 - J1341, 0)
</f>
        <v>0</v>
      </c>
      <c r="J1341" s="16">
        <f>IF(D1341&lt;=mortTerm,
   F1341*(1+mortRate/12)^12 - (-PMT(mortRate/12, mortTerm*12, C1341))*(((1+mortRate/12)^12 - 1)/(mortRate/12)),
   0
)
</f>
        <v>0</v>
      </c>
      <c r="K1341" s="13" t="str">
        <f>IFERROR(__xludf.DUMMYFUNCTION("IF(A1341="""","""",
   IF(F1341&gt;0,
      INDEX(FILTER('RE Portfolio'!L$2:L2000,'RE Portfolio'!D$2:D2000=""BUY""), INT((ROW()-2)/amortYears)+1) - G1341,
      INDEX(FILTER('RE Portfolio'!L$2:L2000,'RE Portfolio'!D$2:D2000=""BUY""), INT((ROW()-2)/amortYears"&amp;")+1)
   )
)
"),"")</f>
        <v/>
      </c>
      <c r="L1341" s="15" t="str">
        <f>IFERROR(__xludf.DUMMYFUNCTION("IF(A1341="""","""",
  INDEX(FILTER('RE Portfolio'!C$2:C2000,'RE Portfolio'!D$2:D2000=""BUY""), INT((ROW()-2)/amortYears)+1)
  * (1 + VALUE(Assumptions!$B$11))^(D1341-1)
)
"),"")</f>
        <v/>
      </c>
    </row>
    <row r="1342">
      <c r="A1342" s="15" t="str">
        <f>IFERROR(__xludf.DUMMYFUNCTION("IFERROR(INDEX(FILTER('RE Portfolio'!A$2:A2000,'RE Portfolio'!D$2:D2000=""BUY""), INT((ROW()-2)/amortYears)+1), )
"),"")</f>
        <v/>
      </c>
      <c r="B1342" s="15" t="str">
        <f>IFERROR(__xludf.DUMMYFUNCTION("IFERROR(INDEX(FILTER('RE Portfolio'!B$2:B2000,'RE Portfolio'!D$2:D2000=""BUY""), INT((ROW()-2)/amortYears)+1), )
"),"")</f>
        <v/>
      </c>
      <c r="C1342" s="15" t="str">
        <f>IFERROR(__xludf.DUMMYFUNCTION("IFERROR(INDEX(FILTER('RE Portfolio'!G$2:G2000,'RE Portfolio'!D$2:D2000=""BUY""), INT((ROW()-2)/amortYears)+1), )
"),"")</f>
        <v/>
      </c>
      <c r="D1342" s="15">
        <f>MOD(ROW()-2, amortYears)+1</f>
        <v>11</v>
      </c>
      <c r="E1342" s="15" t="str">
        <f t="shared" si="1"/>
        <v/>
      </c>
      <c r="F1342" s="16">
        <f t="shared" si="2"/>
        <v>0</v>
      </c>
      <c r="G1342" s="16">
        <f>IF(D1342&lt;=mortTerm, -PMT(mortRate/12, mortTerm*12, C1342)*12, 0)
</f>
        <v>0</v>
      </c>
      <c r="H1342" s="16">
        <f>IF(D1342&lt;=mortTerm, G1342 - I1342, 0)
</f>
        <v>0</v>
      </c>
      <c r="I1342" s="16">
        <f>IF(D1342&lt;=mortTerm, F1342 - J1342, 0)
</f>
        <v>0</v>
      </c>
      <c r="J1342" s="16">
        <f>IF(D1342&lt;=mortTerm,
   F1342*(1+mortRate/12)^12 - (-PMT(mortRate/12, mortTerm*12, C1342))*(((1+mortRate/12)^12 - 1)/(mortRate/12)),
   0
)
</f>
        <v>0</v>
      </c>
      <c r="K1342" s="13" t="str">
        <f>IFERROR(__xludf.DUMMYFUNCTION("IF(A1342="""","""",
   IF(F1342&gt;0,
      INDEX(FILTER('RE Portfolio'!L$2:L2000,'RE Portfolio'!D$2:D2000=""BUY""), INT((ROW()-2)/amortYears)+1) - G1342,
      INDEX(FILTER('RE Portfolio'!L$2:L2000,'RE Portfolio'!D$2:D2000=""BUY""), INT((ROW()-2)/amortYears"&amp;")+1)
   )
)
"),"")</f>
        <v/>
      </c>
      <c r="L1342" s="15" t="str">
        <f>IFERROR(__xludf.DUMMYFUNCTION("IF(A1342="""","""",
  INDEX(FILTER('RE Portfolio'!C$2:C2000,'RE Portfolio'!D$2:D2000=""BUY""), INT((ROW()-2)/amortYears)+1)
  * (1 + VALUE(Assumptions!$B$11))^(D1342-1)
)
"),"")</f>
        <v/>
      </c>
    </row>
    <row r="1343">
      <c r="A1343" s="15" t="str">
        <f>IFERROR(__xludf.DUMMYFUNCTION("IFERROR(INDEX(FILTER('RE Portfolio'!A$2:A2000,'RE Portfolio'!D$2:D2000=""BUY""), INT((ROW()-2)/amortYears)+1), )
"),"")</f>
        <v/>
      </c>
      <c r="B1343" s="15" t="str">
        <f>IFERROR(__xludf.DUMMYFUNCTION("IFERROR(INDEX(FILTER('RE Portfolio'!B$2:B2000,'RE Portfolio'!D$2:D2000=""BUY""), INT((ROW()-2)/amortYears)+1), )
"),"")</f>
        <v/>
      </c>
      <c r="C1343" s="15" t="str">
        <f>IFERROR(__xludf.DUMMYFUNCTION("IFERROR(INDEX(FILTER('RE Portfolio'!G$2:G2000,'RE Portfolio'!D$2:D2000=""BUY""), INT((ROW()-2)/amortYears)+1), )
"),"")</f>
        <v/>
      </c>
      <c r="D1343" s="15">
        <f>MOD(ROW()-2, amortYears)+1</f>
        <v>12</v>
      </c>
      <c r="E1343" s="15" t="str">
        <f t="shared" si="1"/>
        <v/>
      </c>
      <c r="F1343" s="16">
        <f t="shared" si="2"/>
        <v>0</v>
      </c>
      <c r="G1343" s="16">
        <f>IF(D1343&lt;=mortTerm, -PMT(mortRate/12, mortTerm*12, C1343)*12, 0)
</f>
        <v>0</v>
      </c>
      <c r="H1343" s="16">
        <f>IF(D1343&lt;=mortTerm, G1343 - I1343, 0)
</f>
        <v>0</v>
      </c>
      <c r="I1343" s="16">
        <f>IF(D1343&lt;=mortTerm, F1343 - J1343, 0)
</f>
        <v>0</v>
      </c>
      <c r="J1343" s="16">
        <f>IF(D1343&lt;=mortTerm,
   F1343*(1+mortRate/12)^12 - (-PMT(mortRate/12, mortTerm*12, C1343))*(((1+mortRate/12)^12 - 1)/(mortRate/12)),
   0
)
</f>
        <v>0</v>
      </c>
      <c r="K1343" s="13" t="str">
        <f>IFERROR(__xludf.DUMMYFUNCTION("IF(A1343="""","""",
   IF(F1343&gt;0,
      INDEX(FILTER('RE Portfolio'!L$2:L2000,'RE Portfolio'!D$2:D2000=""BUY""), INT((ROW()-2)/amortYears)+1) - G1343,
      INDEX(FILTER('RE Portfolio'!L$2:L2000,'RE Portfolio'!D$2:D2000=""BUY""), INT((ROW()-2)/amortYears"&amp;")+1)
   )
)
"),"")</f>
        <v/>
      </c>
      <c r="L1343" s="15" t="str">
        <f>IFERROR(__xludf.DUMMYFUNCTION("IF(A1343="""","""",
  INDEX(FILTER('RE Portfolio'!C$2:C2000,'RE Portfolio'!D$2:D2000=""BUY""), INT((ROW()-2)/amortYears)+1)
  * (1 + VALUE(Assumptions!$B$11))^(D1343-1)
)
"),"")</f>
        <v/>
      </c>
    </row>
    <row r="1344">
      <c r="A1344" s="15" t="str">
        <f>IFERROR(__xludf.DUMMYFUNCTION("IFERROR(INDEX(FILTER('RE Portfolio'!A$2:A2000,'RE Portfolio'!D$2:D2000=""BUY""), INT((ROW()-2)/amortYears)+1), )
"),"")</f>
        <v/>
      </c>
      <c r="B1344" s="15" t="str">
        <f>IFERROR(__xludf.DUMMYFUNCTION("IFERROR(INDEX(FILTER('RE Portfolio'!B$2:B2000,'RE Portfolio'!D$2:D2000=""BUY""), INT((ROW()-2)/amortYears)+1), )
"),"")</f>
        <v/>
      </c>
      <c r="C1344" s="15" t="str">
        <f>IFERROR(__xludf.DUMMYFUNCTION("IFERROR(INDEX(FILTER('RE Portfolio'!G$2:G2000,'RE Portfolio'!D$2:D2000=""BUY""), INT((ROW()-2)/amortYears)+1), )
"),"")</f>
        <v/>
      </c>
      <c r="D1344" s="15">
        <f>MOD(ROW()-2, amortYears)+1</f>
        <v>13</v>
      </c>
      <c r="E1344" s="15" t="str">
        <f t="shared" si="1"/>
        <v/>
      </c>
      <c r="F1344" s="16">
        <f t="shared" si="2"/>
        <v>0</v>
      </c>
      <c r="G1344" s="16">
        <f>IF(D1344&lt;=mortTerm, -PMT(mortRate/12, mortTerm*12, C1344)*12, 0)
</f>
        <v>0</v>
      </c>
      <c r="H1344" s="16">
        <f>IF(D1344&lt;=mortTerm, G1344 - I1344, 0)
</f>
        <v>0</v>
      </c>
      <c r="I1344" s="16">
        <f>IF(D1344&lt;=mortTerm, F1344 - J1344, 0)
</f>
        <v>0</v>
      </c>
      <c r="J1344" s="16">
        <f>IF(D1344&lt;=mortTerm,
   F1344*(1+mortRate/12)^12 - (-PMT(mortRate/12, mortTerm*12, C1344))*(((1+mortRate/12)^12 - 1)/(mortRate/12)),
   0
)
</f>
        <v>0</v>
      </c>
      <c r="K1344" s="13" t="str">
        <f>IFERROR(__xludf.DUMMYFUNCTION("IF(A1344="""","""",
   IF(F1344&gt;0,
      INDEX(FILTER('RE Portfolio'!L$2:L2000,'RE Portfolio'!D$2:D2000=""BUY""), INT((ROW()-2)/amortYears)+1) - G1344,
      INDEX(FILTER('RE Portfolio'!L$2:L2000,'RE Portfolio'!D$2:D2000=""BUY""), INT((ROW()-2)/amortYears"&amp;")+1)
   )
)
"),"")</f>
        <v/>
      </c>
      <c r="L1344" s="15" t="str">
        <f>IFERROR(__xludf.DUMMYFUNCTION("IF(A1344="""","""",
  INDEX(FILTER('RE Portfolio'!C$2:C2000,'RE Portfolio'!D$2:D2000=""BUY""), INT((ROW()-2)/amortYears)+1)
  * (1 + VALUE(Assumptions!$B$11))^(D1344-1)
)
"),"")</f>
        <v/>
      </c>
    </row>
    <row r="1345">
      <c r="A1345" s="15" t="str">
        <f>IFERROR(__xludf.DUMMYFUNCTION("IFERROR(INDEX(FILTER('RE Portfolio'!A$2:A2000,'RE Portfolio'!D$2:D2000=""BUY""), INT((ROW()-2)/amortYears)+1), )
"),"")</f>
        <v/>
      </c>
      <c r="B1345" s="15" t="str">
        <f>IFERROR(__xludf.DUMMYFUNCTION("IFERROR(INDEX(FILTER('RE Portfolio'!B$2:B2000,'RE Portfolio'!D$2:D2000=""BUY""), INT((ROW()-2)/amortYears)+1), )
"),"")</f>
        <v/>
      </c>
      <c r="C1345" s="15" t="str">
        <f>IFERROR(__xludf.DUMMYFUNCTION("IFERROR(INDEX(FILTER('RE Portfolio'!G$2:G2000,'RE Portfolio'!D$2:D2000=""BUY""), INT((ROW()-2)/amortYears)+1), )
"),"")</f>
        <v/>
      </c>
      <c r="D1345" s="15">
        <f>MOD(ROW()-2, amortYears)+1</f>
        <v>14</v>
      </c>
      <c r="E1345" s="15" t="str">
        <f t="shared" si="1"/>
        <v/>
      </c>
      <c r="F1345" s="16">
        <f t="shared" si="2"/>
        <v>0</v>
      </c>
      <c r="G1345" s="16">
        <f>IF(D1345&lt;=mortTerm, -PMT(mortRate/12, mortTerm*12, C1345)*12, 0)
</f>
        <v>0</v>
      </c>
      <c r="H1345" s="16">
        <f>IF(D1345&lt;=mortTerm, G1345 - I1345, 0)
</f>
        <v>0</v>
      </c>
      <c r="I1345" s="16">
        <f>IF(D1345&lt;=mortTerm, F1345 - J1345, 0)
</f>
        <v>0</v>
      </c>
      <c r="J1345" s="16">
        <f>IF(D1345&lt;=mortTerm,
   F1345*(1+mortRate/12)^12 - (-PMT(mortRate/12, mortTerm*12, C1345))*(((1+mortRate/12)^12 - 1)/(mortRate/12)),
   0
)
</f>
        <v>0</v>
      </c>
      <c r="K1345" s="13" t="str">
        <f>IFERROR(__xludf.DUMMYFUNCTION("IF(A1345="""","""",
   IF(F1345&gt;0,
      INDEX(FILTER('RE Portfolio'!L$2:L2000,'RE Portfolio'!D$2:D2000=""BUY""), INT((ROW()-2)/amortYears)+1) - G1345,
      INDEX(FILTER('RE Portfolio'!L$2:L2000,'RE Portfolio'!D$2:D2000=""BUY""), INT((ROW()-2)/amortYears"&amp;")+1)
   )
)
"),"")</f>
        <v/>
      </c>
      <c r="L1345" s="15" t="str">
        <f>IFERROR(__xludf.DUMMYFUNCTION("IF(A1345="""","""",
  INDEX(FILTER('RE Portfolio'!C$2:C2000,'RE Portfolio'!D$2:D2000=""BUY""), INT((ROW()-2)/amortYears)+1)
  * (1 + VALUE(Assumptions!$B$11))^(D1345-1)
)
"),"")</f>
        <v/>
      </c>
    </row>
    <row r="1346">
      <c r="A1346" s="15" t="str">
        <f>IFERROR(__xludf.DUMMYFUNCTION("IFERROR(INDEX(FILTER('RE Portfolio'!A$2:A2000,'RE Portfolio'!D$2:D2000=""BUY""), INT((ROW()-2)/amortYears)+1), )
"),"")</f>
        <v/>
      </c>
      <c r="B1346" s="15" t="str">
        <f>IFERROR(__xludf.DUMMYFUNCTION("IFERROR(INDEX(FILTER('RE Portfolio'!B$2:B2000,'RE Portfolio'!D$2:D2000=""BUY""), INT((ROW()-2)/amortYears)+1), )
"),"")</f>
        <v/>
      </c>
      <c r="C1346" s="15" t="str">
        <f>IFERROR(__xludf.DUMMYFUNCTION("IFERROR(INDEX(FILTER('RE Portfolio'!G$2:G2000,'RE Portfolio'!D$2:D2000=""BUY""), INT((ROW()-2)/amortYears)+1), )
"),"")</f>
        <v/>
      </c>
      <c r="D1346" s="15">
        <f>MOD(ROW()-2, amortYears)+1</f>
        <v>15</v>
      </c>
      <c r="E1346" s="15" t="str">
        <f t="shared" si="1"/>
        <v/>
      </c>
      <c r="F1346" s="16">
        <f t="shared" si="2"/>
        <v>0</v>
      </c>
      <c r="G1346" s="16">
        <f>IF(D1346&lt;=mortTerm, -PMT(mortRate/12, mortTerm*12, C1346)*12, 0)
</f>
        <v>0</v>
      </c>
      <c r="H1346" s="16">
        <f>IF(D1346&lt;=mortTerm, G1346 - I1346, 0)
</f>
        <v>0</v>
      </c>
      <c r="I1346" s="16">
        <f>IF(D1346&lt;=mortTerm, F1346 - J1346, 0)
</f>
        <v>0</v>
      </c>
      <c r="J1346" s="16">
        <f>IF(D1346&lt;=mortTerm,
   F1346*(1+mortRate/12)^12 - (-PMT(mortRate/12, mortTerm*12, C1346))*(((1+mortRate/12)^12 - 1)/(mortRate/12)),
   0
)
</f>
        <v>0</v>
      </c>
      <c r="K1346" s="13" t="str">
        <f>IFERROR(__xludf.DUMMYFUNCTION("IF(A1346="""","""",
   IF(F1346&gt;0,
      INDEX(FILTER('RE Portfolio'!L$2:L2000,'RE Portfolio'!D$2:D2000=""BUY""), INT((ROW()-2)/amortYears)+1) - G1346,
      INDEX(FILTER('RE Portfolio'!L$2:L2000,'RE Portfolio'!D$2:D2000=""BUY""), INT((ROW()-2)/amortYears"&amp;")+1)
   )
)
"),"")</f>
        <v/>
      </c>
      <c r="L1346" s="15" t="str">
        <f>IFERROR(__xludf.DUMMYFUNCTION("IF(A1346="""","""",
  INDEX(FILTER('RE Portfolio'!C$2:C2000,'RE Portfolio'!D$2:D2000=""BUY""), INT((ROW()-2)/amortYears)+1)
  * (1 + VALUE(Assumptions!$B$11))^(D1346-1)
)
"),"")</f>
        <v/>
      </c>
    </row>
    <row r="1347">
      <c r="A1347" s="15" t="str">
        <f>IFERROR(__xludf.DUMMYFUNCTION("IFERROR(INDEX(FILTER('RE Portfolio'!A$2:A2000,'RE Portfolio'!D$2:D2000=""BUY""), INT((ROW()-2)/amortYears)+1), )
"),"")</f>
        <v/>
      </c>
      <c r="B1347" s="15" t="str">
        <f>IFERROR(__xludf.DUMMYFUNCTION("IFERROR(INDEX(FILTER('RE Portfolio'!B$2:B2000,'RE Portfolio'!D$2:D2000=""BUY""), INT((ROW()-2)/amortYears)+1), )
"),"")</f>
        <v/>
      </c>
      <c r="C1347" s="15" t="str">
        <f>IFERROR(__xludf.DUMMYFUNCTION("IFERROR(INDEX(FILTER('RE Portfolio'!G$2:G2000,'RE Portfolio'!D$2:D2000=""BUY""), INT((ROW()-2)/amortYears)+1), )
"),"")</f>
        <v/>
      </c>
      <c r="D1347" s="15">
        <f>MOD(ROW()-2, amortYears)+1</f>
        <v>16</v>
      </c>
      <c r="E1347" s="15" t="str">
        <f t="shared" si="1"/>
        <v/>
      </c>
      <c r="F1347" s="16">
        <f t="shared" si="2"/>
        <v>0</v>
      </c>
      <c r="G1347" s="16">
        <f>IF(D1347&lt;=mortTerm, -PMT(mortRate/12, mortTerm*12, C1347)*12, 0)
</f>
        <v>0</v>
      </c>
      <c r="H1347" s="16">
        <f>IF(D1347&lt;=mortTerm, G1347 - I1347, 0)
</f>
        <v>0</v>
      </c>
      <c r="I1347" s="16">
        <f>IF(D1347&lt;=mortTerm, F1347 - J1347, 0)
</f>
        <v>0</v>
      </c>
      <c r="J1347" s="16">
        <f>IF(D1347&lt;=mortTerm,
   F1347*(1+mortRate/12)^12 - (-PMT(mortRate/12, mortTerm*12, C1347))*(((1+mortRate/12)^12 - 1)/(mortRate/12)),
   0
)
</f>
        <v>0</v>
      </c>
      <c r="K1347" s="13" t="str">
        <f>IFERROR(__xludf.DUMMYFUNCTION("IF(A1347="""","""",
   IF(F1347&gt;0,
      INDEX(FILTER('RE Portfolio'!L$2:L2000,'RE Portfolio'!D$2:D2000=""BUY""), INT((ROW()-2)/amortYears)+1) - G1347,
      INDEX(FILTER('RE Portfolio'!L$2:L2000,'RE Portfolio'!D$2:D2000=""BUY""), INT((ROW()-2)/amortYears"&amp;")+1)
   )
)
"),"")</f>
        <v/>
      </c>
      <c r="L1347" s="15" t="str">
        <f>IFERROR(__xludf.DUMMYFUNCTION("IF(A1347="""","""",
  INDEX(FILTER('RE Portfolio'!C$2:C2000,'RE Portfolio'!D$2:D2000=""BUY""), INT((ROW()-2)/amortYears)+1)
  * (1 + VALUE(Assumptions!$B$11))^(D1347-1)
)
"),"")</f>
        <v/>
      </c>
    </row>
    <row r="1348">
      <c r="A1348" s="15" t="str">
        <f>IFERROR(__xludf.DUMMYFUNCTION("IFERROR(INDEX(FILTER('RE Portfolio'!A$2:A2000,'RE Portfolio'!D$2:D2000=""BUY""), INT((ROW()-2)/amortYears)+1), )
"),"")</f>
        <v/>
      </c>
      <c r="B1348" s="15" t="str">
        <f>IFERROR(__xludf.DUMMYFUNCTION("IFERROR(INDEX(FILTER('RE Portfolio'!B$2:B2000,'RE Portfolio'!D$2:D2000=""BUY""), INT((ROW()-2)/amortYears)+1), )
"),"")</f>
        <v/>
      </c>
      <c r="C1348" s="15" t="str">
        <f>IFERROR(__xludf.DUMMYFUNCTION("IFERROR(INDEX(FILTER('RE Portfolio'!G$2:G2000,'RE Portfolio'!D$2:D2000=""BUY""), INT((ROW()-2)/amortYears)+1), )
"),"")</f>
        <v/>
      </c>
      <c r="D1348" s="15">
        <f>MOD(ROW()-2, amortYears)+1</f>
        <v>17</v>
      </c>
      <c r="E1348" s="15" t="str">
        <f t="shared" si="1"/>
        <v/>
      </c>
      <c r="F1348" s="16">
        <f t="shared" si="2"/>
        <v>0</v>
      </c>
      <c r="G1348" s="16">
        <f>IF(D1348&lt;=mortTerm, -PMT(mortRate/12, mortTerm*12, C1348)*12, 0)
</f>
        <v>0</v>
      </c>
      <c r="H1348" s="16">
        <f>IF(D1348&lt;=mortTerm, G1348 - I1348, 0)
</f>
        <v>0</v>
      </c>
      <c r="I1348" s="16">
        <f>IF(D1348&lt;=mortTerm, F1348 - J1348, 0)
</f>
        <v>0</v>
      </c>
      <c r="J1348" s="16">
        <f>IF(D1348&lt;=mortTerm,
   F1348*(1+mortRate/12)^12 - (-PMT(mortRate/12, mortTerm*12, C1348))*(((1+mortRate/12)^12 - 1)/(mortRate/12)),
   0
)
</f>
        <v>0</v>
      </c>
      <c r="K1348" s="13" t="str">
        <f>IFERROR(__xludf.DUMMYFUNCTION("IF(A1348="""","""",
   IF(F1348&gt;0,
      INDEX(FILTER('RE Portfolio'!L$2:L2000,'RE Portfolio'!D$2:D2000=""BUY""), INT((ROW()-2)/amortYears)+1) - G1348,
      INDEX(FILTER('RE Portfolio'!L$2:L2000,'RE Portfolio'!D$2:D2000=""BUY""), INT((ROW()-2)/amortYears"&amp;")+1)
   )
)
"),"")</f>
        <v/>
      </c>
      <c r="L1348" s="15" t="str">
        <f>IFERROR(__xludf.DUMMYFUNCTION("IF(A1348="""","""",
  INDEX(FILTER('RE Portfolio'!C$2:C2000,'RE Portfolio'!D$2:D2000=""BUY""), INT((ROW()-2)/amortYears)+1)
  * (1 + VALUE(Assumptions!$B$11))^(D1348-1)
)
"),"")</f>
        <v/>
      </c>
    </row>
    <row r="1349">
      <c r="A1349" s="15" t="str">
        <f>IFERROR(__xludf.DUMMYFUNCTION("IFERROR(INDEX(FILTER('RE Portfolio'!A$2:A2000,'RE Portfolio'!D$2:D2000=""BUY""), INT((ROW()-2)/amortYears)+1), )
"),"")</f>
        <v/>
      </c>
      <c r="B1349" s="15" t="str">
        <f>IFERROR(__xludf.DUMMYFUNCTION("IFERROR(INDEX(FILTER('RE Portfolio'!B$2:B2000,'RE Portfolio'!D$2:D2000=""BUY""), INT((ROW()-2)/amortYears)+1), )
"),"")</f>
        <v/>
      </c>
      <c r="C1349" s="15" t="str">
        <f>IFERROR(__xludf.DUMMYFUNCTION("IFERROR(INDEX(FILTER('RE Portfolio'!G$2:G2000,'RE Portfolio'!D$2:D2000=""BUY""), INT((ROW()-2)/amortYears)+1), )
"),"")</f>
        <v/>
      </c>
      <c r="D1349" s="15">
        <f>MOD(ROW()-2, amortYears)+1</f>
        <v>18</v>
      </c>
      <c r="E1349" s="15" t="str">
        <f t="shared" si="1"/>
        <v/>
      </c>
      <c r="F1349" s="16">
        <f t="shared" si="2"/>
        <v>0</v>
      </c>
      <c r="G1349" s="16">
        <f>IF(D1349&lt;=mortTerm, -PMT(mortRate/12, mortTerm*12, C1349)*12, 0)
</f>
        <v>0</v>
      </c>
      <c r="H1349" s="16">
        <f>IF(D1349&lt;=mortTerm, G1349 - I1349, 0)
</f>
        <v>0</v>
      </c>
      <c r="I1349" s="16">
        <f>IF(D1349&lt;=mortTerm, F1349 - J1349, 0)
</f>
        <v>0</v>
      </c>
      <c r="J1349" s="16">
        <f>IF(D1349&lt;=mortTerm,
   F1349*(1+mortRate/12)^12 - (-PMT(mortRate/12, mortTerm*12, C1349))*(((1+mortRate/12)^12 - 1)/(mortRate/12)),
   0
)
</f>
        <v>0</v>
      </c>
      <c r="K1349" s="13" t="str">
        <f>IFERROR(__xludf.DUMMYFUNCTION("IF(A1349="""","""",
   IF(F1349&gt;0,
      INDEX(FILTER('RE Portfolio'!L$2:L2000,'RE Portfolio'!D$2:D2000=""BUY""), INT((ROW()-2)/amortYears)+1) - G1349,
      INDEX(FILTER('RE Portfolio'!L$2:L2000,'RE Portfolio'!D$2:D2000=""BUY""), INT((ROW()-2)/amortYears"&amp;")+1)
   )
)
"),"")</f>
        <v/>
      </c>
      <c r="L1349" s="15" t="str">
        <f>IFERROR(__xludf.DUMMYFUNCTION("IF(A1349="""","""",
  INDEX(FILTER('RE Portfolio'!C$2:C2000,'RE Portfolio'!D$2:D2000=""BUY""), INT((ROW()-2)/amortYears)+1)
  * (1 + VALUE(Assumptions!$B$11))^(D1349-1)
)
"),"")</f>
        <v/>
      </c>
    </row>
    <row r="1350">
      <c r="A1350" s="15" t="str">
        <f>IFERROR(__xludf.DUMMYFUNCTION("IFERROR(INDEX(FILTER('RE Portfolio'!A$2:A2000,'RE Portfolio'!D$2:D2000=""BUY""), INT((ROW()-2)/amortYears)+1), )
"),"")</f>
        <v/>
      </c>
      <c r="B1350" s="15" t="str">
        <f>IFERROR(__xludf.DUMMYFUNCTION("IFERROR(INDEX(FILTER('RE Portfolio'!B$2:B2000,'RE Portfolio'!D$2:D2000=""BUY""), INT((ROW()-2)/amortYears)+1), )
"),"")</f>
        <v/>
      </c>
      <c r="C1350" s="15" t="str">
        <f>IFERROR(__xludf.DUMMYFUNCTION("IFERROR(INDEX(FILTER('RE Portfolio'!G$2:G2000,'RE Portfolio'!D$2:D2000=""BUY""), INT((ROW()-2)/amortYears)+1), )
"),"")</f>
        <v/>
      </c>
      <c r="D1350" s="15">
        <f>MOD(ROW()-2, amortYears)+1</f>
        <v>19</v>
      </c>
      <c r="E1350" s="15" t="str">
        <f t="shared" si="1"/>
        <v/>
      </c>
      <c r="F1350" s="16">
        <f t="shared" si="2"/>
        <v>0</v>
      </c>
      <c r="G1350" s="16">
        <f>IF(D1350&lt;=mortTerm, -PMT(mortRate/12, mortTerm*12, C1350)*12, 0)
</f>
        <v>0</v>
      </c>
      <c r="H1350" s="16">
        <f>IF(D1350&lt;=mortTerm, G1350 - I1350, 0)
</f>
        <v>0</v>
      </c>
      <c r="I1350" s="16">
        <f>IF(D1350&lt;=mortTerm, F1350 - J1350, 0)
</f>
        <v>0</v>
      </c>
      <c r="J1350" s="16">
        <f>IF(D1350&lt;=mortTerm,
   F1350*(1+mortRate/12)^12 - (-PMT(mortRate/12, mortTerm*12, C1350))*(((1+mortRate/12)^12 - 1)/(mortRate/12)),
   0
)
</f>
        <v>0</v>
      </c>
      <c r="K1350" s="13" t="str">
        <f>IFERROR(__xludf.DUMMYFUNCTION("IF(A1350="""","""",
   IF(F1350&gt;0,
      INDEX(FILTER('RE Portfolio'!L$2:L2000,'RE Portfolio'!D$2:D2000=""BUY""), INT((ROW()-2)/amortYears)+1) - G1350,
      INDEX(FILTER('RE Portfolio'!L$2:L2000,'RE Portfolio'!D$2:D2000=""BUY""), INT((ROW()-2)/amortYears"&amp;")+1)
   )
)
"),"")</f>
        <v/>
      </c>
      <c r="L1350" s="15" t="str">
        <f>IFERROR(__xludf.DUMMYFUNCTION("IF(A1350="""","""",
  INDEX(FILTER('RE Portfolio'!C$2:C2000,'RE Portfolio'!D$2:D2000=""BUY""), INT((ROW()-2)/amortYears)+1)
  * (1 + VALUE(Assumptions!$B$11))^(D1350-1)
)
"),"")</f>
        <v/>
      </c>
    </row>
    <row r="1351">
      <c r="A1351" s="15" t="str">
        <f>IFERROR(__xludf.DUMMYFUNCTION("IFERROR(INDEX(FILTER('RE Portfolio'!A$2:A2000,'RE Portfolio'!D$2:D2000=""BUY""), INT((ROW()-2)/amortYears)+1), )
"),"")</f>
        <v/>
      </c>
      <c r="B1351" s="15" t="str">
        <f>IFERROR(__xludf.DUMMYFUNCTION("IFERROR(INDEX(FILTER('RE Portfolio'!B$2:B2000,'RE Portfolio'!D$2:D2000=""BUY""), INT((ROW()-2)/amortYears)+1), )
"),"")</f>
        <v/>
      </c>
      <c r="C1351" s="15" t="str">
        <f>IFERROR(__xludf.DUMMYFUNCTION("IFERROR(INDEX(FILTER('RE Portfolio'!G$2:G2000,'RE Portfolio'!D$2:D2000=""BUY""), INT((ROW()-2)/amortYears)+1), )
"),"")</f>
        <v/>
      </c>
      <c r="D1351" s="15">
        <f>MOD(ROW()-2, amortYears)+1</f>
        <v>20</v>
      </c>
      <c r="E1351" s="15" t="str">
        <f t="shared" si="1"/>
        <v/>
      </c>
      <c r="F1351" s="16">
        <f t="shared" si="2"/>
        <v>0</v>
      </c>
      <c r="G1351" s="16">
        <f>IF(D1351&lt;=mortTerm, -PMT(mortRate/12, mortTerm*12, C1351)*12, 0)
</f>
        <v>0</v>
      </c>
      <c r="H1351" s="16">
        <f>IF(D1351&lt;=mortTerm, G1351 - I1351, 0)
</f>
        <v>0</v>
      </c>
      <c r="I1351" s="16">
        <f>IF(D1351&lt;=mortTerm, F1351 - J1351, 0)
</f>
        <v>0</v>
      </c>
      <c r="J1351" s="16">
        <f>IF(D1351&lt;=mortTerm,
   F1351*(1+mortRate/12)^12 - (-PMT(mortRate/12, mortTerm*12, C1351))*(((1+mortRate/12)^12 - 1)/(mortRate/12)),
   0
)
</f>
        <v>0</v>
      </c>
      <c r="K1351" s="13" t="str">
        <f>IFERROR(__xludf.DUMMYFUNCTION("IF(A1351="""","""",
   IF(F1351&gt;0,
      INDEX(FILTER('RE Portfolio'!L$2:L2000,'RE Portfolio'!D$2:D2000=""BUY""), INT((ROW()-2)/amortYears)+1) - G1351,
      INDEX(FILTER('RE Portfolio'!L$2:L2000,'RE Portfolio'!D$2:D2000=""BUY""), INT((ROW()-2)/amortYears"&amp;")+1)
   )
)
"),"")</f>
        <v/>
      </c>
      <c r="L1351" s="15" t="str">
        <f>IFERROR(__xludf.DUMMYFUNCTION("IF(A1351="""","""",
  INDEX(FILTER('RE Portfolio'!C$2:C2000,'RE Portfolio'!D$2:D2000=""BUY""), INT((ROW()-2)/amortYears)+1)
  * (1 + VALUE(Assumptions!$B$11))^(D1351-1)
)
"),"")</f>
        <v/>
      </c>
    </row>
    <row r="1352">
      <c r="A1352" s="15" t="str">
        <f>IFERROR(__xludf.DUMMYFUNCTION("IFERROR(INDEX(FILTER('RE Portfolio'!A$2:A2000,'RE Portfolio'!D$2:D2000=""BUY""), INT((ROW()-2)/amortYears)+1), )
"),"")</f>
        <v/>
      </c>
      <c r="B1352" s="15" t="str">
        <f>IFERROR(__xludf.DUMMYFUNCTION("IFERROR(INDEX(FILTER('RE Portfolio'!B$2:B2000,'RE Portfolio'!D$2:D2000=""BUY""), INT((ROW()-2)/amortYears)+1), )
"),"")</f>
        <v/>
      </c>
      <c r="C1352" s="15" t="str">
        <f>IFERROR(__xludf.DUMMYFUNCTION("IFERROR(INDEX(FILTER('RE Portfolio'!G$2:G2000,'RE Portfolio'!D$2:D2000=""BUY""), INT((ROW()-2)/amortYears)+1), )
"),"")</f>
        <v/>
      </c>
      <c r="D1352" s="15">
        <f>MOD(ROW()-2, amortYears)+1</f>
        <v>21</v>
      </c>
      <c r="E1352" s="15" t="str">
        <f t="shared" si="1"/>
        <v/>
      </c>
      <c r="F1352" s="16">
        <f t="shared" si="2"/>
        <v>0</v>
      </c>
      <c r="G1352" s="16">
        <f>IF(D1352&lt;=mortTerm, -PMT(mortRate/12, mortTerm*12, C1352)*12, 0)
</f>
        <v>0</v>
      </c>
      <c r="H1352" s="16">
        <f>IF(D1352&lt;=mortTerm, G1352 - I1352, 0)
</f>
        <v>0</v>
      </c>
      <c r="I1352" s="16">
        <f>IF(D1352&lt;=mortTerm, F1352 - J1352, 0)
</f>
        <v>0</v>
      </c>
      <c r="J1352" s="16">
        <f>IF(D1352&lt;=mortTerm,
   F1352*(1+mortRate/12)^12 - (-PMT(mortRate/12, mortTerm*12, C1352))*(((1+mortRate/12)^12 - 1)/(mortRate/12)),
   0
)
</f>
        <v>0</v>
      </c>
      <c r="K1352" s="13" t="str">
        <f>IFERROR(__xludf.DUMMYFUNCTION("IF(A1352="""","""",
   IF(F1352&gt;0,
      INDEX(FILTER('RE Portfolio'!L$2:L2000,'RE Portfolio'!D$2:D2000=""BUY""), INT((ROW()-2)/amortYears)+1) - G1352,
      INDEX(FILTER('RE Portfolio'!L$2:L2000,'RE Portfolio'!D$2:D2000=""BUY""), INT((ROW()-2)/amortYears"&amp;")+1)
   )
)
"),"")</f>
        <v/>
      </c>
      <c r="L1352" s="15" t="str">
        <f>IFERROR(__xludf.DUMMYFUNCTION("IF(A1352="""","""",
  INDEX(FILTER('RE Portfolio'!C$2:C2000,'RE Portfolio'!D$2:D2000=""BUY""), INT((ROW()-2)/amortYears)+1)
  * (1 + VALUE(Assumptions!$B$11))^(D1352-1)
)
"),"")</f>
        <v/>
      </c>
    </row>
    <row r="1353">
      <c r="A1353" s="15" t="str">
        <f>IFERROR(__xludf.DUMMYFUNCTION("IFERROR(INDEX(FILTER('RE Portfolio'!A$2:A2000,'RE Portfolio'!D$2:D2000=""BUY""), INT((ROW()-2)/amortYears)+1), )
"),"")</f>
        <v/>
      </c>
      <c r="B1353" s="15" t="str">
        <f>IFERROR(__xludf.DUMMYFUNCTION("IFERROR(INDEX(FILTER('RE Portfolio'!B$2:B2000,'RE Portfolio'!D$2:D2000=""BUY""), INT((ROW()-2)/amortYears)+1), )
"),"")</f>
        <v/>
      </c>
      <c r="C1353" s="15" t="str">
        <f>IFERROR(__xludf.DUMMYFUNCTION("IFERROR(INDEX(FILTER('RE Portfolio'!G$2:G2000,'RE Portfolio'!D$2:D2000=""BUY""), INT((ROW()-2)/amortYears)+1), )
"),"")</f>
        <v/>
      </c>
      <c r="D1353" s="15">
        <f>MOD(ROW()-2, amortYears)+1</f>
        <v>22</v>
      </c>
      <c r="E1353" s="15" t="str">
        <f t="shared" si="1"/>
        <v/>
      </c>
      <c r="F1353" s="16">
        <f t="shared" si="2"/>
        <v>0</v>
      </c>
      <c r="G1353" s="16">
        <f>IF(D1353&lt;=mortTerm, -PMT(mortRate/12, mortTerm*12, C1353)*12, 0)
</f>
        <v>0</v>
      </c>
      <c r="H1353" s="16">
        <f>IF(D1353&lt;=mortTerm, G1353 - I1353, 0)
</f>
        <v>0</v>
      </c>
      <c r="I1353" s="16">
        <f>IF(D1353&lt;=mortTerm, F1353 - J1353, 0)
</f>
        <v>0</v>
      </c>
      <c r="J1353" s="16">
        <f>IF(D1353&lt;=mortTerm,
   F1353*(1+mortRate/12)^12 - (-PMT(mortRate/12, mortTerm*12, C1353))*(((1+mortRate/12)^12 - 1)/(mortRate/12)),
   0
)
</f>
        <v>0</v>
      </c>
      <c r="K1353" s="13" t="str">
        <f>IFERROR(__xludf.DUMMYFUNCTION("IF(A1353="""","""",
   IF(F1353&gt;0,
      INDEX(FILTER('RE Portfolio'!L$2:L2000,'RE Portfolio'!D$2:D2000=""BUY""), INT((ROW()-2)/amortYears)+1) - G1353,
      INDEX(FILTER('RE Portfolio'!L$2:L2000,'RE Portfolio'!D$2:D2000=""BUY""), INT((ROW()-2)/amortYears"&amp;")+1)
   )
)
"),"")</f>
        <v/>
      </c>
      <c r="L1353" s="15" t="str">
        <f>IFERROR(__xludf.DUMMYFUNCTION("IF(A1353="""","""",
  INDEX(FILTER('RE Portfolio'!C$2:C2000,'RE Portfolio'!D$2:D2000=""BUY""), INT((ROW()-2)/amortYears)+1)
  * (1 + VALUE(Assumptions!$B$11))^(D1353-1)
)
"),"")</f>
        <v/>
      </c>
    </row>
    <row r="1354">
      <c r="A1354" s="15" t="str">
        <f>IFERROR(__xludf.DUMMYFUNCTION("IFERROR(INDEX(FILTER('RE Portfolio'!A$2:A2000,'RE Portfolio'!D$2:D2000=""BUY""), INT((ROW()-2)/amortYears)+1), )
"),"")</f>
        <v/>
      </c>
      <c r="B1354" s="15" t="str">
        <f>IFERROR(__xludf.DUMMYFUNCTION("IFERROR(INDEX(FILTER('RE Portfolio'!B$2:B2000,'RE Portfolio'!D$2:D2000=""BUY""), INT((ROW()-2)/amortYears)+1), )
"),"")</f>
        <v/>
      </c>
      <c r="C1354" s="15" t="str">
        <f>IFERROR(__xludf.DUMMYFUNCTION("IFERROR(INDEX(FILTER('RE Portfolio'!G$2:G2000,'RE Portfolio'!D$2:D2000=""BUY""), INT((ROW()-2)/amortYears)+1), )
"),"")</f>
        <v/>
      </c>
      <c r="D1354" s="15">
        <f>MOD(ROW()-2, amortYears)+1</f>
        <v>23</v>
      </c>
      <c r="E1354" s="15" t="str">
        <f t="shared" si="1"/>
        <v/>
      </c>
      <c r="F1354" s="16">
        <f t="shared" si="2"/>
        <v>0</v>
      </c>
      <c r="G1354" s="16">
        <f>IF(D1354&lt;=mortTerm, -PMT(mortRate/12, mortTerm*12, C1354)*12, 0)
</f>
        <v>0</v>
      </c>
      <c r="H1354" s="16">
        <f>IF(D1354&lt;=mortTerm, G1354 - I1354, 0)
</f>
        <v>0</v>
      </c>
      <c r="I1354" s="16">
        <f>IF(D1354&lt;=mortTerm, F1354 - J1354, 0)
</f>
        <v>0</v>
      </c>
      <c r="J1354" s="16">
        <f>IF(D1354&lt;=mortTerm,
   F1354*(1+mortRate/12)^12 - (-PMT(mortRate/12, mortTerm*12, C1354))*(((1+mortRate/12)^12 - 1)/(mortRate/12)),
   0
)
</f>
        <v>0</v>
      </c>
      <c r="K1354" s="13" t="str">
        <f>IFERROR(__xludf.DUMMYFUNCTION("IF(A1354="""","""",
   IF(F1354&gt;0,
      INDEX(FILTER('RE Portfolio'!L$2:L2000,'RE Portfolio'!D$2:D2000=""BUY""), INT((ROW()-2)/amortYears)+1) - G1354,
      INDEX(FILTER('RE Portfolio'!L$2:L2000,'RE Portfolio'!D$2:D2000=""BUY""), INT((ROW()-2)/amortYears"&amp;")+1)
   )
)
"),"")</f>
        <v/>
      </c>
      <c r="L1354" s="15" t="str">
        <f>IFERROR(__xludf.DUMMYFUNCTION("IF(A1354="""","""",
  INDEX(FILTER('RE Portfolio'!C$2:C2000,'RE Portfolio'!D$2:D2000=""BUY""), INT((ROW()-2)/amortYears)+1)
  * (1 + VALUE(Assumptions!$B$11))^(D1354-1)
)
"),"")</f>
        <v/>
      </c>
    </row>
    <row r="1355">
      <c r="A1355" s="15" t="str">
        <f>IFERROR(__xludf.DUMMYFUNCTION("IFERROR(INDEX(FILTER('RE Portfolio'!A$2:A2000,'RE Portfolio'!D$2:D2000=""BUY""), INT((ROW()-2)/amortYears)+1), )
"),"")</f>
        <v/>
      </c>
      <c r="B1355" s="15" t="str">
        <f>IFERROR(__xludf.DUMMYFUNCTION("IFERROR(INDEX(FILTER('RE Portfolio'!B$2:B2000,'RE Portfolio'!D$2:D2000=""BUY""), INT((ROW()-2)/amortYears)+1), )
"),"")</f>
        <v/>
      </c>
      <c r="C1355" s="15" t="str">
        <f>IFERROR(__xludf.DUMMYFUNCTION("IFERROR(INDEX(FILTER('RE Portfolio'!G$2:G2000,'RE Portfolio'!D$2:D2000=""BUY""), INT((ROW()-2)/amortYears)+1), )
"),"")</f>
        <v/>
      </c>
      <c r="D1355" s="15">
        <f>MOD(ROW()-2, amortYears)+1</f>
        <v>24</v>
      </c>
      <c r="E1355" s="15" t="str">
        <f t="shared" si="1"/>
        <v/>
      </c>
      <c r="F1355" s="16">
        <f t="shared" si="2"/>
        <v>0</v>
      </c>
      <c r="G1355" s="16">
        <f>IF(D1355&lt;=mortTerm, -PMT(mortRate/12, mortTerm*12, C1355)*12, 0)
</f>
        <v>0</v>
      </c>
      <c r="H1355" s="16">
        <f>IF(D1355&lt;=mortTerm, G1355 - I1355, 0)
</f>
        <v>0</v>
      </c>
      <c r="I1355" s="16">
        <f>IF(D1355&lt;=mortTerm, F1355 - J1355, 0)
</f>
        <v>0</v>
      </c>
      <c r="J1355" s="16">
        <f>IF(D1355&lt;=mortTerm,
   F1355*(1+mortRate/12)^12 - (-PMT(mortRate/12, mortTerm*12, C1355))*(((1+mortRate/12)^12 - 1)/(mortRate/12)),
   0
)
</f>
        <v>0</v>
      </c>
      <c r="K1355" s="13" t="str">
        <f>IFERROR(__xludf.DUMMYFUNCTION("IF(A1355="""","""",
   IF(F1355&gt;0,
      INDEX(FILTER('RE Portfolio'!L$2:L2000,'RE Portfolio'!D$2:D2000=""BUY""), INT((ROW()-2)/amortYears)+1) - G1355,
      INDEX(FILTER('RE Portfolio'!L$2:L2000,'RE Portfolio'!D$2:D2000=""BUY""), INT((ROW()-2)/amortYears"&amp;")+1)
   )
)
"),"")</f>
        <v/>
      </c>
      <c r="L1355" s="15" t="str">
        <f>IFERROR(__xludf.DUMMYFUNCTION("IF(A1355="""","""",
  INDEX(FILTER('RE Portfolio'!C$2:C2000,'RE Portfolio'!D$2:D2000=""BUY""), INT((ROW()-2)/amortYears)+1)
  * (1 + VALUE(Assumptions!$B$11))^(D1355-1)
)
"),"")</f>
        <v/>
      </c>
    </row>
    <row r="1356">
      <c r="A1356" s="15" t="str">
        <f>IFERROR(__xludf.DUMMYFUNCTION("IFERROR(INDEX(FILTER('RE Portfolio'!A$2:A2000,'RE Portfolio'!D$2:D2000=""BUY""), INT((ROW()-2)/amortYears)+1), )
"),"")</f>
        <v/>
      </c>
      <c r="B1356" s="15" t="str">
        <f>IFERROR(__xludf.DUMMYFUNCTION("IFERROR(INDEX(FILTER('RE Portfolio'!B$2:B2000,'RE Portfolio'!D$2:D2000=""BUY""), INT((ROW()-2)/amortYears)+1), )
"),"")</f>
        <v/>
      </c>
      <c r="C1356" s="15" t="str">
        <f>IFERROR(__xludf.DUMMYFUNCTION("IFERROR(INDEX(FILTER('RE Portfolio'!G$2:G2000,'RE Portfolio'!D$2:D2000=""BUY""), INT((ROW()-2)/amortYears)+1), )
"),"")</f>
        <v/>
      </c>
      <c r="D1356" s="15">
        <f>MOD(ROW()-2, amortYears)+1</f>
        <v>25</v>
      </c>
      <c r="E1356" s="15" t="str">
        <f t="shared" si="1"/>
        <v/>
      </c>
      <c r="F1356" s="16">
        <f t="shared" si="2"/>
        <v>0</v>
      </c>
      <c r="G1356" s="16">
        <f>IF(D1356&lt;=mortTerm, -PMT(mortRate/12, mortTerm*12, C1356)*12, 0)
</f>
        <v>0</v>
      </c>
      <c r="H1356" s="16">
        <f>IF(D1356&lt;=mortTerm, G1356 - I1356, 0)
</f>
        <v>0</v>
      </c>
      <c r="I1356" s="16">
        <f>IF(D1356&lt;=mortTerm, F1356 - J1356, 0)
</f>
        <v>0</v>
      </c>
      <c r="J1356" s="16">
        <f>IF(D1356&lt;=mortTerm,
   F1356*(1+mortRate/12)^12 - (-PMT(mortRate/12, mortTerm*12, C1356))*(((1+mortRate/12)^12 - 1)/(mortRate/12)),
   0
)
</f>
        <v>0</v>
      </c>
      <c r="K1356" s="13" t="str">
        <f>IFERROR(__xludf.DUMMYFUNCTION("IF(A1356="""","""",
   IF(F1356&gt;0,
      INDEX(FILTER('RE Portfolio'!L$2:L2000,'RE Portfolio'!D$2:D2000=""BUY""), INT((ROW()-2)/amortYears)+1) - G1356,
      INDEX(FILTER('RE Portfolio'!L$2:L2000,'RE Portfolio'!D$2:D2000=""BUY""), INT((ROW()-2)/amortYears"&amp;")+1)
   )
)
"),"")</f>
        <v/>
      </c>
      <c r="L1356" s="15" t="str">
        <f>IFERROR(__xludf.DUMMYFUNCTION("IF(A1356="""","""",
  INDEX(FILTER('RE Portfolio'!C$2:C2000,'RE Portfolio'!D$2:D2000=""BUY""), INT((ROW()-2)/amortYears)+1)
  * (1 + VALUE(Assumptions!$B$11))^(D1356-1)
)
"),"")</f>
        <v/>
      </c>
    </row>
    <row r="1357">
      <c r="A1357" s="15" t="str">
        <f>IFERROR(__xludf.DUMMYFUNCTION("IFERROR(INDEX(FILTER('RE Portfolio'!A$2:A2000,'RE Portfolio'!D$2:D2000=""BUY""), INT((ROW()-2)/amortYears)+1), )
"),"")</f>
        <v/>
      </c>
      <c r="B1357" s="15" t="str">
        <f>IFERROR(__xludf.DUMMYFUNCTION("IFERROR(INDEX(FILTER('RE Portfolio'!B$2:B2000,'RE Portfolio'!D$2:D2000=""BUY""), INT((ROW()-2)/amortYears)+1), )
"),"")</f>
        <v/>
      </c>
      <c r="C1357" s="15" t="str">
        <f>IFERROR(__xludf.DUMMYFUNCTION("IFERROR(INDEX(FILTER('RE Portfolio'!G$2:G2000,'RE Portfolio'!D$2:D2000=""BUY""), INT((ROW()-2)/amortYears)+1), )
"),"")</f>
        <v/>
      </c>
      <c r="D1357" s="15">
        <f>MOD(ROW()-2, amortYears)+1</f>
        <v>26</v>
      </c>
      <c r="E1357" s="15" t="str">
        <f t="shared" si="1"/>
        <v/>
      </c>
      <c r="F1357" s="16">
        <f t="shared" si="2"/>
        <v>0</v>
      </c>
      <c r="G1357" s="16">
        <f>IF(D1357&lt;=mortTerm, -PMT(mortRate/12, mortTerm*12, C1357)*12, 0)
</f>
        <v>0</v>
      </c>
      <c r="H1357" s="16">
        <f>IF(D1357&lt;=mortTerm, G1357 - I1357, 0)
</f>
        <v>0</v>
      </c>
      <c r="I1357" s="16">
        <f>IF(D1357&lt;=mortTerm, F1357 - J1357, 0)
</f>
        <v>0</v>
      </c>
      <c r="J1357" s="16">
        <f>IF(D1357&lt;=mortTerm,
   F1357*(1+mortRate/12)^12 - (-PMT(mortRate/12, mortTerm*12, C1357))*(((1+mortRate/12)^12 - 1)/(mortRate/12)),
   0
)
</f>
        <v>0</v>
      </c>
      <c r="K1357" s="13" t="str">
        <f>IFERROR(__xludf.DUMMYFUNCTION("IF(A1357="""","""",
   IF(F1357&gt;0,
      INDEX(FILTER('RE Portfolio'!L$2:L2000,'RE Portfolio'!D$2:D2000=""BUY""), INT((ROW()-2)/amortYears)+1) - G1357,
      INDEX(FILTER('RE Portfolio'!L$2:L2000,'RE Portfolio'!D$2:D2000=""BUY""), INT((ROW()-2)/amortYears"&amp;")+1)
   )
)
"),"")</f>
        <v/>
      </c>
      <c r="L1357" s="15" t="str">
        <f>IFERROR(__xludf.DUMMYFUNCTION("IF(A1357="""","""",
  INDEX(FILTER('RE Portfolio'!C$2:C2000,'RE Portfolio'!D$2:D2000=""BUY""), INT((ROW()-2)/amortYears)+1)
  * (1 + VALUE(Assumptions!$B$11))^(D1357-1)
)
"),"")</f>
        <v/>
      </c>
    </row>
    <row r="1358">
      <c r="A1358" s="15" t="str">
        <f>IFERROR(__xludf.DUMMYFUNCTION("IFERROR(INDEX(FILTER('RE Portfolio'!A$2:A2000,'RE Portfolio'!D$2:D2000=""BUY""), INT((ROW()-2)/amortYears)+1), )
"),"")</f>
        <v/>
      </c>
      <c r="B1358" s="15" t="str">
        <f>IFERROR(__xludf.DUMMYFUNCTION("IFERROR(INDEX(FILTER('RE Portfolio'!B$2:B2000,'RE Portfolio'!D$2:D2000=""BUY""), INT((ROW()-2)/amortYears)+1), )
"),"")</f>
        <v/>
      </c>
      <c r="C1358" s="15" t="str">
        <f>IFERROR(__xludf.DUMMYFUNCTION("IFERROR(INDEX(FILTER('RE Portfolio'!G$2:G2000,'RE Portfolio'!D$2:D2000=""BUY""), INT((ROW()-2)/amortYears)+1), )
"),"")</f>
        <v/>
      </c>
      <c r="D1358" s="15">
        <f>MOD(ROW()-2, amortYears)+1</f>
        <v>27</v>
      </c>
      <c r="E1358" s="15" t="str">
        <f t="shared" si="1"/>
        <v/>
      </c>
      <c r="F1358" s="16">
        <f t="shared" si="2"/>
        <v>0</v>
      </c>
      <c r="G1358" s="16">
        <f>IF(D1358&lt;=mortTerm, -PMT(mortRate/12, mortTerm*12, C1358)*12, 0)
</f>
        <v>0</v>
      </c>
      <c r="H1358" s="16">
        <f>IF(D1358&lt;=mortTerm, G1358 - I1358, 0)
</f>
        <v>0</v>
      </c>
      <c r="I1358" s="16">
        <f>IF(D1358&lt;=mortTerm, F1358 - J1358, 0)
</f>
        <v>0</v>
      </c>
      <c r="J1358" s="16">
        <f>IF(D1358&lt;=mortTerm,
   F1358*(1+mortRate/12)^12 - (-PMT(mortRate/12, mortTerm*12, C1358))*(((1+mortRate/12)^12 - 1)/(mortRate/12)),
   0
)
</f>
        <v>0</v>
      </c>
      <c r="K1358" s="13" t="str">
        <f>IFERROR(__xludf.DUMMYFUNCTION("IF(A1358="""","""",
   IF(F1358&gt;0,
      INDEX(FILTER('RE Portfolio'!L$2:L2000,'RE Portfolio'!D$2:D2000=""BUY""), INT((ROW()-2)/amortYears)+1) - G1358,
      INDEX(FILTER('RE Portfolio'!L$2:L2000,'RE Portfolio'!D$2:D2000=""BUY""), INT((ROW()-2)/amortYears"&amp;")+1)
   )
)
"),"")</f>
        <v/>
      </c>
      <c r="L1358" s="15" t="str">
        <f>IFERROR(__xludf.DUMMYFUNCTION("IF(A1358="""","""",
  INDEX(FILTER('RE Portfolio'!C$2:C2000,'RE Portfolio'!D$2:D2000=""BUY""), INT((ROW()-2)/amortYears)+1)
  * (1 + VALUE(Assumptions!$B$11))^(D1358-1)
)
"),"")</f>
        <v/>
      </c>
    </row>
    <row r="1359">
      <c r="A1359" s="15" t="str">
        <f>IFERROR(__xludf.DUMMYFUNCTION("IFERROR(INDEX(FILTER('RE Portfolio'!A$2:A2000,'RE Portfolio'!D$2:D2000=""BUY""), INT((ROW()-2)/amortYears)+1), )
"),"")</f>
        <v/>
      </c>
      <c r="B1359" s="15" t="str">
        <f>IFERROR(__xludf.DUMMYFUNCTION("IFERROR(INDEX(FILTER('RE Portfolio'!B$2:B2000,'RE Portfolio'!D$2:D2000=""BUY""), INT((ROW()-2)/amortYears)+1), )
"),"")</f>
        <v/>
      </c>
      <c r="C1359" s="15" t="str">
        <f>IFERROR(__xludf.DUMMYFUNCTION("IFERROR(INDEX(FILTER('RE Portfolio'!G$2:G2000,'RE Portfolio'!D$2:D2000=""BUY""), INT((ROW()-2)/amortYears)+1), )
"),"")</f>
        <v/>
      </c>
      <c r="D1359" s="15">
        <f>MOD(ROW()-2, amortYears)+1</f>
        <v>28</v>
      </c>
      <c r="E1359" s="15" t="str">
        <f t="shared" si="1"/>
        <v/>
      </c>
      <c r="F1359" s="16">
        <f t="shared" si="2"/>
        <v>0</v>
      </c>
      <c r="G1359" s="16">
        <f>IF(D1359&lt;=mortTerm, -PMT(mortRate/12, mortTerm*12, C1359)*12, 0)
</f>
        <v>0</v>
      </c>
      <c r="H1359" s="16">
        <f>IF(D1359&lt;=mortTerm, G1359 - I1359, 0)
</f>
        <v>0</v>
      </c>
      <c r="I1359" s="16">
        <f>IF(D1359&lt;=mortTerm, F1359 - J1359, 0)
</f>
        <v>0</v>
      </c>
      <c r="J1359" s="16">
        <f>IF(D1359&lt;=mortTerm,
   F1359*(1+mortRate/12)^12 - (-PMT(mortRate/12, mortTerm*12, C1359))*(((1+mortRate/12)^12 - 1)/(mortRate/12)),
   0
)
</f>
        <v>0</v>
      </c>
      <c r="K1359" s="13" t="str">
        <f>IFERROR(__xludf.DUMMYFUNCTION("IF(A1359="""","""",
   IF(F1359&gt;0,
      INDEX(FILTER('RE Portfolio'!L$2:L2000,'RE Portfolio'!D$2:D2000=""BUY""), INT((ROW()-2)/amortYears)+1) - G1359,
      INDEX(FILTER('RE Portfolio'!L$2:L2000,'RE Portfolio'!D$2:D2000=""BUY""), INT((ROW()-2)/amortYears"&amp;")+1)
   )
)
"),"")</f>
        <v/>
      </c>
      <c r="L1359" s="15" t="str">
        <f>IFERROR(__xludf.DUMMYFUNCTION("IF(A1359="""","""",
  INDEX(FILTER('RE Portfolio'!C$2:C2000,'RE Portfolio'!D$2:D2000=""BUY""), INT((ROW()-2)/amortYears)+1)
  * (1 + VALUE(Assumptions!$B$11))^(D1359-1)
)
"),"")</f>
        <v/>
      </c>
    </row>
    <row r="1360">
      <c r="A1360" s="15" t="str">
        <f>IFERROR(__xludf.DUMMYFUNCTION("IFERROR(INDEX(FILTER('RE Portfolio'!A$2:A2000,'RE Portfolio'!D$2:D2000=""BUY""), INT((ROW()-2)/amortYears)+1), )
"),"")</f>
        <v/>
      </c>
      <c r="B1360" s="15" t="str">
        <f>IFERROR(__xludf.DUMMYFUNCTION("IFERROR(INDEX(FILTER('RE Portfolio'!B$2:B2000,'RE Portfolio'!D$2:D2000=""BUY""), INT((ROW()-2)/amortYears)+1), )
"),"")</f>
        <v/>
      </c>
      <c r="C1360" s="15" t="str">
        <f>IFERROR(__xludf.DUMMYFUNCTION("IFERROR(INDEX(FILTER('RE Portfolio'!G$2:G2000,'RE Portfolio'!D$2:D2000=""BUY""), INT((ROW()-2)/amortYears)+1), )
"),"")</f>
        <v/>
      </c>
      <c r="D1360" s="15">
        <f>MOD(ROW()-2, amortYears)+1</f>
        <v>29</v>
      </c>
      <c r="E1360" s="15" t="str">
        <f t="shared" si="1"/>
        <v/>
      </c>
      <c r="F1360" s="16">
        <f t="shared" si="2"/>
        <v>0</v>
      </c>
      <c r="G1360" s="16">
        <f>IF(D1360&lt;=mortTerm, -PMT(mortRate/12, mortTerm*12, C1360)*12, 0)
</f>
        <v>0</v>
      </c>
      <c r="H1360" s="16">
        <f>IF(D1360&lt;=mortTerm, G1360 - I1360, 0)
</f>
        <v>0</v>
      </c>
      <c r="I1360" s="16">
        <f>IF(D1360&lt;=mortTerm, F1360 - J1360, 0)
</f>
        <v>0</v>
      </c>
      <c r="J1360" s="16">
        <f>IF(D1360&lt;=mortTerm,
   F1360*(1+mortRate/12)^12 - (-PMT(mortRate/12, mortTerm*12, C1360))*(((1+mortRate/12)^12 - 1)/(mortRate/12)),
   0
)
</f>
        <v>0</v>
      </c>
      <c r="K1360" s="13" t="str">
        <f>IFERROR(__xludf.DUMMYFUNCTION("IF(A1360="""","""",
   IF(F1360&gt;0,
      INDEX(FILTER('RE Portfolio'!L$2:L2000,'RE Portfolio'!D$2:D2000=""BUY""), INT((ROW()-2)/amortYears)+1) - G1360,
      INDEX(FILTER('RE Portfolio'!L$2:L2000,'RE Portfolio'!D$2:D2000=""BUY""), INT((ROW()-2)/amortYears"&amp;")+1)
   )
)
"),"")</f>
        <v/>
      </c>
      <c r="L1360" s="15" t="str">
        <f>IFERROR(__xludf.DUMMYFUNCTION("IF(A1360="""","""",
  INDEX(FILTER('RE Portfolio'!C$2:C2000,'RE Portfolio'!D$2:D2000=""BUY""), INT((ROW()-2)/amortYears)+1)
  * (1 + VALUE(Assumptions!$B$11))^(D1360-1)
)
"),"")</f>
        <v/>
      </c>
    </row>
    <row r="1361">
      <c r="A1361" s="15" t="str">
        <f>IFERROR(__xludf.DUMMYFUNCTION("IFERROR(INDEX(FILTER('RE Portfolio'!A$2:A2000,'RE Portfolio'!D$2:D2000=""BUY""), INT((ROW()-2)/amortYears)+1), )
"),"")</f>
        <v/>
      </c>
      <c r="B1361" s="15" t="str">
        <f>IFERROR(__xludf.DUMMYFUNCTION("IFERROR(INDEX(FILTER('RE Portfolio'!B$2:B2000,'RE Portfolio'!D$2:D2000=""BUY""), INT((ROW()-2)/amortYears)+1), )
"),"")</f>
        <v/>
      </c>
      <c r="C1361" s="15" t="str">
        <f>IFERROR(__xludf.DUMMYFUNCTION("IFERROR(INDEX(FILTER('RE Portfolio'!G$2:G2000,'RE Portfolio'!D$2:D2000=""BUY""), INT((ROW()-2)/amortYears)+1), )
"),"")</f>
        <v/>
      </c>
      <c r="D1361" s="15">
        <f>MOD(ROW()-2, amortYears)+1</f>
        <v>30</v>
      </c>
      <c r="E1361" s="15" t="str">
        <f t="shared" si="1"/>
        <v/>
      </c>
      <c r="F1361" s="16">
        <f t="shared" si="2"/>
        <v>0</v>
      </c>
      <c r="G1361" s="16">
        <f>IF(D1361&lt;=mortTerm, -PMT(mortRate/12, mortTerm*12, C1361)*12, 0)
</f>
        <v>0</v>
      </c>
      <c r="H1361" s="16">
        <f>IF(D1361&lt;=mortTerm, G1361 - I1361, 0)
</f>
        <v>0</v>
      </c>
      <c r="I1361" s="16">
        <f>IF(D1361&lt;=mortTerm, F1361 - J1361, 0)
</f>
        <v>0</v>
      </c>
      <c r="J1361" s="16">
        <f>IF(D1361&lt;=mortTerm,
   F1361*(1+mortRate/12)^12 - (-PMT(mortRate/12, mortTerm*12, C1361))*(((1+mortRate/12)^12 - 1)/(mortRate/12)),
   0
)
</f>
        <v>0</v>
      </c>
      <c r="K1361" s="13" t="str">
        <f>IFERROR(__xludf.DUMMYFUNCTION("IF(A1361="""","""",
   IF(F1361&gt;0,
      INDEX(FILTER('RE Portfolio'!L$2:L2000,'RE Portfolio'!D$2:D2000=""BUY""), INT((ROW()-2)/amortYears)+1) - G1361,
      INDEX(FILTER('RE Portfolio'!L$2:L2000,'RE Portfolio'!D$2:D2000=""BUY""), INT((ROW()-2)/amortYears"&amp;")+1)
   )
)
"),"")</f>
        <v/>
      </c>
      <c r="L1361" s="15" t="str">
        <f>IFERROR(__xludf.DUMMYFUNCTION("IF(A1361="""","""",
  INDEX(FILTER('RE Portfolio'!C$2:C2000,'RE Portfolio'!D$2:D2000=""BUY""), INT((ROW()-2)/amortYears)+1)
  * (1 + VALUE(Assumptions!$B$11))^(D1361-1)
)
"),"")</f>
        <v/>
      </c>
    </row>
    <row r="1362">
      <c r="A1362" s="15" t="str">
        <f>IFERROR(__xludf.DUMMYFUNCTION("IFERROR(INDEX(FILTER('RE Portfolio'!A$2:A2000,'RE Portfolio'!D$2:D2000=""BUY""), INT((ROW()-2)/amortYears)+1), )
"),"")</f>
        <v/>
      </c>
      <c r="B1362" s="15" t="str">
        <f>IFERROR(__xludf.DUMMYFUNCTION("IFERROR(INDEX(FILTER('RE Portfolio'!B$2:B2000,'RE Portfolio'!D$2:D2000=""BUY""), INT((ROW()-2)/amortYears)+1), )
"),"")</f>
        <v/>
      </c>
      <c r="C1362" s="15" t="str">
        <f>IFERROR(__xludf.DUMMYFUNCTION("IFERROR(INDEX(FILTER('RE Portfolio'!G$2:G2000,'RE Portfolio'!D$2:D2000=""BUY""), INT((ROW()-2)/amortYears)+1), )
"),"")</f>
        <v/>
      </c>
      <c r="D1362" s="15">
        <f>MOD(ROW()-2, amortYears)+1</f>
        <v>31</v>
      </c>
      <c r="E1362" s="15" t="str">
        <f t="shared" si="1"/>
        <v/>
      </c>
      <c r="F1362" s="16">
        <f t="shared" si="2"/>
        <v>0</v>
      </c>
      <c r="G1362" s="15">
        <f>IF(D1362&lt;=mortTerm, -PMT(mortRate/12, mortTerm*12, C1362)*12, 0)
</f>
        <v>0</v>
      </c>
      <c r="H1362" s="15">
        <f>IF(D1362&lt;=mortTerm, G1362 - I1362, 0)
</f>
        <v>0</v>
      </c>
      <c r="I1362" s="15">
        <f>IF(D1362&lt;=mortTerm, F1362 - J1362, 0)
</f>
        <v>0</v>
      </c>
      <c r="J1362" s="15">
        <f>IF(D1362&lt;=mortTerm,
   F1362*(1+mortRate/12)^12 - (-PMT(mortRate/12, mortTerm*12, C1362))*(((1+mortRate/12)^12 - 1)/(mortRate/12)),
   0
)
</f>
        <v>0</v>
      </c>
      <c r="K1362" s="13" t="str">
        <f>IFERROR(__xludf.DUMMYFUNCTION("IF(A1362="""","""",
   IF(F1362&gt;0,
      INDEX(FILTER('RE Portfolio'!L$2:L2000,'RE Portfolio'!D$2:D2000=""BUY""), INT((ROW()-2)/amortYears)+1) - G1362,
      INDEX(FILTER('RE Portfolio'!L$2:L2000,'RE Portfolio'!D$2:D2000=""BUY""), INT((ROW()-2)/amortYears"&amp;")+1)
   )
)
"),"")</f>
        <v/>
      </c>
      <c r="L1362" s="15" t="str">
        <f>IFERROR(__xludf.DUMMYFUNCTION("IF(A1362="""","""",
  INDEX(FILTER('RE Portfolio'!C$2:C2000,'RE Portfolio'!D$2:D2000=""BUY""), INT((ROW()-2)/amortYears)+1)
  * (1 + VALUE(Assumptions!$B$11))^(D1362-1)
)
"),"")</f>
        <v/>
      </c>
    </row>
    <row r="1363">
      <c r="A1363" s="15" t="str">
        <f>IFERROR(__xludf.DUMMYFUNCTION("IFERROR(INDEX(FILTER('RE Portfolio'!A$2:A2000,'RE Portfolio'!D$2:D2000=""BUY""), INT((ROW()-2)/amortYears)+1), )
"),"")</f>
        <v/>
      </c>
      <c r="B1363" s="15" t="str">
        <f>IFERROR(__xludf.DUMMYFUNCTION("IFERROR(INDEX(FILTER('RE Portfolio'!B$2:B2000,'RE Portfolio'!D$2:D2000=""BUY""), INT((ROW()-2)/amortYears)+1), )
"),"")</f>
        <v/>
      </c>
      <c r="C1363" s="15" t="str">
        <f>IFERROR(__xludf.DUMMYFUNCTION("IFERROR(INDEX(FILTER('RE Portfolio'!G$2:G2000,'RE Portfolio'!D$2:D2000=""BUY""), INT((ROW()-2)/amortYears)+1), )
"),"")</f>
        <v/>
      </c>
      <c r="D1363" s="15">
        <f>MOD(ROW()-2, amortYears)+1</f>
        <v>32</v>
      </c>
      <c r="E1363" s="15" t="str">
        <f t="shared" si="1"/>
        <v/>
      </c>
      <c r="F1363" s="15">
        <f t="shared" si="2"/>
        <v>0</v>
      </c>
      <c r="G1363" s="15">
        <f>IF(D1363&lt;=mortTerm, -PMT(mortRate/12, mortTerm*12, C1363)*12, 0)
</f>
        <v>0</v>
      </c>
      <c r="H1363" s="15">
        <f>IF(D1363&lt;=mortTerm, G1363 - I1363, 0)
</f>
        <v>0</v>
      </c>
      <c r="I1363" s="15">
        <f>IF(D1363&lt;=mortTerm, F1363 - J1363, 0)
</f>
        <v>0</v>
      </c>
      <c r="J1363" s="15">
        <f>IF(D1363&lt;=mortTerm,
   F1363*(1+mortRate/12)^12 - (-PMT(mortRate/12, mortTerm*12, C1363))*(((1+mortRate/12)^12 - 1)/(mortRate/12)),
   0
)
</f>
        <v>0</v>
      </c>
      <c r="K1363" s="13" t="str">
        <f>IFERROR(__xludf.DUMMYFUNCTION("IF(A1363="""","""",
   IF(F1363&gt;0,
      INDEX(FILTER('RE Portfolio'!L$2:L2000,'RE Portfolio'!D$2:D2000=""BUY""), INT((ROW()-2)/amortYears)+1) - G1363,
      INDEX(FILTER('RE Portfolio'!L$2:L2000,'RE Portfolio'!D$2:D2000=""BUY""), INT((ROW()-2)/amortYears"&amp;")+1)
   )
)
"),"")</f>
        <v/>
      </c>
      <c r="L1363" s="15" t="str">
        <f>IFERROR(__xludf.DUMMYFUNCTION("IF(A1363="""","""",
  INDEX(FILTER('RE Portfolio'!C$2:C2000,'RE Portfolio'!D$2:D2000=""BUY""), INT((ROW()-2)/amortYears)+1)
  * (1 + VALUE(Assumptions!$B$11))^(D1363-1)
)
"),"")</f>
        <v/>
      </c>
    </row>
    <row r="1364">
      <c r="A1364" s="15" t="str">
        <f>IFERROR(__xludf.DUMMYFUNCTION("IFERROR(INDEX(FILTER('RE Portfolio'!A$2:A2000,'RE Portfolio'!D$2:D2000=""BUY""), INT((ROW()-2)/amortYears)+1), )
"),"")</f>
        <v/>
      </c>
      <c r="B1364" s="15" t="str">
        <f>IFERROR(__xludf.DUMMYFUNCTION("IFERROR(INDEX(FILTER('RE Portfolio'!B$2:B2000,'RE Portfolio'!D$2:D2000=""BUY""), INT((ROW()-2)/amortYears)+1), )
"),"")</f>
        <v/>
      </c>
      <c r="C1364" s="15" t="str">
        <f>IFERROR(__xludf.DUMMYFUNCTION("IFERROR(INDEX(FILTER('RE Portfolio'!G$2:G2000,'RE Portfolio'!D$2:D2000=""BUY""), INT((ROW()-2)/amortYears)+1), )
"),"")</f>
        <v/>
      </c>
      <c r="D1364" s="15">
        <f>MOD(ROW()-2, amortYears)+1</f>
        <v>33</v>
      </c>
      <c r="E1364" s="15" t="str">
        <f t="shared" si="1"/>
        <v/>
      </c>
      <c r="F1364" s="15">
        <f t="shared" si="2"/>
        <v>0</v>
      </c>
      <c r="G1364" s="15">
        <f>IF(D1364&lt;=mortTerm, -PMT(mortRate/12, mortTerm*12, C1364)*12, 0)
</f>
        <v>0</v>
      </c>
      <c r="H1364" s="15">
        <f>IF(D1364&lt;=mortTerm, G1364 - I1364, 0)
</f>
        <v>0</v>
      </c>
      <c r="I1364" s="15">
        <f>IF(D1364&lt;=mortTerm, F1364 - J1364, 0)
</f>
        <v>0</v>
      </c>
      <c r="J1364" s="15">
        <f>IF(D1364&lt;=mortTerm,
   F1364*(1+mortRate/12)^12 - (-PMT(mortRate/12, mortTerm*12, C1364))*(((1+mortRate/12)^12 - 1)/(mortRate/12)),
   0
)
</f>
        <v>0</v>
      </c>
      <c r="K1364" s="13" t="str">
        <f>IFERROR(__xludf.DUMMYFUNCTION("IF(A1364="""","""",
   IF(F1364&gt;0,
      INDEX(FILTER('RE Portfolio'!L$2:L2000,'RE Portfolio'!D$2:D2000=""BUY""), INT((ROW()-2)/amortYears)+1) - G1364,
      INDEX(FILTER('RE Portfolio'!L$2:L2000,'RE Portfolio'!D$2:D2000=""BUY""), INT((ROW()-2)/amortYears"&amp;")+1)
   )
)
"),"")</f>
        <v/>
      </c>
      <c r="L1364" s="15" t="str">
        <f>IFERROR(__xludf.DUMMYFUNCTION("IF(A1364="""","""",
  INDEX(FILTER('RE Portfolio'!C$2:C2000,'RE Portfolio'!D$2:D2000=""BUY""), INT((ROW()-2)/amortYears)+1)
  * (1 + VALUE(Assumptions!$B$11))^(D1364-1)
)
"),"")</f>
        <v/>
      </c>
    </row>
    <row r="1365">
      <c r="A1365" s="15" t="str">
        <f>IFERROR(__xludf.DUMMYFUNCTION("IFERROR(INDEX(FILTER('RE Portfolio'!A$2:A2000,'RE Portfolio'!D$2:D2000=""BUY""), INT((ROW()-2)/amortYears)+1), )
"),"")</f>
        <v/>
      </c>
      <c r="B1365" s="15" t="str">
        <f>IFERROR(__xludf.DUMMYFUNCTION("IFERROR(INDEX(FILTER('RE Portfolio'!B$2:B2000,'RE Portfolio'!D$2:D2000=""BUY""), INT((ROW()-2)/amortYears)+1), )
"),"")</f>
        <v/>
      </c>
      <c r="C1365" s="15" t="str">
        <f>IFERROR(__xludf.DUMMYFUNCTION("IFERROR(INDEX(FILTER('RE Portfolio'!G$2:G2000,'RE Portfolio'!D$2:D2000=""BUY""), INT((ROW()-2)/amortYears)+1), )
"),"")</f>
        <v/>
      </c>
      <c r="D1365" s="15">
        <f>MOD(ROW()-2, amortYears)+1</f>
        <v>34</v>
      </c>
      <c r="E1365" s="15" t="str">
        <f t="shared" si="1"/>
        <v/>
      </c>
      <c r="F1365" s="15">
        <f t="shared" si="2"/>
        <v>0</v>
      </c>
      <c r="G1365" s="15">
        <f>IF(D1365&lt;=mortTerm, -PMT(mortRate/12, mortTerm*12, C1365)*12, 0)
</f>
        <v>0</v>
      </c>
      <c r="H1365" s="15">
        <f>IF(D1365&lt;=mortTerm, G1365 - I1365, 0)
</f>
        <v>0</v>
      </c>
      <c r="I1365" s="15">
        <f>IF(D1365&lt;=mortTerm, F1365 - J1365, 0)
</f>
        <v>0</v>
      </c>
      <c r="J1365" s="15">
        <f>IF(D1365&lt;=mortTerm,
   F1365*(1+mortRate/12)^12 - (-PMT(mortRate/12, mortTerm*12, C1365))*(((1+mortRate/12)^12 - 1)/(mortRate/12)),
   0
)
</f>
        <v>0</v>
      </c>
      <c r="K1365" s="13" t="str">
        <f>IFERROR(__xludf.DUMMYFUNCTION("IF(A1365="""","""",
   IF(F1365&gt;0,
      INDEX(FILTER('RE Portfolio'!L$2:L2000,'RE Portfolio'!D$2:D2000=""BUY""), INT((ROW()-2)/amortYears)+1) - G1365,
      INDEX(FILTER('RE Portfolio'!L$2:L2000,'RE Portfolio'!D$2:D2000=""BUY""), INT((ROW()-2)/amortYears"&amp;")+1)
   )
)
"),"")</f>
        <v/>
      </c>
      <c r="L1365" s="15" t="str">
        <f>IFERROR(__xludf.DUMMYFUNCTION("IF(A1365="""","""",
  INDEX(FILTER('RE Portfolio'!C$2:C2000,'RE Portfolio'!D$2:D2000=""BUY""), INT((ROW()-2)/amortYears)+1)
  * (1 + VALUE(Assumptions!$B$11))^(D1365-1)
)
"),"")</f>
        <v/>
      </c>
    </row>
    <row r="1366">
      <c r="A1366" s="15" t="str">
        <f>IFERROR(__xludf.DUMMYFUNCTION("IFERROR(INDEX(FILTER('RE Portfolio'!A$2:A2000,'RE Portfolio'!D$2:D2000=""BUY""), INT((ROW()-2)/amortYears)+1), )
"),"")</f>
        <v/>
      </c>
      <c r="B1366" s="15" t="str">
        <f>IFERROR(__xludf.DUMMYFUNCTION("IFERROR(INDEX(FILTER('RE Portfolio'!B$2:B2000,'RE Portfolio'!D$2:D2000=""BUY""), INT((ROW()-2)/amortYears)+1), )
"),"")</f>
        <v/>
      </c>
      <c r="C1366" s="15" t="str">
        <f>IFERROR(__xludf.DUMMYFUNCTION("IFERROR(INDEX(FILTER('RE Portfolio'!G$2:G2000,'RE Portfolio'!D$2:D2000=""BUY""), INT((ROW()-2)/amortYears)+1), )
"),"")</f>
        <v/>
      </c>
      <c r="D1366" s="15">
        <f>MOD(ROW()-2, amortYears)+1</f>
        <v>35</v>
      </c>
      <c r="E1366" s="15" t="str">
        <f t="shared" si="1"/>
        <v/>
      </c>
      <c r="F1366" s="15">
        <f t="shared" si="2"/>
        <v>0</v>
      </c>
      <c r="G1366" s="15">
        <f>IF(D1366&lt;=mortTerm, -PMT(mortRate/12, mortTerm*12, C1366)*12, 0)
</f>
        <v>0</v>
      </c>
      <c r="H1366" s="15">
        <f>IF(D1366&lt;=mortTerm, G1366 - I1366, 0)
</f>
        <v>0</v>
      </c>
      <c r="I1366" s="15">
        <f>IF(D1366&lt;=mortTerm, F1366 - J1366, 0)
</f>
        <v>0</v>
      </c>
      <c r="J1366" s="15">
        <f>IF(D1366&lt;=mortTerm,
   F1366*(1+mortRate/12)^12 - (-PMT(mortRate/12, mortTerm*12, C1366))*(((1+mortRate/12)^12 - 1)/(mortRate/12)),
   0
)
</f>
        <v>0</v>
      </c>
      <c r="K1366" s="13" t="str">
        <f>IFERROR(__xludf.DUMMYFUNCTION("IF(A1366="""","""",
   IF(F1366&gt;0,
      INDEX(FILTER('RE Portfolio'!L$2:L2000,'RE Portfolio'!D$2:D2000=""BUY""), INT((ROW()-2)/amortYears)+1) - G1366,
      INDEX(FILTER('RE Portfolio'!L$2:L2000,'RE Portfolio'!D$2:D2000=""BUY""), INT((ROW()-2)/amortYears"&amp;")+1)
   )
)
"),"")</f>
        <v/>
      </c>
      <c r="L1366" s="15" t="str">
        <f>IFERROR(__xludf.DUMMYFUNCTION("IF(A1366="""","""",
  INDEX(FILTER('RE Portfolio'!C$2:C2000,'RE Portfolio'!D$2:D2000=""BUY""), INT((ROW()-2)/amortYears)+1)
  * (1 + VALUE(Assumptions!$B$11))^(D1366-1)
)
"),"")</f>
        <v/>
      </c>
    </row>
    <row r="1367">
      <c r="A1367" s="15" t="str">
        <f>IFERROR(__xludf.DUMMYFUNCTION("IFERROR(INDEX(FILTER('RE Portfolio'!A$2:A2000,'RE Portfolio'!D$2:D2000=""BUY""), INT((ROW()-2)/amortYears)+1), )
"),"")</f>
        <v/>
      </c>
      <c r="B1367" s="15" t="str">
        <f>IFERROR(__xludf.DUMMYFUNCTION("IFERROR(INDEX(FILTER('RE Portfolio'!B$2:B2000,'RE Portfolio'!D$2:D2000=""BUY""), INT((ROW()-2)/amortYears)+1), )
"),"")</f>
        <v/>
      </c>
      <c r="C1367" s="15" t="str">
        <f>IFERROR(__xludf.DUMMYFUNCTION("IFERROR(INDEX(FILTER('RE Portfolio'!G$2:G2000,'RE Portfolio'!D$2:D2000=""BUY""), INT((ROW()-2)/amortYears)+1), )
"),"")</f>
        <v/>
      </c>
      <c r="D1367" s="15">
        <f>MOD(ROW()-2, amortYears)+1</f>
        <v>36</v>
      </c>
      <c r="E1367" s="15" t="str">
        <f t="shared" si="1"/>
        <v/>
      </c>
      <c r="F1367" s="15">
        <f t="shared" si="2"/>
        <v>0</v>
      </c>
      <c r="G1367" s="15">
        <f>IF(D1367&lt;=mortTerm, -PMT(mortRate/12, mortTerm*12, C1367)*12, 0)
</f>
        <v>0</v>
      </c>
      <c r="H1367" s="15">
        <f>IF(D1367&lt;=mortTerm, G1367 - I1367, 0)
</f>
        <v>0</v>
      </c>
      <c r="I1367" s="15">
        <f>IF(D1367&lt;=mortTerm, F1367 - J1367, 0)
</f>
        <v>0</v>
      </c>
      <c r="J1367" s="15">
        <f>IF(D1367&lt;=mortTerm,
   F1367*(1+mortRate/12)^12 - (-PMT(mortRate/12, mortTerm*12, C1367))*(((1+mortRate/12)^12 - 1)/(mortRate/12)),
   0
)
</f>
        <v>0</v>
      </c>
      <c r="K1367" s="13" t="str">
        <f>IFERROR(__xludf.DUMMYFUNCTION("IF(A1367="""","""",
   IF(F1367&gt;0,
      INDEX(FILTER('RE Portfolio'!L$2:L2000,'RE Portfolio'!D$2:D2000=""BUY""), INT((ROW()-2)/amortYears)+1) - G1367,
      INDEX(FILTER('RE Portfolio'!L$2:L2000,'RE Portfolio'!D$2:D2000=""BUY""), INT((ROW()-2)/amortYears"&amp;")+1)
   )
)
"),"")</f>
        <v/>
      </c>
      <c r="L1367" s="15" t="str">
        <f>IFERROR(__xludf.DUMMYFUNCTION("IF(A1367="""","""",
  INDEX(FILTER('RE Portfolio'!C$2:C2000,'RE Portfolio'!D$2:D2000=""BUY""), INT((ROW()-2)/amortYears)+1)
  * (1 + VALUE(Assumptions!$B$11))^(D1367-1)
)
"),"")</f>
        <v/>
      </c>
    </row>
    <row r="1368">
      <c r="A1368" s="15" t="str">
        <f>IFERROR(__xludf.DUMMYFUNCTION("IFERROR(INDEX(FILTER('RE Portfolio'!A$2:A2000,'RE Portfolio'!D$2:D2000=""BUY""), INT((ROW()-2)/amortYears)+1), )
"),"")</f>
        <v/>
      </c>
      <c r="B1368" s="15" t="str">
        <f>IFERROR(__xludf.DUMMYFUNCTION("IFERROR(INDEX(FILTER('RE Portfolio'!B$2:B2000,'RE Portfolio'!D$2:D2000=""BUY""), INT((ROW()-2)/amortYears)+1), )
"),"")</f>
        <v/>
      </c>
      <c r="C1368" s="15" t="str">
        <f>IFERROR(__xludf.DUMMYFUNCTION("IFERROR(INDEX(FILTER('RE Portfolio'!G$2:G2000,'RE Portfolio'!D$2:D2000=""BUY""), INT((ROW()-2)/amortYears)+1), )
"),"")</f>
        <v/>
      </c>
      <c r="D1368" s="15">
        <f>MOD(ROW()-2, amortYears)+1</f>
        <v>37</v>
      </c>
      <c r="E1368" s="15" t="str">
        <f t="shared" si="1"/>
        <v/>
      </c>
      <c r="F1368" s="15">
        <f t="shared" si="2"/>
        <v>0</v>
      </c>
      <c r="G1368" s="15">
        <f>IF(D1368&lt;=mortTerm, -PMT(mortRate/12, mortTerm*12, C1368)*12, 0)
</f>
        <v>0</v>
      </c>
      <c r="H1368" s="15">
        <f>IF(D1368&lt;=mortTerm, G1368 - I1368, 0)
</f>
        <v>0</v>
      </c>
      <c r="I1368" s="15">
        <f>IF(D1368&lt;=mortTerm, F1368 - J1368, 0)
</f>
        <v>0</v>
      </c>
      <c r="J1368" s="15">
        <f>IF(D1368&lt;=mortTerm,
   F1368*(1+mortRate/12)^12 - (-PMT(mortRate/12, mortTerm*12, C1368))*(((1+mortRate/12)^12 - 1)/(mortRate/12)),
   0
)
</f>
        <v>0</v>
      </c>
      <c r="K1368" s="13" t="str">
        <f>IFERROR(__xludf.DUMMYFUNCTION("IF(A1368="""","""",
   IF(F1368&gt;0,
      INDEX(FILTER('RE Portfolio'!L$2:L2000,'RE Portfolio'!D$2:D2000=""BUY""), INT((ROW()-2)/amortYears)+1) - G1368,
      INDEX(FILTER('RE Portfolio'!L$2:L2000,'RE Portfolio'!D$2:D2000=""BUY""), INT((ROW()-2)/amortYears"&amp;")+1)
   )
)
"),"")</f>
        <v/>
      </c>
      <c r="L1368" s="15" t="str">
        <f>IFERROR(__xludf.DUMMYFUNCTION("IF(A1368="""","""",
  INDEX(FILTER('RE Portfolio'!C$2:C2000,'RE Portfolio'!D$2:D2000=""BUY""), INT((ROW()-2)/amortYears)+1)
  * (1 + VALUE(Assumptions!$B$11))^(D1368-1)
)
"),"")</f>
        <v/>
      </c>
    </row>
    <row r="1369">
      <c r="A1369" s="15" t="str">
        <f>IFERROR(__xludf.DUMMYFUNCTION("IFERROR(INDEX(FILTER('RE Portfolio'!A$2:A2000,'RE Portfolio'!D$2:D2000=""BUY""), INT((ROW()-2)/amortYears)+1), )
"),"")</f>
        <v/>
      </c>
      <c r="B1369" s="15" t="str">
        <f>IFERROR(__xludf.DUMMYFUNCTION("IFERROR(INDEX(FILTER('RE Portfolio'!B$2:B2000,'RE Portfolio'!D$2:D2000=""BUY""), INT((ROW()-2)/amortYears)+1), )
"),"")</f>
        <v/>
      </c>
      <c r="C1369" s="15" t="str">
        <f>IFERROR(__xludf.DUMMYFUNCTION("IFERROR(INDEX(FILTER('RE Portfolio'!G$2:G2000,'RE Portfolio'!D$2:D2000=""BUY""), INT((ROW()-2)/amortYears)+1), )
"),"")</f>
        <v/>
      </c>
      <c r="D1369" s="15">
        <f>MOD(ROW()-2, amortYears)+1</f>
        <v>38</v>
      </c>
      <c r="E1369" s="15" t="str">
        <f t="shared" si="1"/>
        <v/>
      </c>
      <c r="F1369" s="15">
        <f t="shared" si="2"/>
        <v>0</v>
      </c>
      <c r="G1369" s="15">
        <f>IF(D1369&lt;=mortTerm, -PMT(mortRate/12, mortTerm*12, C1369)*12, 0)
</f>
        <v>0</v>
      </c>
      <c r="H1369" s="15">
        <f>IF(D1369&lt;=mortTerm, G1369 - I1369, 0)
</f>
        <v>0</v>
      </c>
      <c r="I1369" s="15">
        <f>IF(D1369&lt;=mortTerm, F1369 - J1369, 0)
</f>
        <v>0</v>
      </c>
      <c r="J1369" s="15">
        <f>IF(D1369&lt;=mortTerm,
   F1369*(1+mortRate/12)^12 - (-PMT(mortRate/12, mortTerm*12, C1369))*(((1+mortRate/12)^12 - 1)/(mortRate/12)),
   0
)
</f>
        <v>0</v>
      </c>
      <c r="K1369" s="13" t="str">
        <f>IFERROR(__xludf.DUMMYFUNCTION("IF(A1369="""","""",
   IF(F1369&gt;0,
      INDEX(FILTER('RE Portfolio'!L$2:L2000,'RE Portfolio'!D$2:D2000=""BUY""), INT((ROW()-2)/amortYears)+1) - G1369,
      INDEX(FILTER('RE Portfolio'!L$2:L2000,'RE Portfolio'!D$2:D2000=""BUY""), INT((ROW()-2)/amortYears"&amp;")+1)
   )
)
"),"")</f>
        <v/>
      </c>
      <c r="L1369" s="15" t="str">
        <f>IFERROR(__xludf.DUMMYFUNCTION("IF(A1369="""","""",
  INDEX(FILTER('RE Portfolio'!C$2:C2000,'RE Portfolio'!D$2:D2000=""BUY""), INT((ROW()-2)/amortYears)+1)
  * (1 + VALUE(Assumptions!$B$11))^(D1369-1)
)
"),"")</f>
        <v/>
      </c>
    </row>
    <row r="1370">
      <c r="A1370" s="15" t="str">
        <f>IFERROR(__xludf.DUMMYFUNCTION("IFERROR(INDEX(FILTER('RE Portfolio'!A$2:A2000,'RE Portfolio'!D$2:D2000=""BUY""), INT((ROW()-2)/amortYears)+1), )
"),"")</f>
        <v/>
      </c>
      <c r="B1370" s="15" t="str">
        <f>IFERROR(__xludf.DUMMYFUNCTION("IFERROR(INDEX(FILTER('RE Portfolio'!B$2:B2000,'RE Portfolio'!D$2:D2000=""BUY""), INT((ROW()-2)/amortYears)+1), )
"),"")</f>
        <v/>
      </c>
      <c r="C1370" s="15" t="str">
        <f>IFERROR(__xludf.DUMMYFUNCTION("IFERROR(INDEX(FILTER('RE Portfolio'!G$2:G2000,'RE Portfolio'!D$2:D2000=""BUY""), INT((ROW()-2)/amortYears)+1), )
"),"")</f>
        <v/>
      </c>
      <c r="D1370" s="15">
        <f>MOD(ROW()-2, amortYears)+1</f>
        <v>1</v>
      </c>
      <c r="E1370" s="15" t="str">
        <f t="shared" si="1"/>
        <v/>
      </c>
      <c r="F1370" s="15" t="str">
        <f t="shared" si="2"/>
        <v/>
      </c>
      <c r="G1370" s="16">
        <f>IF(D1370&lt;=mortTerm, -PMT(mortRate/12, mortTerm*12, C1370)*12, 0)
</f>
        <v>0</v>
      </c>
      <c r="H1370" s="16">
        <f>IF(D1370&lt;=mortTerm, G1370 - I1370, 0)
</f>
        <v>0</v>
      </c>
      <c r="I1370" s="16">
        <f>IF(D1370&lt;=mortTerm, F1370 - J1370, 0)
</f>
        <v>0</v>
      </c>
      <c r="J1370" s="16">
        <f>IF(D1370&lt;=mortTerm,
   F1370*(1+mortRate/12)^12 - (-PMT(mortRate/12, mortTerm*12, C1370))*(((1+mortRate/12)^12 - 1)/(mortRate/12)),
   0
)
</f>
        <v>0</v>
      </c>
      <c r="K1370" s="13" t="str">
        <f>IFERROR(__xludf.DUMMYFUNCTION("IF(A1370="""","""",
   IF(F1370&gt;0,
      INDEX(FILTER('RE Portfolio'!L$2:L2000,'RE Portfolio'!D$2:D2000=""BUY""), INT((ROW()-2)/amortYears)+1) - G1370,
      INDEX(FILTER('RE Portfolio'!L$2:L2000,'RE Portfolio'!D$2:D2000=""BUY""), INT((ROW()-2)/amortYears"&amp;")+1)
   )
)
"),"")</f>
        <v/>
      </c>
      <c r="L1370" s="15" t="str">
        <f>IFERROR(__xludf.DUMMYFUNCTION("IF(A1370="""","""",
  INDEX(FILTER('RE Portfolio'!C$2:C2000,'RE Portfolio'!D$2:D2000=""BUY""), INT((ROW()-2)/amortYears)+1)
  * (1 + VALUE(Assumptions!$B$11))^(D1370-1)
)
"),"")</f>
        <v/>
      </c>
    </row>
    <row r="1371">
      <c r="A1371" s="15" t="str">
        <f>IFERROR(__xludf.DUMMYFUNCTION("IFERROR(INDEX(FILTER('RE Portfolio'!A$2:A2000,'RE Portfolio'!D$2:D2000=""BUY""), INT((ROW()-2)/amortYears)+1), )
"),"")</f>
        <v/>
      </c>
      <c r="B1371" s="15" t="str">
        <f>IFERROR(__xludf.DUMMYFUNCTION("IFERROR(INDEX(FILTER('RE Portfolio'!B$2:B2000,'RE Portfolio'!D$2:D2000=""BUY""), INT((ROW()-2)/amortYears)+1), )
"),"")</f>
        <v/>
      </c>
      <c r="C1371" s="15" t="str">
        <f>IFERROR(__xludf.DUMMYFUNCTION("IFERROR(INDEX(FILTER('RE Portfolio'!G$2:G2000,'RE Portfolio'!D$2:D2000=""BUY""), INT((ROW()-2)/amortYears)+1), )
"),"")</f>
        <v/>
      </c>
      <c r="D1371" s="15">
        <f>MOD(ROW()-2, amortYears)+1</f>
        <v>2</v>
      </c>
      <c r="E1371" s="15" t="str">
        <f t="shared" si="1"/>
        <v/>
      </c>
      <c r="F1371" s="16">
        <f t="shared" si="2"/>
        <v>0</v>
      </c>
      <c r="G1371" s="16">
        <f>IF(D1371&lt;=mortTerm, -PMT(mortRate/12, mortTerm*12, C1371)*12, 0)
</f>
        <v>0</v>
      </c>
      <c r="H1371" s="16">
        <f>IF(D1371&lt;=mortTerm, G1371 - I1371, 0)
</f>
        <v>0</v>
      </c>
      <c r="I1371" s="16">
        <f>IF(D1371&lt;=mortTerm, F1371 - J1371, 0)
</f>
        <v>0</v>
      </c>
      <c r="J1371" s="16">
        <f>IF(D1371&lt;=mortTerm,
   F1371*(1+mortRate/12)^12 - (-PMT(mortRate/12, mortTerm*12, C1371))*(((1+mortRate/12)^12 - 1)/(mortRate/12)),
   0
)
</f>
        <v>0</v>
      </c>
      <c r="K1371" s="13" t="str">
        <f>IFERROR(__xludf.DUMMYFUNCTION("IF(A1371="""","""",
   IF(F1371&gt;0,
      INDEX(FILTER('RE Portfolio'!L$2:L2000,'RE Portfolio'!D$2:D2000=""BUY""), INT((ROW()-2)/amortYears)+1) - G1371,
      INDEX(FILTER('RE Portfolio'!L$2:L2000,'RE Portfolio'!D$2:D2000=""BUY""), INT((ROW()-2)/amortYears"&amp;")+1)
   )
)
"),"")</f>
        <v/>
      </c>
      <c r="L1371" s="15" t="str">
        <f>IFERROR(__xludf.DUMMYFUNCTION("IF(A1371="""","""",
  INDEX(FILTER('RE Portfolio'!C$2:C2000,'RE Portfolio'!D$2:D2000=""BUY""), INT((ROW()-2)/amortYears)+1)
  * (1 + VALUE(Assumptions!$B$11))^(D1371-1)
)
"),"")</f>
        <v/>
      </c>
    </row>
    <row r="1372">
      <c r="A1372" s="15" t="str">
        <f>IFERROR(__xludf.DUMMYFUNCTION("IFERROR(INDEX(FILTER('RE Portfolio'!A$2:A2000,'RE Portfolio'!D$2:D2000=""BUY""), INT((ROW()-2)/amortYears)+1), )
"),"")</f>
        <v/>
      </c>
      <c r="B1372" s="15" t="str">
        <f>IFERROR(__xludf.DUMMYFUNCTION("IFERROR(INDEX(FILTER('RE Portfolio'!B$2:B2000,'RE Portfolio'!D$2:D2000=""BUY""), INT((ROW()-2)/amortYears)+1), )
"),"")</f>
        <v/>
      </c>
      <c r="C1372" s="15" t="str">
        <f>IFERROR(__xludf.DUMMYFUNCTION("IFERROR(INDEX(FILTER('RE Portfolio'!G$2:G2000,'RE Portfolio'!D$2:D2000=""BUY""), INT((ROW()-2)/amortYears)+1), )
"),"")</f>
        <v/>
      </c>
      <c r="D1372" s="15">
        <f>MOD(ROW()-2, amortYears)+1</f>
        <v>3</v>
      </c>
      <c r="E1372" s="15" t="str">
        <f t="shared" si="1"/>
        <v/>
      </c>
      <c r="F1372" s="16">
        <f t="shared" si="2"/>
        <v>0</v>
      </c>
      <c r="G1372" s="16">
        <f>IF(D1372&lt;=mortTerm, -PMT(mortRate/12, mortTerm*12, C1372)*12, 0)
</f>
        <v>0</v>
      </c>
      <c r="H1372" s="16">
        <f>IF(D1372&lt;=mortTerm, G1372 - I1372, 0)
</f>
        <v>0</v>
      </c>
      <c r="I1372" s="16">
        <f>IF(D1372&lt;=mortTerm, F1372 - J1372, 0)
</f>
        <v>0</v>
      </c>
      <c r="J1372" s="16">
        <f>IF(D1372&lt;=mortTerm,
   F1372*(1+mortRate/12)^12 - (-PMT(mortRate/12, mortTerm*12, C1372))*(((1+mortRate/12)^12 - 1)/(mortRate/12)),
   0
)
</f>
        <v>0</v>
      </c>
      <c r="K1372" s="13" t="str">
        <f>IFERROR(__xludf.DUMMYFUNCTION("IF(A1372="""","""",
   IF(F1372&gt;0,
      INDEX(FILTER('RE Portfolio'!L$2:L2000,'RE Portfolio'!D$2:D2000=""BUY""), INT((ROW()-2)/amortYears)+1) - G1372,
      INDEX(FILTER('RE Portfolio'!L$2:L2000,'RE Portfolio'!D$2:D2000=""BUY""), INT((ROW()-2)/amortYears"&amp;")+1)
   )
)
"),"")</f>
        <v/>
      </c>
      <c r="L1372" s="15" t="str">
        <f>IFERROR(__xludf.DUMMYFUNCTION("IF(A1372="""","""",
  INDEX(FILTER('RE Portfolio'!C$2:C2000,'RE Portfolio'!D$2:D2000=""BUY""), INT((ROW()-2)/amortYears)+1)
  * (1 + VALUE(Assumptions!$B$11))^(D1372-1)
)
"),"")</f>
        <v/>
      </c>
    </row>
    <row r="1373">
      <c r="A1373" s="15" t="str">
        <f>IFERROR(__xludf.DUMMYFUNCTION("IFERROR(INDEX(FILTER('RE Portfolio'!A$2:A2000,'RE Portfolio'!D$2:D2000=""BUY""), INT((ROW()-2)/amortYears)+1), )
"),"")</f>
        <v/>
      </c>
      <c r="B1373" s="15" t="str">
        <f>IFERROR(__xludf.DUMMYFUNCTION("IFERROR(INDEX(FILTER('RE Portfolio'!B$2:B2000,'RE Portfolio'!D$2:D2000=""BUY""), INT((ROW()-2)/amortYears)+1), )
"),"")</f>
        <v/>
      </c>
      <c r="C1373" s="15" t="str">
        <f>IFERROR(__xludf.DUMMYFUNCTION("IFERROR(INDEX(FILTER('RE Portfolio'!G$2:G2000,'RE Portfolio'!D$2:D2000=""BUY""), INT((ROW()-2)/amortYears)+1), )
"),"")</f>
        <v/>
      </c>
      <c r="D1373" s="15">
        <f>MOD(ROW()-2, amortYears)+1</f>
        <v>4</v>
      </c>
      <c r="E1373" s="15" t="str">
        <f t="shared" si="1"/>
        <v/>
      </c>
      <c r="F1373" s="16">
        <f t="shared" si="2"/>
        <v>0</v>
      </c>
      <c r="G1373" s="16">
        <f>IF(D1373&lt;=mortTerm, -PMT(mortRate/12, mortTerm*12, C1373)*12, 0)
</f>
        <v>0</v>
      </c>
      <c r="H1373" s="16">
        <f>IF(D1373&lt;=mortTerm, G1373 - I1373, 0)
</f>
        <v>0</v>
      </c>
      <c r="I1373" s="16">
        <f>IF(D1373&lt;=mortTerm, F1373 - J1373, 0)
</f>
        <v>0</v>
      </c>
      <c r="J1373" s="16">
        <f>IF(D1373&lt;=mortTerm,
   F1373*(1+mortRate/12)^12 - (-PMT(mortRate/12, mortTerm*12, C1373))*(((1+mortRate/12)^12 - 1)/(mortRate/12)),
   0
)
</f>
        <v>0</v>
      </c>
      <c r="K1373" s="13" t="str">
        <f>IFERROR(__xludf.DUMMYFUNCTION("IF(A1373="""","""",
   IF(F1373&gt;0,
      INDEX(FILTER('RE Portfolio'!L$2:L2000,'RE Portfolio'!D$2:D2000=""BUY""), INT((ROW()-2)/amortYears)+1) - G1373,
      INDEX(FILTER('RE Portfolio'!L$2:L2000,'RE Portfolio'!D$2:D2000=""BUY""), INT((ROW()-2)/amortYears"&amp;")+1)
   )
)
"),"")</f>
        <v/>
      </c>
      <c r="L1373" s="15" t="str">
        <f>IFERROR(__xludf.DUMMYFUNCTION("IF(A1373="""","""",
  INDEX(FILTER('RE Portfolio'!C$2:C2000,'RE Portfolio'!D$2:D2000=""BUY""), INT((ROW()-2)/amortYears)+1)
  * (1 + VALUE(Assumptions!$B$11))^(D1373-1)
)
"),"")</f>
        <v/>
      </c>
    </row>
    <row r="1374">
      <c r="A1374" s="15" t="str">
        <f>IFERROR(__xludf.DUMMYFUNCTION("IFERROR(INDEX(FILTER('RE Portfolio'!A$2:A2000,'RE Portfolio'!D$2:D2000=""BUY""), INT((ROW()-2)/amortYears)+1), )
"),"")</f>
        <v/>
      </c>
      <c r="B1374" s="15" t="str">
        <f>IFERROR(__xludf.DUMMYFUNCTION("IFERROR(INDEX(FILTER('RE Portfolio'!B$2:B2000,'RE Portfolio'!D$2:D2000=""BUY""), INT((ROW()-2)/amortYears)+1), )
"),"")</f>
        <v/>
      </c>
      <c r="C1374" s="15" t="str">
        <f>IFERROR(__xludf.DUMMYFUNCTION("IFERROR(INDEX(FILTER('RE Portfolio'!G$2:G2000,'RE Portfolio'!D$2:D2000=""BUY""), INT((ROW()-2)/amortYears)+1), )
"),"")</f>
        <v/>
      </c>
      <c r="D1374" s="15">
        <f>MOD(ROW()-2, amortYears)+1</f>
        <v>5</v>
      </c>
      <c r="E1374" s="15" t="str">
        <f t="shared" si="1"/>
        <v/>
      </c>
      <c r="F1374" s="16">
        <f t="shared" si="2"/>
        <v>0</v>
      </c>
      <c r="G1374" s="16">
        <f>IF(D1374&lt;=mortTerm, -PMT(mortRate/12, mortTerm*12, C1374)*12, 0)
</f>
        <v>0</v>
      </c>
      <c r="H1374" s="16">
        <f>IF(D1374&lt;=mortTerm, G1374 - I1374, 0)
</f>
        <v>0</v>
      </c>
      <c r="I1374" s="16">
        <f>IF(D1374&lt;=mortTerm, F1374 - J1374, 0)
</f>
        <v>0</v>
      </c>
      <c r="J1374" s="16">
        <f>IF(D1374&lt;=mortTerm,
   F1374*(1+mortRate/12)^12 - (-PMT(mortRate/12, mortTerm*12, C1374))*(((1+mortRate/12)^12 - 1)/(mortRate/12)),
   0
)
</f>
        <v>0</v>
      </c>
      <c r="K1374" s="13" t="str">
        <f>IFERROR(__xludf.DUMMYFUNCTION("IF(A1374="""","""",
   IF(F1374&gt;0,
      INDEX(FILTER('RE Portfolio'!L$2:L2000,'RE Portfolio'!D$2:D2000=""BUY""), INT((ROW()-2)/amortYears)+1) - G1374,
      INDEX(FILTER('RE Portfolio'!L$2:L2000,'RE Portfolio'!D$2:D2000=""BUY""), INT((ROW()-2)/amortYears"&amp;")+1)
   )
)
"),"")</f>
        <v/>
      </c>
      <c r="L1374" s="15" t="str">
        <f>IFERROR(__xludf.DUMMYFUNCTION("IF(A1374="""","""",
  INDEX(FILTER('RE Portfolio'!C$2:C2000,'RE Portfolio'!D$2:D2000=""BUY""), INT((ROW()-2)/amortYears)+1)
  * (1 + VALUE(Assumptions!$B$11))^(D1374-1)
)
"),"")</f>
        <v/>
      </c>
    </row>
    <row r="1375">
      <c r="A1375" s="15" t="str">
        <f>IFERROR(__xludf.DUMMYFUNCTION("IFERROR(INDEX(FILTER('RE Portfolio'!A$2:A2000,'RE Portfolio'!D$2:D2000=""BUY""), INT((ROW()-2)/amortYears)+1), )
"),"")</f>
        <v/>
      </c>
      <c r="B1375" s="15" t="str">
        <f>IFERROR(__xludf.DUMMYFUNCTION("IFERROR(INDEX(FILTER('RE Portfolio'!B$2:B2000,'RE Portfolio'!D$2:D2000=""BUY""), INT((ROW()-2)/amortYears)+1), )
"),"")</f>
        <v/>
      </c>
      <c r="C1375" s="15" t="str">
        <f>IFERROR(__xludf.DUMMYFUNCTION("IFERROR(INDEX(FILTER('RE Portfolio'!G$2:G2000,'RE Portfolio'!D$2:D2000=""BUY""), INT((ROW()-2)/amortYears)+1), )
"),"")</f>
        <v/>
      </c>
      <c r="D1375" s="15">
        <f>MOD(ROW()-2, amortYears)+1</f>
        <v>6</v>
      </c>
      <c r="E1375" s="15" t="str">
        <f t="shared" si="1"/>
        <v/>
      </c>
      <c r="F1375" s="16">
        <f t="shared" si="2"/>
        <v>0</v>
      </c>
      <c r="G1375" s="16">
        <f>IF(D1375&lt;=mortTerm, -PMT(mortRate/12, mortTerm*12, C1375)*12, 0)
</f>
        <v>0</v>
      </c>
      <c r="H1375" s="16">
        <f>IF(D1375&lt;=mortTerm, G1375 - I1375, 0)
</f>
        <v>0</v>
      </c>
      <c r="I1375" s="16">
        <f>IF(D1375&lt;=mortTerm, F1375 - J1375, 0)
</f>
        <v>0</v>
      </c>
      <c r="J1375" s="16">
        <f>IF(D1375&lt;=mortTerm,
   F1375*(1+mortRate/12)^12 - (-PMT(mortRate/12, mortTerm*12, C1375))*(((1+mortRate/12)^12 - 1)/(mortRate/12)),
   0
)
</f>
        <v>0</v>
      </c>
      <c r="K1375" s="13" t="str">
        <f>IFERROR(__xludf.DUMMYFUNCTION("IF(A1375="""","""",
   IF(F1375&gt;0,
      INDEX(FILTER('RE Portfolio'!L$2:L2000,'RE Portfolio'!D$2:D2000=""BUY""), INT((ROW()-2)/amortYears)+1) - G1375,
      INDEX(FILTER('RE Portfolio'!L$2:L2000,'RE Portfolio'!D$2:D2000=""BUY""), INT((ROW()-2)/amortYears"&amp;")+1)
   )
)
"),"")</f>
        <v/>
      </c>
      <c r="L1375" s="15" t="str">
        <f>IFERROR(__xludf.DUMMYFUNCTION("IF(A1375="""","""",
  INDEX(FILTER('RE Portfolio'!C$2:C2000,'RE Portfolio'!D$2:D2000=""BUY""), INT((ROW()-2)/amortYears)+1)
  * (1 + VALUE(Assumptions!$B$11))^(D1375-1)
)
"),"")</f>
        <v/>
      </c>
    </row>
    <row r="1376">
      <c r="A1376" s="15" t="str">
        <f>IFERROR(__xludf.DUMMYFUNCTION("IFERROR(INDEX(FILTER('RE Portfolio'!A$2:A2000,'RE Portfolio'!D$2:D2000=""BUY""), INT((ROW()-2)/amortYears)+1), )
"),"")</f>
        <v/>
      </c>
      <c r="B1376" s="15" t="str">
        <f>IFERROR(__xludf.DUMMYFUNCTION("IFERROR(INDEX(FILTER('RE Portfolio'!B$2:B2000,'RE Portfolio'!D$2:D2000=""BUY""), INT((ROW()-2)/amortYears)+1), )
"),"")</f>
        <v/>
      </c>
      <c r="C1376" s="15" t="str">
        <f>IFERROR(__xludf.DUMMYFUNCTION("IFERROR(INDEX(FILTER('RE Portfolio'!G$2:G2000,'RE Portfolio'!D$2:D2000=""BUY""), INT((ROW()-2)/amortYears)+1), )
"),"")</f>
        <v/>
      </c>
      <c r="D1376" s="15">
        <f>MOD(ROW()-2, amortYears)+1</f>
        <v>7</v>
      </c>
      <c r="E1376" s="15" t="str">
        <f t="shared" si="1"/>
        <v/>
      </c>
      <c r="F1376" s="16">
        <f t="shared" si="2"/>
        <v>0</v>
      </c>
      <c r="G1376" s="16">
        <f>IF(D1376&lt;=mortTerm, -PMT(mortRate/12, mortTerm*12, C1376)*12, 0)
</f>
        <v>0</v>
      </c>
      <c r="H1376" s="16">
        <f>IF(D1376&lt;=mortTerm, G1376 - I1376, 0)
</f>
        <v>0</v>
      </c>
      <c r="I1376" s="16">
        <f>IF(D1376&lt;=mortTerm, F1376 - J1376, 0)
</f>
        <v>0</v>
      </c>
      <c r="J1376" s="16">
        <f>IF(D1376&lt;=mortTerm,
   F1376*(1+mortRate/12)^12 - (-PMT(mortRate/12, mortTerm*12, C1376))*(((1+mortRate/12)^12 - 1)/(mortRate/12)),
   0
)
</f>
        <v>0</v>
      </c>
      <c r="K1376" s="13" t="str">
        <f>IFERROR(__xludf.DUMMYFUNCTION("IF(A1376="""","""",
   IF(F1376&gt;0,
      INDEX(FILTER('RE Portfolio'!L$2:L2000,'RE Portfolio'!D$2:D2000=""BUY""), INT((ROW()-2)/amortYears)+1) - G1376,
      INDEX(FILTER('RE Portfolio'!L$2:L2000,'RE Portfolio'!D$2:D2000=""BUY""), INT((ROW()-2)/amortYears"&amp;")+1)
   )
)
"),"")</f>
        <v/>
      </c>
      <c r="L1376" s="15" t="str">
        <f>IFERROR(__xludf.DUMMYFUNCTION("IF(A1376="""","""",
  INDEX(FILTER('RE Portfolio'!C$2:C2000,'RE Portfolio'!D$2:D2000=""BUY""), INT((ROW()-2)/amortYears)+1)
  * (1 + VALUE(Assumptions!$B$11))^(D1376-1)
)
"),"")</f>
        <v/>
      </c>
    </row>
    <row r="1377">
      <c r="A1377" s="15" t="str">
        <f>IFERROR(__xludf.DUMMYFUNCTION("IFERROR(INDEX(FILTER('RE Portfolio'!A$2:A2000,'RE Portfolio'!D$2:D2000=""BUY""), INT((ROW()-2)/amortYears)+1), )
"),"")</f>
        <v/>
      </c>
      <c r="B1377" s="15" t="str">
        <f>IFERROR(__xludf.DUMMYFUNCTION("IFERROR(INDEX(FILTER('RE Portfolio'!B$2:B2000,'RE Portfolio'!D$2:D2000=""BUY""), INT((ROW()-2)/amortYears)+1), )
"),"")</f>
        <v/>
      </c>
      <c r="C1377" s="15" t="str">
        <f>IFERROR(__xludf.DUMMYFUNCTION("IFERROR(INDEX(FILTER('RE Portfolio'!G$2:G2000,'RE Portfolio'!D$2:D2000=""BUY""), INT((ROW()-2)/amortYears)+1), )
"),"")</f>
        <v/>
      </c>
      <c r="D1377" s="15">
        <f>MOD(ROW()-2, amortYears)+1</f>
        <v>8</v>
      </c>
      <c r="E1377" s="15" t="str">
        <f t="shared" si="1"/>
        <v/>
      </c>
      <c r="F1377" s="16">
        <f t="shared" si="2"/>
        <v>0</v>
      </c>
      <c r="G1377" s="16">
        <f>IF(D1377&lt;=mortTerm, -PMT(mortRate/12, mortTerm*12, C1377)*12, 0)
</f>
        <v>0</v>
      </c>
      <c r="H1377" s="16">
        <f>IF(D1377&lt;=mortTerm, G1377 - I1377, 0)
</f>
        <v>0</v>
      </c>
      <c r="I1377" s="16">
        <f>IF(D1377&lt;=mortTerm, F1377 - J1377, 0)
</f>
        <v>0</v>
      </c>
      <c r="J1377" s="16">
        <f>IF(D1377&lt;=mortTerm,
   F1377*(1+mortRate/12)^12 - (-PMT(mortRate/12, mortTerm*12, C1377))*(((1+mortRate/12)^12 - 1)/(mortRate/12)),
   0
)
</f>
        <v>0</v>
      </c>
      <c r="K1377" s="13" t="str">
        <f>IFERROR(__xludf.DUMMYFUNCTION("IF(A1377="""","""",
   IF(F1377&gt;0,
      INDEX(FILTER('RE Portfolio'!L$2:L2000,'RE Portfolio'!D$2:D2000=""BUY""), INT((ROW()-2)/amortYears)+1) - G1377,
      INDEX(FILTER('RE Portfolio'!L$2:L2000,'RE Portfolio'!D$2:D2000=""BUY""), INT((ROW()-2)/amortYears"&amp;")+1)
   )
)
"),"")</f>
        <v/>
      </c>
      <c r="L1377" s="15" t="str">
        <f>IFERROR(__xludf.DUMMYFUNCTION("IF(A1377="""","""",
  INDEX(FILTER('RE Portfolio'!C$2:C2000,'RE Portfolio'!D$2:D2000=""BUY""), INT((ROW()-2)/amortYears)+1)
  * (1 + VALUE(Assumptions!$B$11))^(D1377-1)
)
"),"")</f>
        <v/>
      </c>
    </row>
    <row r="1378">
      <c r="A1378" s="15" t="str">
        <f>IFERROR(__xludf.DUMMYFUNCTION("IFERROR(INDEX(FILTER('RE Portfolio'!A$2:A2000,'RE Portfolio'!D$2:D2000=""BUY""), INT((ROW()-2)/amortYears)+1), )
"),"")</f>
        <v/>
      </c>
      <c r="B1378" s="15" t="str">
        <f>IFERROR(__xludf.DUMMYFUNCTION("IFERROR(INDEX(FILTER('RE Portfolio'!B$2:B2000,'RE Portfolio'!D$2:D2000=""BUY""), INT((ROW()-2)/amortYears)+1), )
"),"")</f>
        <v/>
      </c>
      <c r="C1378" s="15" t="str">
        <f>IFERROR(__xludf.DUMMYFUNCTION("IFERROR(INDEX(FILTER('RE Portfolio'!G$2:G2000,'RE Portfolio'!D$2:D2000=""BUY""), INT((ROW()-2)/amortYears)+1), )
"),"")</f>
        <v/>
      </c>
      <c r="D1378" s="15">
        <f>MOD(ROW()-2, amortYears)+1</f>
        <v>9</v>
      </c>
      <c r="E1378" s="15" t="str">
        <f t="shared" si="1"/>
        <v/>
      </c>
      <c r="F1378" s="16">
        <f t="shared" si="2"/>
        <v>0</v>
      </c>
      <c r="G1378" s="16">
        <f>IF(D1378&lt;=mortTerm, -PMT(mortRate/12, mortTerm*12, C1378)*12, 0)
</f>
        <v>0</v>
      </c>
      <c r="H1378" s="16">
        <f>IF(D1378&lt;=mortTerm, G1378 - I1378, 0)
</f>
        <v>0</v>
      </c>
      <c r="I1378" s="16">
        <f>IF(D1378&lt;=mortTerm, F1378 - J1378, 0)
</f>
        <v>0</v>
      </c>
      <c r="J1378" s="16">
        <f>IF(D1378&lt;=mortTerm,
   F1378*(1+mortRate/12)^12 - (-PMT(mortRate/12, mortTerm*12, C1378))*(((1+mortRate/12)^12 - 1)/(mortRate/12)),
   0
)
</f>
        <v>0</v>
      </c>
      <c r="K1378" s="13" t="str">
        <f>IFERROR(__xludf.DUMMYFUNCTION("IF(A1378="""","""",
   IF(F1378&gt;0,
      INDEX(FILTER('RE Portfolio'!L$2:L2000,'RE Portfolio'!D$2:D2000=""BUY""), INT((ROW()-2)/amortYears)+1) - G1378,
      INDEX(FILTER('RE Portfolio'!L$2:L2000,'RE Portfolio'!D$2:D2000=""BUY""), INT((ROW()-2)/amortYears"&amp;")+1)
   )
)
"),"")</f>
        <v/>
      </c>
      <c r="L1378" s="15" t="str">
        <f>IFERROR(__xludf.DUMMYFUNCTION("IF(A1378="""","""",
  INDEX(FILTER('RE Portfolio'!C$2:C2000,'RE Portfolio'!D$2:D2000=""BUY""), INT((ROW()-2)/amortYears)+1)
  * (1 + VALUE(Assumptions!$B$11))^(D1378-1)
)
"),"")</f>
        <v/>
      </c>
    </row>
    <row r="1379">
      <c r="A1379" s="15" t="str">
        <f>IFERROR(__xludf.DUMMYFUNCTION("IFERROR(INDEX(FILTER('RE Portfolio'!A$2:A2000,'RE Portfolio'!D$2:D2000=""BUY""), INT((ROW()-2)/amortYears)+1), )
"),"")</f>
        <v/>
      </c>
      <c r="B1379" s="15" t="str">
        <f>IFERROR(__xludf.DUMMYFUNCTION("IFERROR(INDEX(FILTER('RE Portfolio'!B$2:B2000,'RE Portfolio'!D$2:D2000=""BUY""), INT((ROW()-2)/amortYears)+1), )
"),"")</f>
        <v/>
      </c>
      <c r="C1379" s="15" t="str">
        <f>IFERROR(__xludf.DUMMYFUNCTION("IFERROR(INDEX(FILTER('RE Portfolio'!G$2:G2000,'RE Portfolio'!D$2:D2000=""BUY""), INT((ROW()-2)/amortYears)+1), )
"),"")</f>
        <v/>
      </c>
      <c r="D1379" s="15">
        <f>MOD(ROW()-2, amortYears)+1</f>
        <v>10</v>
      </c>
      <c r="E1379" s="15" t="str">
        <f t="shared" si="1"/>
        <v/>
      </c>
      <c r="F1379" s="16">
        <f t="shared" si="2"/>
        <v>0</v>
      </c>
      <c r="G1379" s="16">
        <f>IF(D1379&lt;=mortTerm, -PMT(mortRate/12, mortTerm*12, C1379)*12, 0)
</f>
        <v>0</v>
      </c>
      <c r="H1379" s="16">
        <f>IF(D1379&lt;=mortTerm, G1379 - I1379, 0)
</f>
        <v>0</v>
      </c>
      <c r="I1379" s="16">
        <f>IF(D1379&lt;=mortTerm, F1379 - J1379, 0)
</f>
        <v>0</v>
      </c>
      <c r="J1379" s="16">
        <f>IF(D1379&lt;=mortTerm,
   F1379*(1+mortRate/12)^12 - (-PMT(mortRate/12, mortTerm*12, C1379))*(((1+mortRate/12)^12 - 1)/(mortRate/12)),
   0
)
</f>
        <v>0</v>
      </c>
      <c r="K1379" s="13" t="str">
        <f>IFERROR(__xludf.DUMMYFUNCTION("IF(A1379="""","""",
   IF(F1379&gt;0,
      INDEX(FILTER('RE Portfolio'!L$2:L2000,'RE Portfolio'!D$2:D2000=""BUY""), INT((ROW()-2)/amortYears)+1) - G1379,
      INDEX(FILTER('RE Portfolio'!L$2:L2000,'RE Portfolio'!D$2:D2000=""BUY""), INT((ROW()-2)/amortYears"&amp;")+1)
   )
)
"),"")</f>
        <v/>
      </c>
      <c r="L1379" s="15" t="str">
        <f>IFERROR(__xludf.DUMMYFUNCTION("IF(A1379="""","""",
  INDEX(FILTER('RE Portfolio'!C$2:C2000,'RE Portfolio'!D$2:D2000=""BUY""), INT((ROW()-2)/amortYears)+1)
  * (1 + VALUE(Assumptions!$B$11))^(D1379-1)
)
"),"")</f>
        <v/>
      </c>
    </row>
    <row r="1380">
      <c r="A1380" s="15" t="str">
        <f>IFERROR(__xludf.DUMMYFUNCTION("IFERROR(INDEX(FILTER('RE Portfolio'!A$2:A2000,'RE Portfolio'!D$2:D2000=""BUY""), INT((ROW()-2)/amortYears)+1), )
"),"")</f>
        <v/>
      </c>
      <c r="B1380" s="15" t="str">
        <f>IFERROR(__xludf.DUMMYFUNCTION("IFERROR(INDEX(FILTER('RE Portfolio'!B$2:B2000,'RE Portfolio'!D$2:D2000=""BUY""), INT((ROW()-2)/amortYears)+1), )
"),"")</f>
        <v/>
      </c>
      <c r="C1380" s="15" t="str">
        <f>IFERROR(__xludf.DUMMYFUNCTION("IFERROR(INDEX(FILTER('RE Portfolio'!G$2:G2000,'RE Portfolio'!D$2:D2000=""BUY""), INT((ROW()-2)/amortYears)+1), )
"),"")</f>
        <v/>
      </c>
      <c r="D1380" s="15">
        <f>MOD(ROW()-2, amortYears)+1</f>
        <v>11</v>
      </c>
      <c r="E1380" s="15" t="str">
        <f t="shared" si="1"/>
        <v/>
      </c>
      <c r="F1380" s="16">
        <f t="shared" si="2"/>
        <v>0</v>
      </c>
      <c r="G1380" s="16">
        <f>IF(D1380&lt;=mortTerm, -PMT(mortRate/12, mortTerm*12, C1380)*12, 0)
</f>
        <v>0</v>
      </c>
      <c r="H1380" s="16">
        <f>IF(D1380&lt;=mortTerm, G1380 - I1380, 0)
</f>
        <v>0</v>
      </c>
      <c r="I1380" s="16">
        <f>IF(D1380&lt;=mortTerm, F1380 - J1380, 0)
</f>
        <v>0</v>
      </c>
      <c r="J1380" s="16">
        <f>IF(D1380&lt;=mortTerm,
   F1380*(1+mortRate/12)^12 - (-PMT(mortRate/12, mortTerm*12, C1380))*(((1+mortRate/12)^12 - 1)/(mortRate/12)),
   0
)
</f>
        <v>0</v>
      </c>
      <c r="K1380" s="13" t="str">
        <f>IFERROR(__xludf.DUMMYFUNCTION("IF(A1380="""","""",
   IF(F1380&gt;0,
      INDEX(FILTER('RE Portfolio'!L$2:L2000,'RE Portfolio'!D$2:D2000=""BUY""), INT((ROW()-2)/amortYears)+1) - G1380,
      INDEX(FILTER('RE Portfolio'!L$2:L2000,'RE Portfolio'!D$2:D2000=""BUY""), INT((ROW()-2)/amortYears"&amp;")+1)
   )
)
"),"")</f>
        <v/>
      </c>
      <c r="L1380" s="15" t="str">
        <f>IFERROR(__xludf.DUMMYFUNCTION("IF(A1380="""","""",
  INDEX(FILTER('RE Portfolio'!C$2:C2000,'RE Portfolio'!D$2:D2000=""BUY""), INT((ROW()-2)/amortYears)+1)
  * (1 + VALUE(Assumptions!$B$11))^(D1380-1)
)
"),"")</f>
        <v/>
      </c>
    </row>
    <row r="1381">
      <c r="A1381" s="15" t="str">
        <f>IFERROR(__xludf.DUMMYFUNCTION("IFERROR(INDEX(FILTER('RE Portfolio'!A$2:A2000,'RE Portfolio'!D$2:D2000=""BUY""), INT((ROW()-2)/amortYears)+1), )
"),"")</f>
        <v/>
      </c>
      <c r="B1381" s="15" t="str">
        <f>IFERROR(__xludf.DUMMYFUNCTION("IFERROR(INDEX(FILTER('RE Portfolio'!B$2:B2000,'RE Portfolio'!D$2:D2000=""BUY""), INT((ROW()-2)/amortYears)+1), )
"),"")</f>
        <v/>
      </c>
      <c r="C1381" s="15" t="str">
        <f>IFERROR(__xludf.DUMMYFUNCTION("IFERROR(INDEX(FILTER('RE Portfolio'!G$2:G2000,'RE Portfolio'!D$2:D2000=""BUY""), INT((ROW()-2)/amortYears)+1), )
"),"")</f>
        <v/>
      </c>
      <c r="D1381" s="15">
        <f>MOD(ROW()-2, amortYears)+1</f>
        <v>12</v>
      </c>
      <c r="E1381" s="15" t="str">
        <f t="shared" si="1"/>
        <v/>
      </c>
      <c r="F1381" s="16">
        <f t="shared" si="2"/>
        <v>0</v>
      </c>
      <c r="G1381" s="16">
        <f>IF(D1381&lt;=mortTerm, -PMT(mortRate/12, mortTerm*12, C1381)*12, 0)
</f>
        <v>0</v>
      </c>
      <c r="H1381" s="16">
        <f>IF(D1381&lt;=mortTerm, G1381 - I1381, 0)
</f>
        <v>0</v>
      </c>
      <c r="I1381" s="16">
        <f>IF(D1381&lt;=mortTerm, F1381 - J1381, 0)
</f>
        <v>0</v>
      </c>
      <c r="J1381" s="16">
        <f>IF(D1381&lt;=mortTerm,
   F1381*(1+mortRate/12)^12 - (-PMT(mortRate/12, mortTerm*12, C1381))*(((1+mortRate/12)^12 - 1)/(mortRate/12)),
   0
)
</f>
        <v>0</v>
      </c>
      <c r="K1381" s="13" t="str">
        <f>IFERROR(__xludf.DUMMYFUNCTION("IF(A1381="""","""",
   IF(F1381&gt;0,
      INDEX(FILTER('RE Portfolio'!L$2:L2000,'RE Portfolio'!D$2:D2000=""BUY""), INT((ROW()-2)/amortYears)+1) - G1381,
      INDEX(FILTER('RE Portfolio'!L$2:L2000,'RE Portfolio'!D$2:D2000=""BUY""), INT((ROW()-2)/amortYears"&amp;")+1)
   )
)
"),"")</f>
        <v/>
      </c>
      <c r="L1381" s="15" t="str">
        <f>IFERROR(__xludf.DUMMYFUNCTION("IF(A1381="""","""",
  INDEX(FILTER('RE Portfolio'!C$2:C2000,'RE Portfolio'!D$2:D2000=""BUY""), INT((ROW()-2)/amortYears)+1)
  * (1 + VALUE(Assumptions!$B$11))^(D1381-1)
)
"),"")</f>
        <v/>
      </c>
    </row>
    <row r="1382">
      <c r="A1382" s="15" t="str">
        <f>IFERROR(__xludf.DUMMYFUNCTION("IFERROR(INDEX(FILTER('RE Portfolio'!A$2:A2000,'RE Portfolio'!D$2:D2000=""BUY""), INT((ROW()-2)/amortYears)+1), )
"),"")</f>
        <v/>
      </c>
      <c r="B1382" s="15" t="str">
        <f>IFERROR(__xludf.DUMMYFUNCTION("IFERROR(INDEX(FILTER('RE Portfolio'!B$2:B2000,'RE Portfolio'!D$2:D2000=""BUY""), INT((ROW()-2)/amortYears)+1), )
"),"")</f>
        <v/>
      </c>
      <c r="C1382" s="15" t="str">
        <f>IFERROR(__xludf.DUMMYFUNCTION("IFERROR(INDEX(FILTER('RE Portfolio'!G$2:G2000,'RE Portfolio'!D$2:D2000=""BUY""), INT((ROW()-2)/amortYears)+1), )
"),"")</f>
        <v/>
      </c>
      <c r="D1382" s="15">
        <f>MOD(ROW()-2, amortYears)+1</f>
        <v>13</v>
      </c>
      <c r="E1382" s="15" t="str">
        <f t="shared" si="1"/>
        <v/>
      </c>
      <c r="F1382" s="16">
        <f t="shared" si="2"/>
        <v>0</v>
      </c>
      <c r="G1382" s="16">
        <f>IF(D1382&lt;=mortTerm, -PMT(mortRate/12, mortTerm*12, C1382)*12, 0)
</f>
        <v>0</v>
      </c>
      <c r="H1382" s="16">
        <f>IF(D1382&lt;=mortTerm, G1382 - I1382, 0)
</f>
        <v>0</v>
      </c>
      <c r="I1382" s="16">
        <f>IF(D1382&lt;=mortTerm, F1382 - J1382, 0)
</f>
        <v>0</v>
      </c>
      <c r="J1382" s="16">
        <f>IF(D1382&lt;=mortTerm,
   F1382*(1+mortRate/12)^12 - (-PMT(mortRate/12, mortTerm*12, C1382))*(((1+mortRate/12)^12 - 1)/(mortRate/12)),
   0
)
</f>
        <v>0</v>
      </c>
      <c r="K1382" s="13" t="str">
        <f>IFERROR(__xludf.DUMMYFUNCTION("IF(A1382="""","""",
   IF(F1382&gt;0,
      INDEX(FILTER('RE Portfolio'!L$2:L2000,'RE Portfolio'!D$2:D2000=""BUY""), INT((ROW()-2)/amortYears)+1) - G1382,
      INDEX(FILTER('RE Portfolio'!L$2:L2000,'RE Portfolio'!D$2:D2000=""BUY""), INT((ROW()-2)/amortYears"&amp;")+1)
   )
)
"),"")</f>
        <v/>
      </c>
      <c r="L1382" s="15" t="str">
        <f>IFERROR(__xludf.DUMMYFUNCTION("IF(A1382="""","""",
  INDEX(FILTER('RE Portfolio'!C$2:C2000,'RE Portfolio'!D$2:D2000=""BUY""), INT((ROW()-2)/amortYears)+1)
  * (1 + VALUE(Assumptions!$B$11))^(D1382-1)
)
"),"")</f>
        <v/>
      </c>
    </row>
    <row r="1383">
      <c r="A1383" s="15" t="str">
        <f>IFERROR(__xludf.DUMMYFUNCTION("IFERROR(INDEX(FILTER('RE Portfolio'!A$2:A2000,'RE Portfolio'!D$2:D2000=""BUY""), INT((ROW()-2)/amortYears)+1), )
"),"")</f>
        <v/>
      </c>
      <c r="B1383" s="15" t="str">
        <f>IFERROR(__xludf.DUMMYFUNCTION("IFERROR(INDEX(FILTER('RE Portfolio'!B$2:B2000,'RE Portfolio'!D$2:D2000=""BUY""), INT((ROW()-2)/amortYears)+1), )
"),"")</f>
        <v/>
      </c>
      <c r="C1383" s="15" t="str">
        <f>IFERROR(__xludf.DUMMYFUNCTION("IFERROR(INDEX(FILTER('RE Portfolio'!G$2:G2000,'RE Portfolio'!D$2:D2000=""BUY""), INT((ROW()-2)/amortYears)+1), )
"),"")</f>
        <v/>
      </c>
      <c r="D1383" s="15">
        <f>MOD(ROW()-2, amortYears)+1</f>
        <v>14</v>
      </c>
      <c r="E1383" s="15" t="str">
        <f t="shared" si="1"/>
        <v/>
      </c>
      <c r="F1383" s="16">
        <f t="shared" si="2"/>
        <v>0</v>
      </c>
      <c r="G1383" s="16">
        <f>IF(D1383&lt;=mortTerm, -PMT(mortRate/12, mortTerm*12, C1383)*12, 0)
</f>
        <v>0</v>
      </c>
      <c r="H1383" s="16">
        <f>IF(D1383&lt;=mortTerm, G1383 - I1383, 0)
</f>
        <v>0</v>
      </c>
      <c r="I1383" s="16">
        <f>IF(D1383&lt;=mortTerm, F1383 - J1383, 0)
</f>
        <v>0</v>
      </c>
      <c r="J1383" s="16">
        <f>IF(D1383&lt;=mortTerm,
   F1383*(1+mortRate/12)^12 - (-PMT(mortRate/12, mortTerm*12, C1383))*(((1+mortRate/12)^12 - 1)/(mortRate/12)),
   0
)
</f>
        <v>0</v>
      </c>
      <c r="K1383" s="13" t="str">
        <f>IFERROR(__xludf.DUMMYFUNCTION("IF(A1383="""","""",
   IF(F1383&gt;0,
      INDEX(FILTER('RE Portfolio'!L$2:L2000,'RE Portfolio'!D$2:D2000=""BUY""), INT((ROW()-2)/amortYears)+1) - G1383,
      INDEX(FILTER('RE Portfolio'!L$2:L2000,'RE Portfolio'!D$2:D2000=""BUY""), INT((ROW()-2)/amortYears"&amp;")+1)
   )
)
"),"")</f>
        <v/>
      </c>
      <c r="L1383" s="15" t="str">
        <f>IFERROR(__xludf.DUMMYFUNCTION("IF(A1383="""","""",
  INDEX(FILTER('RE Portfolio'!C$2:C2000,'RE Portfolio'!D$2:D2000=""BUY""), INT((ROW()-2)/amortYears)+1)
  * (1 + VALUE(Assumptions!$B$11))^(D1383-1)
)
"),"")</f>
        <v/>
      </c>
    </row>
    <row r="1384">
      <c r="A1384" s="15" t="str">
        <f>IFERROR(__xludf.DUMMYFUNCTION("IFERROR(INDEX(FILTER('RE Portfolio'!A$2:A2000,'RE Portfolio'!D$2:D2000=""BUY""), INT((ROW()-2)/amortYears)+1), )
"),"")</f>
        <v/>
      </c>
      <c r="B1384" s="15" t="str">
        <f>IFERROR(__xludf.DUMMYFUNCTION("IFERROR(INDEX(FILTER('RE Portfolio'!B$2:B2000,'RE Portfolio'!D$2:D2000=""BUY""), INT((ROW()-2)/amortYears)+1), )
"),"")</f>
        <v/>
      </c>
      <c r="C1384" s="15" t="str">
        <f>IFERROR(__xludf.DUMMYFUNCTION("IFERROR(INDEX(FILTER('RE Portfolio'!G$2:G2000,'RE Portfolio'!D$2:D2000=""BUY""), INT((ROW()-2)/amortYears)+1), )
"),"")</f>
        <v/>
      </c>
      <c r="D1384" s="15">
        <f>MOD(ROW()-2, amortYears)+1</f>
        <v>15</v>
      </c>
      <c r="E1384" s="15" t="str">
        <f t="shared" si="1"/>
        <v/>
      </c>
      <c r="F1384" s="16">
        <f t="shared" si="2"/>
        <v>0</v>
      </c>
      <c r="G1384" s="16">
        <f>IF(D1384&lt;=mortTerm, -PMT(mortRate/12, mortTerm*12, C1384)*12, 0)
</f>
        <v>0</v>
      </c>
      <c r="H1384" s="16">
        <f>IF(D1384&lt;=mortTerm, G1384 - I1384, 0)
</f>
        <v>0</v>
      </c>
      <c r="I1384" s="16">
        <f>IF(D1384&lt;=mortTerm, F1384 - J1384, 0)
</f>
        <v>0</v>
      </c>
      <c r="J1384" s="16">
        <f>IF(D1384&lt;=mortTerm,
   F1384*(1+mortRate/12)^12 - (-PMT(mortRate/12, mortTerm*12, C1384))*(((1+mortRate/12)^12 - 1)/(mortRate/12)),
   0
)
</f>
        <v>0</v>
      </c>
      <c r="K1384" s="13" t="str">
        <f>IFERROR(__xludf.DUMMYFUNCTION("IF(A1384="""","""",
   IF(F1384&gt;0,
      INDEX(FILTER('RE Portfolio'!L$2:L2000,'RE Portfolio'!D$2:D2000=""BUY""), INT((ROW()-2)/amortYears)+1) - G1384,
      INDEX(FILTER('RE Portfolio'!L$2:L2000,'RE Portfolio'!D$2:D2000=""BUY""), INT((ROW()-2)/amortYears"&amp;")+1)
   )
)
"),"")</f>
        <v/>
      </c>
      <c r="L1384" s="15" t="str">
        <f>IFERROR(__xludf.DUMMYFUNCTION("IF(A1384="""","""",
  INDEX(FILTER('RE Portfolio'!C$2:C2000,'RE Portfolio'!D$2:D2000=""BUY""), INT((ROW()-2)/amortYears)+1)
  * (1 + VALUE(Assumptions!$B$11))^(D1384-1)
)
"),"")</f>
        <v/>
      </c>
    </row>
    <row r="1385">
      <c r="A1385" s="15" t="str">
        <f>IFERROR(__xludf.DUMMYFUNCTION("IFERROR(INDEX(FILTER('RE Portfolio'!A$2:A2000,'RE Portfolio'!D$2:D2000=""BUY""), INT((ROW()-2)/amortYears)+1), )
"),"")</f>
        <v/>
      </c>
      <c r="B1385" s="15" t="str">
        <f>IFERROR(__xludf.DUMMYFUNCTION("IFERROR(INDEX(FILTER('RE Portfolio'!B$2:B2000,'RE Portfolio'!D$2:D2000=""BUY""), INT((ROW()-2)/amortYears)+1), )
"),"")</f>
        <v/>
      </c>
      <c r="C1385" s="15" t="str">
        <f>IFERROR(__xludf.DUMMYFUNCTION("IFERROR(INDEX(FILTER('RE Portfolio'!G$2:G2000,'RE Portfolio'!D$2:D2000=""BUY""), INT((ROW()-2)/amortYears)+1), )
"),"")</f>
        <v/>
      </c>
      <c r="D1385" s="15">
        <f>MOD(ROW()-2, amortYears)+1</f>
        <v>16</v>
      </c>
      <c r="E1385" s="15" t="str">
        <f t="shared" si="1"/>
        <v/>
      </c>
      <c r="F1385" s="16">
        <f t="shared" si="2"/>
        <v>0</v>
      </c>
      <c r="G1385" s="16">
        <f>IF(D1385&lt;=mortTerm, -PMT(mortRate/12, mortTerm*12, C1385)*12, 0)
</f>
        <v>0</v>
      </c>
      <c r="H1385" s="16">
        <f>IF(D1385&lt;=mortTerm, G1385 - I1385, 0)
</f>
        <v>0</v>
      </c>
      <c r="I1385" s="16">
        <f>IF(D1385&lt;=mortTerm, F1385 - J1385, 0)
</f>
        <v>0</v>
      </c>
      <c r="J1385" s="16">
        <f>IF(D1385&lt;=mortTerm,
   F1385*(1+mortRate/12)^12 - (-PMT(mortRate/12, mortTerm*12, C1385))*(((1+mortRate/12)^12 - 1)/(mortRate/12)),
   0
)
</f>
        <v>0</v>
      </c>
      <c r="K1385" s="13" t="str">
        <f>IFERROR(__xludf.DUMMYFUNCTION("IF(A1385="""","""",
   IF(F1385&gt;0,
      INDEX(FILTER('RE Portfolio'!L$2:L2000,'RE Portfolio'!D$2:D2000=""BUY""), INT((ROW()-2)/amortYears)+1) - G1385,
      INDEX(FILTER('RE Portfolio'!L$2:L2000,'RE Portfolio'!D$2:D2000=""BUY""), INT((ROW()-2)/amortYears"&amp;")+1)
   )
)
"),"")</f>
        <v/>
      </c>
      <c r="L1385" s="15" t="str">
        <f>IFERROR(__xludf.DUMMYFUNCTION("IF(A1385="""","""",
  INDEX(FILTER('RE Portfolio'!C$2:C2000,'RE Portfolio'!D$2:D2000=""BUY""), INT((ROW()-2)/amortYears)+1)
  * (1 + VALUE(Assumptions!$B$11))^(D1385-1)
)
"),"")</f>
        <v/>
      </c>
    </row>
    <row r="1386">
      <c r="A1386" s="15" t="str">
        <f>IFERROR(__xludf.DUMMYFUNCTION("IFERROR(INDEX(FILTER('RE Portfolio'!A$2:A2000,'RE Portfolio'!D$2:D2000=""BUY""), INT((ROW()-2)/amortYears)+1), )
"),"")</f>
        <v/>
      </c>
      <c r="B1386" s="15" t="str">
        <f>IFERROR(__xludf.DUMMYFUNCTION("IFERROR(INDEX(FILTER('RE Portfolio'!B$2:B2000,'RE Portfolio'!D$2:D2000=""BUY""), INT((ROW()-2)/amortYears)+1), )
"),"")</f>
        <v/>
      </c>
      <c r="C1386" s="15" t="str">
        <f>IFERROR(__xludf.DUMMYFUNCTION("IFERROR(INDEX(FILTER('RE Portfolio'!G$2:G2000,'RE Portfolio'!D$2:D2000=""BUY""), INT((ROW()-2)/amortYears)+1), )
"),"")</f>
        <v/>
      </c>
      <c r="D1386" s="15">
        <f>MOD(ROW()-2, amortYears)+1</f>
        <v>17</v>
      </c>
      <c r="E1386" s="15" t="str">
        <f t="shared" si="1"/>
        <v/>
      </c>
      <c r="F1386" s="16">
        <f t="shared" si="2"/>
        <v>0</v>
      </c>
      <c r="G1386" s="16">
        <f>IF(D1386&lt;=mortTerm, -PMT(mortRate/12, mortTerm*12, C1386)*12, 0)
</f>
        <v>0</v>
      </c>
      <c r="H1386" s="16">
        <f>IF(D1386&lt;=mortTerm, G1386 - I1386, 0)
</f>
        <v>0</v>
      </c>
      <c r="I1386" s="16">
        <f>IF(D1386&lt;=mortTerm, F1386 - J1386, 0)
</f>
        <v>0</v>
      </c>
      <c r="J1386" s="16">
        <f>IF(D1386&lt;=mortTerm,
   F1386*(1+mortRate/12)^12 - (-PMT(mortRate/12, mortTerm*12, C1386))*(((1+mortRate/12)^12 - 1)/(mortRate/12)),
   0
)
</f>
        <v>0</v>
      </c>
      <c r="K1386" s="13" t="str">
        <f>IFERROR(__xludf.DUMMYFUNCTION("IF(A1386="""","""",
   IF(F1386&gt;0,
      INDEX(FILTER('RE Portfolio'!L$2:L2000,'RE Portfolio'!D$2:D2000=""BUY""), INT((ROW()-2)/amortYears)+1) - G1386,
      INDEX(FILTER('RE Portfolio'!L$2:L2000,'RE Portfolio'!D$2:D2000=""BUY""), INT((ROW()-2)/amortYears"&amp;")+1)
   )
)
"),"")</f>
        <v/>
      </c>
      <c r="L1386" s="15" t="str">
        <f>IFERROR(__xludf.DUMMYFUNCTION("IF(A1386="""","""",
  INDEX(FILTER('RE Portfolio'!C$2:C2000,'RE Portfolio'!D$2:D2000=""BUY""), INT((ROW()-2)/amortYears)+1)
  * (1 + VALUE(Assumptions!$B$11))^(D1386-1)
)
"),"")</f>
        <v/>
      </c>
    </row>
    <row r="1387">
      <c r="A1387" s="15" t="str">
        <f>IFERROR(__xludf.DUMMYFUNCTION("IFERROR(INDEX(FILTER('RE Portfolio'!A$2:A2000,'RE Portfolio'!D$2:D2000=""BUY""), INT((ROW()-2)/amortYears)+1), )
"),"")</f>
        <v/>
      </c>
      <c r="B1387" s="15" t="str">
        <f>IFERROR(__xludf.DUMMYFUNCTION("IFERROR(INDEX(FILTER('RE Portfolio'!B$2:B2000,'RE Portfolio'!D$2:D2000=""BUY""), INT((ROW()-2)/amortYears)+1), )
"),"")</f>
        <v/>
      </c>
      <c r="C1387" s="15" t="str">
        <f>IFERROR(__xludf.DUMMYFUNCTION("IFERROR(INDEX(FILTER('RE Portfolio'!G$2:G2000,'RE Portfolio'!D$2:D2000=""BUY""), INT((ROW()-2)/amortYears)+1), )
"),"")</f>
        <v/>
      </c>
      <c r="D1387" s="15">
        <f>MOD(ROW()-2, amortYears)+1</f>
        <v>18</v>
      </c>
      <c r="E1387" s="15" t="str">
        <f t="shared" si="1"/>
        <v/>
      </c>
      <c r="F1387" s="16">
        <f t="shared" si="2"/>
        <v>0</v>
      </c>
      <c r="G1387" s="16">
        <f>IF(D1387&lt;=mortTerm, -PMT(mortRate/12, mortTerm*12, C1387)*12, 0)
</f>
        <v>0</v>
      </c>
      <c r="H1387" s="16">
        <f>IF(D1387&lt;=mortTerm, G1387 - I1387, 0)
</f>
        <v>0</v>
      </c>
      <c r="I1387" s="16">
        <f>IF(D1387&lt;=mortTerm, F1387 - J1387, 0)
</f>
        <v>0</v>
      </c>
      <c r="J1387" s="16">
        <f>IF(D1387&lt;=mortTerm,
   F1387*(1+mortRate/12)^12 - (-PMT(mortRate/12, mortTerm*12, C1387))*(((1+mortRate/12)^12 - 1)/(mortRate/12)),
   0
)
</f>
        <v>0</v>
      </c>
      <c r="K1387" s="13" t="str">
        <f>IFERROR(__xludf.DUMMYFUNCTION("IF(A1387="""","""",
   IF(F1387&gt;0,
      INDEX(FILTER('RE Portfolio'!L$2:L2000,'RE Portfolio'!D$2:D2000=""BUY""), INT((ROW()-2)/amortYears)+1) - G1387,
      INDEX(FILTER('RE Portfolio'!L$2:L2000,'RE Portfolio'!D$2:D2000=""BUY""), INT((ROW()-2)/amortYears"&amp;")+1)
   )
)
"),"")</f>
        <v/>
      </c>
      <c r="L1387" s="15" t="str">
        <f>IFERROR(__xludf.DUMMYFUNCTION("IF(A1387="""","""",
  INDEX(FILTER('RE Portfolio'!C$2:C2000,'RE Portfolio'!D$2:D2000=""BUY""), INT((ROW()-2)/amortYears)+1)
  * (1 + VALUE(Assumptions!$B$11))^(D1387-1)
)
"),"")</f>
        <v/>
      </c>
    </row>
    <row r="1388">
      <c r="A1388" s="15" t="str">
        <f>IFERROR(__xludf.DUMMYFUNCTION("IFERROR(INDEX(FILTER('RE Portfolio'!A$2:A2000,'RE Portfolio'!D$2:D2000=""BUY""), INT((ROW()-2)/amortYears)+1), )
"),"")</f>
        <v/>
      </c>
      <c r="B1388" s="15" t="str">
        <f>IFERROR(__xludf.DUMMYFUNCTION("IFERROR(INDEX(FILTER('RE Portfolio'!B$2:B2000,'RE Portfolio'!D$2:D2000=""BUY""), INT((ROW()-2)/amortYears)+1), )
"),"")</f>
        <v/>
      </c>
      <c r="C1388" s="15" t="str">
        <f>IFERROR(__xludf.DUMMYFUNCTION("IFERROR(INDEX(FILTER('RE Portfolio'!G$2:G2000,'RE Portfolio'!D$2:D2000=""BUY""), INT((ROW()-2)/amortYears)+1), )
"),"")</f>
        <v/>
      </c>
      <c r="D1388" s="15">
        <f>MOD(ROW()-2, amortYears)+1</f>
        <v>19</v>
      </c>
      <c r="E1388" s="15" t="str">
        <f t="shared" si="1"/>
        <v/>
      </c>
      <c r="F1388" s="16">
        <f t="shared" si="2"/>
        <v>0</v>
      </c>
      <c r="G1388" s="16">
        <f>IF(D1388&lt;=mortTerm, -PMT(mortRate/12, mortTerm*12, C1388)*12, 0)
</f>
        <v>0</v>
      </c>
      <c r="H1388" s="16">
        <f>IF(D1388&lt;=mortTerm, G1388 - I1388, 0)
</f>
        <v>0</v>
      </c>
      <c r="I1388" s="16">
        <f>IF(D1388&lt;=mortTerm, F1388 - J1388, 0)
</f>
        <v>0</v>
      </c>
      <c r="J1388" s="16">
        <f>IF(D1388&lt;=mortTerm,
   F1388*(1+mortRate/12)^12 - (-PMT(mortRate/12, mortTerm*12, C1388))*(((1+mortRate/12)^12 - 1)/(mortRate/12)),
   0
)
</f>
        <v>0</v>
      </c>
      <c r="K1388" s="13" t="str">
        <f>IFERROR(__xludf.DUMMYFUNCTION("IF(A1388="""","""",
   IF(F1388&gt;0,
      INDEX(FILTER('RE Portfolio'!L$2:L2000,'RE Portfolio'!D$2:D2000=""BUY""), INT((ROW()-2)/amortYears)+1) - G1388,
      INDEX(FILTER('RE Portfolio'!L$2:L2000,'RE Portfolio'!D$2:D2000=""BUY""), INT((ROW()-2)/amortYears"&amp;")+1)
   )
)
"),"")</f>
        <v/>
      </c>
      <c r="L1388" s="15" t="str">
        <f>IFERROR(__xludf.DUMMYFUNCTION("IF(A1388="""","""",
  INDEX(FILTER('RE Portfolio'!C$2:C2000,'RE Portfolio'!D$2:D2000=""BUY""), INT((ROW()-2)/amortYears)+1)
  * (1 + VALUE(Assumptions!$B$11))^(D1388-1)
)
"),"")</f>
        <v/>
      </c>
    </row>
    <row r="1389">
      <c r="A1389" s="15" t="str">
        <f>IFERROR(__xludf.DUMMYFUNCTION("IFERROR(INDEX(FILTER('RE Portfolio'!A$2:A2000,'RE Portfolio'!D$2:D2000=""BUY""), INT((ROW()-2)/amortYears)+1), )
"),"")</f>
        <v/>
      </c>
      <c r="B1389" s="15" t="str">
        <f>IFERROR(__xludf.DUMMYFUNCTION("IFERROR(INDEX(FILTER('RE Portfolio'!B$2:B2000,'RE Portfolio'!D$2:D2000=""BUY""), INT((ROW()-2)/amortYears)+1), )
"),"")</f>
        <v/>
      </c>
      <c r="C1389" s="15" t="str">
        <f>IFERROR(__xludf.DUMMYFUNCTION("IFERROR(INDEX(FILTER('RE Portfolio'!G$2:G2000,'RE Portfolio'!D$2:D2000=""BUY""), INT((ROW()-2)/amortYears)+1), )
"),"")</f>
        <v/>
      </c>
      <c r="D1389" s="15">
        <f>MOD(ROW()-2, amortYears)+1</f>
        <v>20</v>
      </c>
      <c r="E1389" s="15" t="str">
        <f t="shared" si="1"/>
        <v/>
      </c>
      <c r="F1389" s="16">
        <f t="shared" si="2"/>
        <v>0</v>
      </c>
      <c r="G1389" s="16">
        <f>IF(D1389&lt;=mortTerm, -PMT(mortRate/12, mortTerm*12, C1389)*12, 0)
</f>
        <v>0</v>
      </c>
      <c r="H1389" s="16">
        <f>IF(D1389&lt;=mortTerm, G1389 - I1389, 0)
</f>
        <v>0</v>
      </c>
      <c r="I1389" s="16">
        <f>IF(D1389&lt;=mortTerm, F1389 - J1389, 0)
</f>
        <v>0</v>
      </c>
      <c r="J1389" s="16">
        <f>IF(D1389&lt;=mortTerm,
   F1389*(1+mortRate/12)^12 - (-PMT(mortRate/12, mortTerm*12, C1389))*(((1+mortRate/12)^12 - 1)/(mortRate/12)),
   0
)
</f>
        <v>0</v>
      </c>
      <c r="K1389" s="13" t="str">
        <f>IFERROR(__xludf.DUMMYFUNCTION("IF(A1389="""","""",
   IF(F1389&gt;0,
      INDEX(FILTER('RE Portfolio'!L$2:L2000,'RE Portfolio'!D$2:D2000=""BUY""), INT((ROW()-2)/amortYears)+1) - G1389,
      INDEX(FILTER('RE Portfolio'!L$2:L2000,'RE Portfolio'!D$2:D2000=""BUY""), INT((ROW()-2)/amortYears"&amp;")+1)
   )
)
"),"")</f>
        <v/>
      </c>
      <c r="L1389" s="15" t="str">
        <f>IFERROR(__xludf.DUMMYFUNCTION("IF(A1389="""","""",
  INDEX(FILTER('RE Portfolio'!C$2:C2000,'RE Portfolio'!D$2:D2000=""BUY""), INT((ROW()-2)/amortYears)+1)
  * (1 + VALUE(Assumptions!$B$11))^(D1389-1)
)
"),"")</f>
        <v/>
      </c>
    </row>
    <row r="1390">
      <c r="A1390" s="15" t="str">
        <f>IFERROR(__xludf.DUMMYFUNCTION("IFERROR(INDEX(FILTER('RE Portfolio'!A$2:A2000,'RE Portfolio'!D$2:D2000=""BUY""), INT((ROW()-2)/amortYears)+1), )
"),"")</f>
        <v/>
      </c>
      <c r="B1390" s="15" t="str">
        <f>IFERROR(__xludf.DUMMYFUNCTION("IFERROR(INDEX(FILTER('RE Portfolio'!B$2:B2000,'RE Portfolio'!D$2:D2000=""BUY""), INT((ROW()-2)/amortYears)+1), )
"),"")</f>
        <v/>
      </c>
      <c r="C1390" s="15" t="str">
        <f>IFERROR(__xludf.DUMMYFUNCTION("IFERROR(INDEX(FILTER('RE Portfolio'!G$2:G2000,'RE Portfolio'!D$2:D2000=""BUY""), INT((ROW()-2)/amortYears)+1), )
"),"")</f>
        <v/>
      </c>
      <c r="D1390" s="15">
        <f>MOD(ROW()-2, amortYears)+1</f>
        <v>21</v>
      </c>
      <c r="E1390" s="15" t="str">
        <f t="shared" si="1"/>
        <v/>
      </c>
      <c r="F1390" s="16">
        <f t="shared" si="2"/>
        <v>0</v>
      </c>
      <c r="G1390" s="16">
        <f>IF(D1390&lt;=mortTerm, -PMT(mortRate/12, mortTerm*12, C1390)*12, 0)
</f>
        <v>0</v>
      </c>
      <c r="H1390" s="16">
        <f>IF(D1390&lt;=mortTerm, G1390 - I1390, 0)
</f>
        <v>0</v>
      </c>
      <c r="I1390" s="16">
        <f>IF(D1390&lt;=mortTerm, F1390 - J1390, 0)
</f>
        <v>0</v>
      </c>
      <c r="J1390" s="16">
        <f>IF(D1390&lt;=mortTerm,
   F1390*(1+mortRate/12)^12 - (-PMT(mortRate/12, mortTerm*12, C1390))*(((1+mortRate/12)^12 - 1)/(mortRate/12)),
   0
)
</f>
        <v>0</v>
      </c>
      <c r="K1390" s="13" t="str">
        <f>IFERROR(__xludf.DUMMYFUNCTION("IF(A1390="""","""",
   IF(F1390&gt;0,
      INDEX(FILTER('RE Portfolio'!L$2:L2000,'RE Portfolio'!D$2:D2000=""BUY""), INT((ROW()-2)/amortYears)+1) - G1390,
      INDEX(FILTER('RE Portfolio'!L$2:L2000,'RE Portfolio'!D$2:D2000=""BUY""), INT((ROW()-2)/amortYears"&amp;")+1)
   )
)
"),"")</f>
        <v/>
      </c>
      <c r="L1390" s="15" t="str">
        <f>IFERROR(__xludf.DUMMYFUNCTION("IF(A1390="""","""",
  INDEX(FILTER('RE Portfolio'!C$2:C2000,'RE Portfolio'!D$2:D2000=""BUY""), INT((ROW()-2)/amortYears)+1)
  * (1 + VALUE(Assumptions!$B$11))^(D1390-1)
)
"),"")</f>
        <v/>
      </c>
    </row>
    <row r="1391">
      <c r="A1391" s="15" t="str">
        <f>IFERROR(__xludf.DUMMYFUNCTION("IFERROR(INDEX(FILTER('RE Portfolio'!A$2:A2000,'RE Portfolio'!D$2:D2000=""BUY""), INT((ROW()-2)/amortYears)+1), )
"),"")</f>
        <v/>
      </c>
      <c r="B1391" s="15" t="str">
        <f>IFERROR(__xludf.DUMMYFUNCTION("IFERROR(INDEX(FILTER('RE Portfolio'!B$2:B2000,'RE Portfolio'!D$2:D2000=""BUY""), INT((ROW()-2)/amortYears)+1), )
"),"")</f>
        <v/>
      </c>
      <c r="C1391" s="15" t="str">
        <f>IFERROR(__xludf.DUMMYFUNCTION("IFERROR(INDEX(FILTER('RE Portfolio'!G$2:G2000,'RE Portfolio'!D$2:D2000=""BUY""), INT((ROW()-2)/amortYears)+1), )
"),"")</f>
        <v/>
      </c>
      <c r="D1391" s="15">
        <f>MOD(ROW()-2, amortYears)+1</f>
        <v>22</v>
      </c>
      <c r="E1391" s="15" t="str">
        <f t="shared" si="1"/>
        <v/>
      </c>
      <c r="F1391" s="16">
        <f t="shared" si="2"/>
        <v>0</v>
      </c>
      <c r="G1391" s="16">
        <f>IF(D1391&lt;=mortTerm, -PMT(mortRate/12, mortTerm*12, C1391)*12, 0)
</f>
        <v>0</v>
      </c>
      <c r="H1391" s="16">
        <f>IF(D1391&lt;=mortTerm, G1391 - I1391, 0)
</f>
        <v>0</v>
      </c>
      <c r="I1391" s="16">
        <f>IF(D1391&lt;=mortTerm, F1391 - J1391, 0)
</f>
        <v>0</v>
      </c>
      <c r="J1391" s="16">
        <f>IF(D1391&lt;=mortTerm,
   F1391*(1+mortRate/12)^12 - (-PMT(mortRate/12, mortTerm*12, C1391))*(((1+mortRate/12)^12 - 1)/(mortRate/12)),
   0
)
</f>
        <v>0</v>
      </c>
      <c r="K1391" s="13" t="str">
        <f>IFERROR(__xludf.DUMMYFUNCTION("IF(A1391="""","""",
   IF(F1391&gt;0,
      INDEX(FILTER('RE Portfolio'!L$2:L2000,'RE Portfolio'!D$2:D2000=""BUY""), INT((ROW()-2)/amortYears)+1) - G1391,
      INDEX(FILTER('RE Portfolio'!L$2:L2000,'RE Portfolio'!D$2:D2000=""BUY""), INT((ROW()-2)/amortYears"&amp;")+1)
   )
)
"),"")</f>
        <v/>
      </c>
      <c r="L1391" s="15" t="str">
        <f>IFERROR(__xludf.DUMMYFUNCTION("IF(A1391="""","""",
  INDEX(FILTER('RE Portfolio'!C$2:C2000,'RE Portfolio'!D$2:D2000=""BUY""), INT((ROW()-2)/amortYears)+1)
  * (1 + VALUE(Assumptions!$B$11))^(D1391-1)
)
"),"")</f>
        <v/>
      </c>
    </row>
    <row r="1392">
      <c r="A1392" s="15" t="str">
        <f>IFERROR(__xludf.DUMMYFUNCTION("IFERROR(INDEX(FILTER('RE Portfolio'!A$2:A2000,'RE Portfolio'!D$2:D2000=""BUY""), INT((ROW()-2)/amortYears)+1), )
"),"")</f>
        <v/>
      </c>
      <c r="B1392" s="15" t="str">
        <f>IFERROR(__xludf.DUMMYFUNCTION("IFERROR(INDEX(FILTER('RE Portfolio'!B$2:B2000,'RE Portfolio'!D$2:D2000=""BUY""), INT((ROW()-2)/amortYears)+1), )
"),"")</f>
        <v/>
      </c>
      <c r="C1392" s="15" t="str">
        <f>IFERROR(__xludf.DUMMYFUNCTION("IFERROR(INDEX(FILTER('RE Portfolio'!G$2:G2000,'RE Portfolio'!D$2:D2000=""BUY""), INT((ROW()-2)/amortYears)+1), )
"),"")</f>
        <v/>
      </c>
      <c r="D1392" s="15">
        <f>MOD(ROW()-2, amortYears)+1</f>
        <v>23</v>
      </c>
      <c r="E1392" s="15" t="str">
        <f t="shared" si="1"/>
        <v/>
      </c>
      <c r="F1392" s="16">
        <f t="shared" si="2"/>
        <v>0</v>
      </c>
      <c r="G1392" s="16">
        <f>IF(D1392&lt;=mortTerm, -PMT(mortRate/12, mortTerm*12, C1392)*12, 0)
</f>
        <v>0</v>
      </c>
      <c r="H1392" s="16">
        <f>IF(D1392&lt;=mortTerm, G1392 - I1392, 0)
</f>
        <v>0</v>
      </c>
      <c r="I1392" s="16">
        <f>IF(D1392&lt;=mortTerm, F1392 - J1392, 0)
</f>
        <v>0</v>
      </c>
      <c r="J1392" s="16">
        <f>IF(D1392&lt;=mortTerm,
   F1392*(1+mortRate/12)^12 - (-PMT(mortRate/12, mortTerm*12, C1392))*(((1+mortRate/12)^12 - 1)/(mortRate/12)),
   0
)
</f>
        <v>0</v>
      </c>
      <c r="K1392" s="13" t="str">
        <f>IFERROR(__xludf.DUMMYFUNCTION("IF(A1392="""","""",
   IF(F1392&gt;0,
      INDEX(FILTER('RE Portfolio'!L$2:L2000,'RE Portfolio'!D$2:D2000=""BUY""), INT((ROW()-2)/amortYears)+1) - G1392,
      INDEX(FILTER('RE Portfolio'!L$2:L2000,'RE Portfolio'!D$2:D2000=""BUY""), INT((ROW()-2)/amortYears"&amp;")+1)
   )
)
"),"")</f>
        <v/>
      </c>
      <c r="L1392" s="15" t="str">
        <f>IFERROR(__xludf.DUMMYFUNCTION("IF(A1392="""","""",
  INDEX(FILTER('RE Portfolio'!C$2:C2000,'RE Portfolio'!D$2:D2000=""BUY""), INT((ROW()-2)/amortYears)+1)
  * (1 + VALUE(Assumptions!$B$11))^(D1392-1)
)
"),"")</f>
        <v/>
      </c>
    </row>
    <row r="1393">
      <c r="A1393" s="15" t="str">
        <f>IFERROR(__xludf.DUMMYFUNCTION("IFERROR(INDEX(FILTER('RE Portfolio'!A$2:A2000,'RE Portfolio'!D$2:D2000=""BUY""), INT((ROW()-2)/amortYears)+1), )
"),"")</f>
        <v/>
      </c>
      <c r="B1393" s="15" t="str">
        <f>IFERROR(__xludf.DUMMYFUNCTION("IFERROR(INDEX(FILTER('RE Portfolio'!B$2:B2000,'RE Portfolio'!D$2:D2000=""BUY""), INT((ROW()-2)/amortYears)+1), )
"),"")</f>
        <v/>
      </c>
      <c r="C1393" s="15" t="str">
        <f>IFERROR(__xludf.DUMMYFUNCTION("IFERROR(INDEX(FILTER('RE Portfolio'!G$2:G2000,'RE Portfolio'!D$2:D2000=""BUY""), INT((ROW()-2)/amortYears)+1), )
"),"")</f>
        <v/>
      </c>
      <c r="D1393" s="15">
        <f>MOD(ROW()-2, amortYears)+1</f>
        <v>24</v>
      </c>
      <c r="E1393" s="15" t="str">
        <f t="shared" si="1"/>
        <v/>
      </c>
      <c r="F1393" s="16">
        <f t="shared" si="2"/>
        <v>0</v>
      </c>
      <c r="G1393" s="16">
        <f>IF(D1393&lt;=mortTerm, -PMT(mortRate/12, mortTerm*12, C1393)*12, 0)
</f>
        <v>0</v>
      </c>
      <c r="H1393" s="16">
        <f>IF(D1393&lt;=mortTerm, G1393 - I1393, 0)
</f>
        <v>0</v>
      </c>
      <c r="I1393" s="16">
        <f>IF(D1393&lt;=mortTerm, F1393 - J1393, 0)
</f>
        <v>0</v>
      </c>
      <c r="J1393" s="16">
        <f>IF(D1393&lt;=mortTerm,
   F1393*(1+mortRate/12)^12 - (-PMT(mortRate/12, mortTerm*12, C1393))*(((1+mortRate/12)^12 - 1)/(mortRate/12)),
   0
)
</f>
        <v>0</v>
      </c>
      <c r="K1393" s="13" t="str">
        <f>IFERROR(__xludf.DUMMYFUNCTION("IF(A1393="""","""",
   IF(F1393&gt;0,
      INDEX(FILTER('RE Portfolio'!L$2:L2000,'RE Portfolio'!D$2:D2000=""BUY""), INT((ROW()-2)/amortYears)+1) - G1393,
      INDEX(FILTER('RE Portfolio'!L$2:L2000,'RE Portfolio'!D$2:D2000=""BUY""), INT((ROW()-2)/amortYears"&amp;")+1)
   )
)
"),"")</f>
        <v/>
      </c>
      <c r="L1393" s="15" t="str">
        <f>IFERROR(__xludf.DUMMYFUNCTION("IF(A1393="""","""",
  INDEX(FILTER('RE Portfolio'!C$2:C2000,'RE Portfolio'!D$2:D2000=""BUY""), INT((ROW()-2)/amortYears)+1)
  * (1 + VALUE(Assumptions!$B$11))^(D1393-1)
)
"),"")</f>
        <v/>
      </c>
    </row>
    <row r="1394">
      <c r="A1394" s="15" t="str">
        <f>IFERROR(__xludf.DUMMYFUNCTION("IFERROR(INDEX(FILTER('RE Portfolio'!A$2:A2000,'RE Portfolio'!D$2:D2000=""BUY""), INT((ROW()-2)/amortYears)+1), )
"),"")</f>
        <v/>
      </c>
      <c r="B1394" s="15" t="str">
        <f>IFERROR(__xludf.DUMMYFUNCTION("IFERROR(INDEX(FILTER('RE Portfolio'!B$2:B2000,'RE Portfolio'!D$2:D2000=""BUY""), INT((ROW()-2)/amortYears)+1), )
"),"")</f>
        <v/>
      </c>
      <c r="C1394" s="15" t="str">
        <f>IFERROR(__xludf.DUMMYFUNCTION("IFERROR(INDEX(FILTER('RE Portfolio'!G$2:G2000,'RE Portfolio'!D$2:D2000=""BUY""), INT((ROW()-2)/amortYears)+1), )
"),"")</f>
        <v/>
      </c>
      <c r="D1394" s="15">
        <f>MOD(ROW()-2, amortYears)+1</f>
        <v>25</v>
      </c>
      <c r="E1394" s="15" t="str">
        <f t="shared" si="1"/>
        <v/>
      </c>
      <c r="F1394" s="16">
        <f t="shared" si="2"/>
        <v>0</v>
      </c>
      <c r="G1394" s="16">
        <f>IF(D1394&lt;=mortTerm, -PMT(mortRate/12, mortTerm*12, C1394)*12, 0)
</f>
        <v>0</v>
      </c>
      <c r="H1394" s="16">
        <f>IF(D1394&lt;=mortTerm, G1394 - I1394, 0)
</f>
        <v>0</v>
      </c>
      <c r="I1394" s="16">
        <f>IF(D1394&lt;=mortTerm, F1394 - J1394, 0)
</f>
        <v>0</v>
      </c>
      <c r="J1394" s="16">
        <f>IF(D1394&lt;=mortTerm,
   F1394*(1+mortRate/12)^12 - (-PMT(mortRate/12, mortTerm*12, C1394))*(((1+mortRate/12)^12 - 1)/(mortRate/12)),
   0
)
</f>
        <v>0</v>
      </c>
      <c r="K1394" s="13" t="str">
        <f>IFERROR(__xludf.DUMMYFUNCTION("IF(A1394="""","""",
   IF(F1394&gt;0,
      INDEX(FILTER('RE Portfolio'!L$2:L2000,'RE Portfolio'!D$2:D2000=""BUY""), INT((ROW()-2)/amortYears)+1) - G1394,
      INDEX(FILTER('RE Portfolio'!L$2:L2000,'RE Portfolio'!D$2:D2000=""BUY""), INT((ROW()-2)/amortYears"&amp;")+1)
   )
)
"),"")</f>
        <v/>
      </c>
      <c r="L1394" s="15" t="str">
        <f>IFERROR(__xludf.DUMMYFUNCTION("IF(A1394="""","""",
  INDEX(FILTER('RE Portfolio'!C$2:C2000,'RE Portfolio'!D$2:D2000=""BUY""), INT((ROW()-2)/amortYears)+1)
  * (1 + VALUE(Assumptions!$B$11))^(D1394-1)
)
"),"")</f>
        <v/>
      </c>
    </row>
    <row r="1395">
      <c r="A1395" s="15" t="str">
        <f>IFERROR(__xludf.DUMMYFUNCTION("IFERROR(INDEX(FILTER('RE Portfolio'!A$2:A2000,'RE Portfolio'!D$2:D2000=""BUY""), INT((ROW()-2)/amortYears)+1), )
"),"")</f>
        <v/>
      </c>
      <c r="B1395" s="15" t="str">
        <f>IFERROR(__xludf.DUMMYFUNCTION("IFERROR(INDEX(FILTER('RE Portfolio'!B$2:B2000,'RE Portfolio'!D$2:D2000=""BUY""), INT((ROW()-2)/amortYears)+1), )
"),"")</f>
        <v/>
      </c>
      <c r="C1395" s="15" t="str">
        <f>IFERROR(__xludf.DUMMYFUNCTION("IFERROR(INDEX(FILTER('RE Portfolio'!G$2:G2000,'RE Portfolio'!D$2:D2000=""BUY""), INT((ROW()-2)/amortYears)+1), )
"),"")</f>
        <v/>
      </c>
      <c r="D1395" s="15">
        <f>MOD(ROW()-2, amortYears)+1</f>
        <v>26</v>
      </c>
      <c r="E1395" s="15" t="str">
        <f t="shared" si="1"/>
        <v/>
      </c>
      <c r="F1395" s="16">
        <f t="shared" si="2"/>
        <v>0</v>
      </c>
      <c r="G1395" s="16">
        <f>IF(D1395&lt;=mortTerm, -PMT(mortRate/12, mortTerm*12, C1395)*12, 0)
</f>
        <v>0</v>
      </c>
      <c r="H1395" s="16">
        <f>IF(D1395&lt;=mortTerm, G1395 - I1395, 0)
</f>
        <v>0</v>
      </c>
      <c r="I1395" s="16">
        <f>IF(D1395&lt;=mortTerm, F1395 - J1395, 0)
</f>
        <v>0</v>
      </c>
      <c r="J1395" s="16">
        <f>IF(D1395&lt;=mortTerm,
   F1395*(1+mortRate/12)^12 - (-PMT(mortRate/12, mortTerm*12, C1395))*(((1+mortRate/12)^12 - 1)/(mortRate/12)),
   0
)
</f>
        <v>0</v>
      </c>
      <c r="K1395" s="13" t="str">
        <f>IFERROR(__xludf.DUMMYFUNCTION("IF(A1395="""","""",
   IF(F1395&gt;0,
      INDEX(FILTER('RE Portfolio'!L$2:L2000,'RE Portfolio'!D$2:D2000=""BUY""), INT((ROW()-2)/amortYears)+1) - G1395,
      INDEX(FILTER('RE Portfolio'!L$2:L2000,'RE Portfolio'!D$2:D2000=""BUY""), INT((ROW()-2)/amortYears"&amp;")+1)
   )
)
"),"")</f>
        <v/>
      </c>
      <c r="L1395" s="15" t="str">
        <f>IFERROR(__xludf.DUMMYFUNCTION("IF(A1395="""","""",
  INDEX(FILTER('RE Portfolio'!C$2:C2000,'RE Portfolio'!D$2:D2000=""BUY""), INT((ROW()-2)/amortYears)+1)
  * (1 + VALUE(Assumptions!$B$11))^(D1395-1)
)
"),"")</f>
        <v/>
      </c>
    </row>
    <row r="1396">
      <c r="A1396" s="15" t="str">
        <f>IFERROR(__xludf.DUMMYFUNCTION("IFERROR(INDEX(FILTER('RE Portfolio'!A$2:A2000,'RE Portfolio'!D$2:D2000=""BUY""), INT((ROW()-2)/amortYears)+1), )
"),"")</f>
        <v/>
      </c>
      <c r="B1396" s="15" t="str">
        <f>IFERROR(__xludf.DUMMYFUNCTION("IFERROR(INDEX(FILTER('RE Portfolio'!B$2:B2000,'RE Portfolio'!D$2:D2000=""BUY""), INT((ROW()-2)/amortYears)+1), )
"),"")</f>
        <v/>
      </c>
      <c r="C1396" s="15" t="str">
        <f>IFERROR(__xludf.DUMMYFUNCTION("IFERROR(INDEX(FILTER('RE Portfolio'!G$2:G2000,'RE Portfolio'!D$2:D2000=""BUY""), INT((ROW()-2)/amortYears)+1), )
"),"")</f>
        <v/>
      </c>
      <c r="D1396" s="15">
        <f>MOD(ROW()-2, amortYears)+1</f>
        <v>27</v>
      </c>
      <c r="E1396" s="15" t="str">
        <f t="shared" si="1"/>
        <v/>
      </c>
      <c r="F1396" s="16">
        <f t="shared" si="2"/>
        <v>0</v>
      </c>
      <c r="G1396" s="16">
        <f>IF(D1396&lt;=mortTerm, -PMT(mortRate/12, mortTerm*12, C1396)*12, 0)
</f>
        <v>0</v>
      </c>
      <c r="H1396" s="16">
        <f>IF(D1396&lt;=mortTerm, G1396 - I1396, 0)
</f>
        <v>0</v>
      </c>
      <c r="I1396" s="16">
        <f>IF(D1396&lt;=mortTerm, F1396 - J1396, 0)
</f>
        <v>0</v>
      </c>
      <c r="J1396" s="16">
        <f>IF(D1396&lt;=mortTerm,
   F1396*(1+mortRate/12)^12 - (-PMT(mortRate/12, mortTerm*12, C1396))*(((1+mortRate/12)^12 - 1)/(mortRate/12)),
   0
)
</f>
        <v>0</v>
      </c>
      <c r="K1396" s="13" t="str">
        <f>IFERROR(__xludf.DUMMYFUNCTION("IF(A1396="""","""",
   IF(F1396&gt;0,
      INDEX(FILTER('RE Portfolio'!L$2:L2000,'RE Portfolio'!D$2:D2000=""BUY""), INT((ROW()-2)/amortYears)+1) - G1396,
      INDEX(FILTER('RE Portfolio'!L$2:L2000,'RE Portfolio'!D$2:D2000=""BUY""), INT((ROW()-2)/amortYears"&amp;")+1)
   )
)
"),"")</f>
        <v/>
      </c>
      <c r="L1396" s="15" t="str">
        <f>IFERROR(__xludf.DUMMYFUNCTION("IF(A1396="""","""",
  INDEX(FILTER('RE Portfolio'!C$2:C2000,'RE Portfolio'!D$2:D2000=""BUY""), INT((ROW()-2)/amortYears)+1)
  * (1 + VALUE(Assumptions!$B$11))^(D1396-1)
)
"),"")</f>
        <v/>
      </c>
    </row>
    <row r="1397">
      <c r="A1397" s="15" t="str">
        <f>IFERROR(__xludf.DUMMYFUNCTION("IFERROR(INDEX(FILTER('RE Portfolio'!A$2:A2000,'RE Portfolio'!D$2:D2000=""BUY""), INT((ROW()-2)/amortYears)+1), )
"),"")</f>
        <v/>
      </c>
      <c r="B1397" s="15" t="str">
        <f>IFERROR(__xludf.DUMMYFUNCTION("IFERROR(INDEX(FILTER('RE Portfolio'!B$2:B2000,'RE Portfolio'!D$2:D2000=""BUY""), INT((ROW()-2)/amortYears)+1), )
"),"")</f>
        <v/>
      </c>
      <c r="C1397" s="15" t="str">
        <f>IFERROR(__xludf.DUMMYFUNCTION("IFERROR(INDEX(FILTER('RE Portfolio'!G$2:G2000,'RE Portfolio'!D$2:D2000=""BUY""), INT((ROW()-2)/amortYears)+1), )
"),"")</f>
        <v/>
      </c>
      <c r="D1397" s="15">
        <f>MOD(ROW()-2, amortYears)+1</f>
        <v>28</v>
      </c>
      <c r="E1397" s="15" t="str">
        <f t="shared" si="1"/>
        <v/>
      </c>
      <c r="F1397" s="16">
        <f t="shared" si="2"/>
        <v>0</v>
      </c>
      <c r="G1397" s="16">
        <f>IF(D1397&lt;=mortTerm, -PMT(mortRate/12, mortTerm*12, C1397)*12, 0)
</f>
        <v>0</v>
      </c>
      <c r="H1397" s="16">
        <f>IF(D1397&lt;=mortTerm, G1397 - I1397, 0)
</f>
        <v>0</v>
      </c>
      <c r="I1397" s="16">
        <f>IF(D1397&lt;=mortTerm, F1397 - J1397, 0)
</f>
        <v>0</v>
      </c>
      <c r="J1397" s="16">
        <f>IF(D1397&lt;=mortTerm,
   F1397*(1+mortRate/12)^12 - (-PMT(mortRate/12, mortTerm*12, C1397))*(((1+mortRate/12)^12 - 1)/(mortRate/12)),
   0
)
</f>
        <v>0</v>
      </c>
      <c r="K1397" s="13" t="str">
        <f>IFERROR(__xludf.DUMMYFUNCTION("IF(A1397="""","""",
   IF(F1397&gt;0,
      INDEX(FILTER('RE Portfolio'!L$2:L2000,'RE Portfolio'!D$2:D2000=""BUY""), INT((ROW()-2)/amortYears)+1) - G1397,
      INDEX(FILTER('RE Portfolio'!L$2:L2000,'RE Portfolio'!D$2:D2000=""BUY""), INT((ROW()-2)/amortYears"&amp;")+1)
   )
)
"),"")</f>
        <v/>
      </c>
      <c r="L1397" s="15" t="str">
        <f>IFERROR(__xludf.DUMMYFUNCTION("IF(A1397="""","""",
  INDEX(FILTER('RE Portfolio'!C$2:C2000,'RE Portfolio'!D$2:D2000=""BUY""), INT((ROW()-2)/amortYears)+1)
  * (1 + VALUE(Assumptions!$B$11))^(D1397-1)
)
"),"")</f>
        <v/>
      </c>
    </row>
    <row r="1398">
      <c r="A1398" s="15" t="str">
        <f>IFERROR(__xludf.DUMMYFUNCTION("IFERROR(INDEX(FILTER('RE Portfolio'!A$2:A2000,'RE Portfolio'!D$2:D2000=""BUY""), INT((ROW()-2)/amortYears)+1), )
"),"")</f>
        <v/>
      </c>
      <c r="B1398" s="15" t="str">
        <f>IFERROR(__xludf.DUMMYFUNCTION("IFERROR(INDEX(FILTER('RE Portfolio'!B$2:B2000,'RE Portfolio'!D$2:D2000=""BUY""), INT((ROW()-2)/amortYears)+1), )
"),"")</f>
        <v/>
      </c>
      <c r="C1398" s="15" t="str">
        <f>IFERROR(__xludf.DUMMYFUNCTION("IFERROR(INDEX(FILTER('RE Portfolio'!G$2:G2000,'RE Portfolio'!D$2:D2000=""BUY""), INT((ROW()-2)/amortYears)+1), )
"),"")</f>
        <v/>
      </c>
      <c r="D1398" s="15">
        <f>MOD(ROW()-2, amortYears)+1</f>
        <v>29</v>
      </c>
      <c r="E1398" s="15" t="str">
        <f t="shared" si="1"/>
        <v/>
      </c>
      <c r="F1398" s="16">
        <f t="shared" si="2"/>
        <v>0</v>
      </c>
      <c r="G1398" s="16">
        <f>IF(D1398&lt;=mortTerm, -PMT(mortRate/12, mortTerm*12, C1398)*12, 0)
</f>
        <v>0</v>
      </c>
      <c r="H1398" s="16">
        <f>IF(D1398&lt;=mortTerm, G1398 - I1398, 0)
</f>
        <v>0</v>
      </c>
      <c r="I1398" s="16">
        <f>IF(D1398&lt;=mortTerm, F1398 - J1398, 0)
</f>
        <v>0</v>
      </c>
      <c r="J1398" s="16">
        <f>IF(D1398&lt;=mortTerm,
   F1398*(1+mortRate/12)^12 - (-PMT(mortRate/12, mortTerm*12, C1398))*(((1+mortRate/12)^12 - 1)/(mortRate/12)),
   0
)
</f>
        <v>0</v>
      </c>
      <c r="K1398" s="13" t="str">
        <f>IFERROR(__xludf.DUMMYFUNCTION("IF(A1398="""","""",
   IF(F1398&gt;0,
      INDEX(FILTER('RE Portfolio'!L$2:L2000,'RE Portfolio'!D$2:D2000=""BUY""), INT((ROW()-2)/amortYears)+1) - G1398,
      INDEX(FILTER('RE Portfolio'!L$2:L2000,'RE Portfolio'!D$2:D2000=""BUY""), INT((ROW()-2)/amortYears"&amp;")+1)
   )
)
"),"")</f>
        <v/>
      </c>
      <c r="L1398" s="15" t="str">
        <f>IFERROR(__xludf.DUMMYFUNCTION("IF(A1398="""","""",
  INDEX(FILTER('RE Portfolio'!C$2:C2000,'RE Portfolio'!D$2:D2000=""BUY""), INT((ROW()-2)/amortYears)+1)
  * (1 + VALUE(Assumptions!$B$11))^(D1398-1)
)
"),"")</f>
        <v/>
      </c>
    </row>
    <row r="1399">
      <c r="A1399" s="15" t="str">
        <f>IFERROR(__xludf.DUMMYFUNCTION("IFERROR(INDEX(FILTER('RE Portfolio'!A$2:A2000,'RE Portfolio'!D$2:D2000=""BUY""), INT((ROW()-2)/amortYears)+1), )
"),"")</f>
        <v/>
      </c>
      <c r="B1399" s="15" t="str">
        <f>IFERROR(__xludf.DUMMYFUNCTION("IFERROR(INDEX(FILTER('RE Portfolio'!B$2:B2000,'RE Portfolio'!D$2:D2000=""BUY""), INT((ROW()-2)/amortYears)+1), )
"),"")</f>
        <v/>
      </c>
      <c r="C1399" s="15" t="str">
        <f>IFERROR(__xludf.DUMMYFUNCTION("IFERROR(INDEX(FILTER('RE Portfolio'!G$2:G2000,'RE Portfolio'!D$2:D2000=""BUY""), INT((ROW()-2)/amortYears)+1), )
"),"")</f>
        <v/>
      </c>
      <c r="D1399" s="15">
        <f>MOD(ROW()-2, amortYears)+1</f>
        <v>30</v>
      </c>
      <c r="E1399" s="15" t="str">
        <f t="shared" si="1"/>
        <v/>
      </c>
      <c r="F1399" s="16">
        <f t="shared" si="2"/>
        <v>0</v>
      </c>
      <c r="G1399" s="16">
        <f>IF(D1399&lt;=mortTerm, -PMT(mortRate/12, mortTerm*12, C1399)*12, 0)
</f>
        <v>0</v>
      </c>
      <c r="H1399" s="16">
        <f>IF(D1399&lt;=mortTerm, G1399 - I1399, 0)
</f>
        <v>0</v>
      </c>
      <c r="I1399" s="16">
        <f>IF(D1399&lt;=mortTerm, F1399 - J1399, 0)
</f>
        <v>0</v>
      </c>
      <c r="J1399" s="16">
        <f>IF(D1399&lt;=mortTerm,
   F1399*(1+mortRate/12)^12 - (-PMT(mortRate/12, mortTerm*12, C1399))*(((1+mortRate/12)^12 - 1)/(mortRate/12)),
   0
)
</f>
        <v>0</v>
      </c>
      <c r="K1399" s="13" t="str">
        <f>IFERROR(__xludf.DUMMYFUNCTION("IF(A1399="""","""",
   IF(F1399&gt;0,
      INDEX(FILTER('RE Portfolio'!L$2:L2000,'RE Portfolio'!D$2:D2000=""BUY""), INT((ROW()-2)/amortYears)+1) - G1399,
      INDEX(FILTER('RE Portfolio'!L$2:L2000,'RE Portfolio'!D$2:D2000=""BUY""), INT((ROW()-2)/amortYears"&amp;")+1)
   )
)
"),"")</f>
        <v/>
      </c>
      <c r="L1399" s="15" t="str">
        <f>IFERROR(__xludf.DUMMYFUNCTION("IF(A1399="""","""",
  INDEX(FILTER('RE Portfolio'!C$2:C2000,'RE Portfolio'!D$2:D2000=""BUY""), INT((ROW()-2)/amortYears)+1)
  * (1 + VALUE(Assumptions!$B$11))^(D1399-1)
)
"),"")</f>
        <v/>
      </c>
    </row>
    <row r="1400">
      <c r="A1400" s="15" t="str">
        <f>IFERROR(__xludf.DUMMYFUNCTION("IFERROR(INDEX(FILTER('RE Portfolio'!A$2:A2000,'RE Portfolio'!D$2:D2000=""BUY""), INT((ROW()-2)/amortYears)+1), )
"),"")</f>
        <v/>
      </c>
      <c r="B1400" s="15" t="str">
        <f>IFERROR(__xludf.DUMMYFUNCTION("IFERROR(INDEX(FILTER('RE Portfolio'!B$2:B2000,'RE Portfolio'!D$2:D2000=""BUY""), INT((ROW()-2)/amortYears)+1), )
"),"")</f>
        <v/>
      </c>
      <c r="C1400" s="15" t="str">
        <f>IFERROR(__xludf.DUMMYFUNCTION("IFERROR(INDEX(FILTER('RE Portfolio'!G$2:G2000,'RE Portfolio'!D$2:D2000=""BUY""), INT((ROW()-2)/amortYears)+1), )
"),"")</f>
        <v/>
      </c>
      <c r="D1400" s="15">
        <f>MOD(ROW()-2, amortYears)+1</f>
        <v>31</v>
      </c>
      <c r="E1400" s="15" t="str">
        <f t="shared" si="1"/>
        <v/>
      </c>
      <c r="F1400" s="16">
        <f t="shared" si="2"/>
        <v>0</v>
      </c>
      <c r="G1400" s="15">
        <f>IF(D1400&lt;=mortTerm, -PMT(mortRate/12, mortTerm*12, C1400)*12, 0)
</f>
        <v>0</v>
      </c>
      <c r="H1400" s="15">
        <f>IF(D1400&lt;=mortTerm, G1400 - I1400, 0)
</f>
        <v>0</v>
      </c>
      <c r="I1400" s="15">
        <f>IF(D1400&lt;=mortTerm, F1400 - J1400, 0)
</f>
        <v>0</v>
      </c>
      <c r="J1400" s="15">
        <f>IF(D1400&lt;=mortTerm,
   F1400*(1+mortRate/12)^12 - (-PMT(mortRate/12, mortTerm*12, C1400))*(((1+mortRate/12)^12 - 1)/(mortRate/12)),
   0
)
</f>
        <v>0</v>
      </c>
      <c r="K1400" s="13" t="str">
        <f>IFERROR(__xludf.DUMMYFUNCTION("IF(A1400="""","""",
   IF(F1400&gt;0,
      INDEX(FILTER('RE Portfolio'!L$2:L2000,'RE Portfolio'!D$2:D2000=""BUY""), INT((ROW()-2)/amortYears)+1) - G1400,
      INDEX(FILTER('RE Portfolio'!L$2:L2000,'RE Portfolio'!D$2:D2000=""BUY""), INT((ROW()-2)/amortYears"&amp;")+1)
   )
)
"),"")</f>
        <v/>
      </c>
      <c r="L1400" s="15" t="str">
        <f>IFERROR(__xludf.DUMMYFUNCTION("IF(A1400="""","""",
  INDEX(FILTER('RE Portfolio'!C$2:C2000,'RE Portfolio'!D$2:D2000=""BUY""), INT((ROW()-2)/amortYears)+1)
  * (1 + VALUE(Assumptions!$B$11))^(D1400-1)
)
"),"")</f>
        <v/>
      </c>
    </row>
    <row r="1401">
      <c r="A1401" s="15" t="str">
        <f>IFERROR(__xludf.DUMMYFUNCTION("IFERROR(INDEX(FILTER('RE Portfolio'!A$2:A2000,'RE Portfolio'!D$2:D2000=""BUY""), INT((ROW()-2)/amortYears)+1), )
"),"")</f>
        <v/>
      </c>
      <c r="B1401" s="15" t="str">
        <f>IFERROR(__xludf.DUMMYFUNCTION("IFERROR(INDEX(FILTER('RE Portfolio'!B$2:B2000,'RE Portfolio'!D$2:D2000=""BUY""), INT((ROW()-2)/amortYears)+1), )
"),"")</f>
        <v/>
      </c>
      <c r="C1401" s="15" t="str">
        <f>IFERROR(__xludf.DUMMYFUNCTION("IFERROR(INDEX(FILTER('RE Portfolio'!G$2:G2000,'RE Portfolio'!D$2:D2000=""BUY""), INT((ROW()-2)/amortYears)+1), )
"),"")</f>
        <v/>
      </c>
      <c r="D1401" s="15">
        <f>MOD(ROW()-2, amortYears)+1</f>
        <v>32</v>
      </c>
      <c r="E1401" s="15" t="str">
        <f t="shared" si="1"/>
        <v/>
      </c>
      <c r="F1401" s="15">
        <f t="shared" si="2"/>
        <v>0</v>
      </c>
      <c r="G1401" s="15">
        <f>IF(D1401&lt;=mortTerm, -PMT(mortRate/12, mortTerm*12, C1401)*12, 0)
</f>
        <v>0</v>
      </c>
      <c r="H1401" s="15">
        <f>IF(D1401&lt;=mortTerm, G1401 - I1401, 0)
</f>
        <v>0</v>
      </c>
      <c r="I1401" s="15">
        <f>IF(D1401&lt;=mortTerm, F1401 - J1401, 0)
</f>
        <v>0</v>
      </c>
      <c r="J1401" s="15">
        <f>IF(D1401&lt;=mortTerm,
   F1401*(1+mortRate/12)^12 - (-PMT(mortRate/12, mortTerm*12, C1401))*(((1+mortRate/12)^12 - 1)/(mortRate/12)),
   0
)
</f>
        <v>0</v>
      </c>
      <c r="K1401" s="13" t="str">
        <f>IFERROR(__xludf.DUMMYFUNCTION("IF(A1401="""","""",
   IF(F1401&gt;0,
      INDEX(FILTER('RE Portfolio'!L$2:L2000,'RE Portfolio'!D$2:D2000=""BUY""), INT((ROW()-2)/amortYears)+1) - G1401,
      INDEX(FILTER('RE Portfolio'!L$2:L2000,'RE Portfolio'!D$2:D2000=""BUY""), INT((ROW()-2)/amortYears"&amp;")+1)
   )
)
"),"")</f>
        <v/>
      </c>
      <c r="L1401" s="15" t="str">
        <f>IFERROR(__xludf.DUMMYFUNCTION("IF(A1401="""","""",
  INDEX(FILTER('RE Portfolio'!C$2:C2000,'RE Portfolio'!D$2:D2000=""BUY""), INT((ROW()-2)/amortYears)+1)
  * (1 + VALUE(Assumptions!$B$11))^(D1401-1)
)
"),"")</f>
        <v/>
      </c>
    </row>
    <row r="1402">
      <c r="K1402" s="13"/>
    </row>
    <row r="1403">
      <c r="K1403" s="13"/>
    </row>
    <row r="1404">
      <c r="K1404" s="13"/>
    </row>
    <row r="1405">
      <c r="K1405" s="13"/>
    </row>
    <row r="1406">
      <c r="K1406" s="13"/>
    </row>
    <row r="1407">
      <c r="K1407" s="13"/>
    </row>
    <row r="1408">
      <c r="K1408" s="13"/>
    </row>
    <row r="1409">
      <c r="K1409" s="13"/>
    </row>
    <row r="1410">
      <c r="K1410" s="13"/>
    </row>
    <row r="1411">
      <c r="K1411" s="13"/>
    </row>
    <row r="1412">
      <c r="K1412" s="13"/>
    </row>
    <row r="1413">
      <c r="K1413" s="13"/>
    </row>
    <row r="1414">
      <c r="K1414" s="13"/>
    </row>
    <row r="1415">
      <c r="K1415" s="13"/>
    </row>
    <row r="1416">
      <c r="K1416" s="13"/>
    </row>
    <row r="1417">
      <c r="K1417" s="13"/>
    </row>
    <row r="1418">
      <c r="K1418" s="13"/>
    </row>
    <row r="1419">
      <c r="K1419" s="13"/>
    </row>
    <row r="1420">
      <c r="K1420" s="13"/>
    </row>
    <row r="1421">
      <c r="K1421" s="13"/>
    </row>
    <row r="1422">
      <c r="K1422" s="13"/>
    </row>
    <row r="1423">
      <c r="K1423" s="13"/>
    </row>
    <row r="1424">
      <c r="K1424" s="13"/>
    </row>
    <row r="1425">
      <c r="K1425" s="13"/>
    </row>
    <row r="1426">
      <c r="K1426" s="13"/>
    </row>
    <row r="1427">
      <c r="K1427" s="13"/>
    </row>
    <row r="1428">
      <c r="K1428" s="13"/>
    </row>
    <row r="1429">
      <c r="K1429" s="13"/>
    </row>
    <row r="1430">
      <c r="K1430" s="13"/>
    </row>
    <row r="1431">
      <c r="K1431" s="13"/>
    </row>
    <row r="1432">
      <c r="K1432" s="13"/>
    </row>
    <row r="1433">
      <c r="K1433" s="13"/>
    </row>
    <row r="1434">
      <c r="K1434" s="13"/>
    </row>
    <row r="1435">
      <c r="K1435" s="13"/>
    </row>
    <row r="1436">
      <c r="K1436" s="13"/>
    </row>
    <row r="1437">
      <c r="K1437" s="13"/>
    </row>
    <row r="1438">
      <c r="K1438" s="13"/>
    </row>
    <row r="1439">
      <c r="K1439" s="13"/>
    </row>
    <row r="1440">
      <c r="K1440" s="13"/>
    </row>
    <row r="1441">
      <c r="K1441" s="13"/>
    </row>
    <row r="1442">
      <c r="K1442" s="13"/>
    </row>
    <row r="1443">
      <c r="K1443" s="13"/>
    </row>
    <row r="1444">
      <c r="K1444" s="13"/>
    </row>
    <row r="1445">
      <c r="K1445" s="13"/>
    </row>
    <row r="1446">
      <c r="K1446" s="13"/>
    </row>
    <row r="1447">
      <c r="K1447" s="13"/>
    </row>
    <row r="1448">
      <c r="K1448" s="13"/>
    </row>
    <row r="1449">
      <c r="K1449" s="13"/>
    </row>
    <row r="1450">
      <c r="K1450" s="13"/>
    </row>
    <row r="1451">
      <c r="K1451" s="13"/>
    </row>
    <row r="1452">
      <c r="K1452" s="13"/>
    </row>
    <row r="1453">
      <c r="K1453" s="13"/>
    </row>
    <row r="1454">
      <c r="K1454" s="13"/>
    </row>
    <row r="1455">
      <c r="K1455" s="13"/>
    </row>
    <row r="1456">
      <c r="K1456" s="13"/>
    </row>
    <row r="1457">
      <c r="K1457" s="13"/>
    </row>
    <row r="1458">
      <c r="K1458" s="13"/>
    </row>
    <row r="1459">
      <c r="K1459" s="13"/>
    </row>
    <row r="1460">
      <c r="K1460" s="13"/>
    </row>
    <row r="1461">
      <c r="K1461" s="13"/>
    </row>
    <row r="1462">
      <c r="K1462" s="13"/>
    </row>
    <row r="1463">
      <c r="K1463" s="13"/>
    </row>
    <row r="1464">
      <c r="K1464" s="13"/>
    </row>
    <row r="1465">
      <c r="K1465" s="13"/>
    </row>
    <row r="1466">
      <c r="K1466" s="13"/>
    </row>
    <row r="1467">
      <c r="K1467" s="13"/>
    </row>
    <row r="1468">
      <c r="K1468" s="13"/>
    </row>
    <row r="1469">
      <c r="K1469" s="13"/>
    </row>
    <row r="1470">
      <c r="K1470" s="13"/>
    </row>
    <row r="1471">
      <c r="K1471" s="13"/>
    </row>
    <row r="1472">
      <c r="K1472" s="13"/>
    </row>
    <row r="1473">
      <c r="K1473" s="13"/>
    </row>
    <row r="1474">
      <c r="K1474" s="13"/>
    </row>
    <row r="1475">
      <c r="K1475" s="13"/>
    </row>
    <row r="1476">
      <c r="K1476" s="13"/>
    </row>
    <row r="1477">
      <c r="K1477" s="13"/>
    </row>
    <row r="1478">
      <c r="K1478" s="13"/>
    </row>
    <row r="1479">
      <c r="K1479" s="13"/>
    </row>
    <row r="1480">
      <c r="K1480" s="13"/>
    </row>
    <row r="1481">
      <c r="K1481" s="13"/>
    </row>
    <row r="1482">
      <c r="K1482" s="13"/>
    </row>
    <row r="1483">
      <c r="K1483" s="13"/>
    </row>
    <row r="1484">
      <c r="K1484" s="13"/>
    </row>
    <row r="1485">
      <c r="K1485" s="13"/>
    </row>
    <row r="1486">
      <c r="K1486" s="13"/>
    </row>
    <row r="1487">
      <c r="K1487" s="13"/>
    </row>
    <row r="1488">
      <c r="K1488" s="13"/>
    </row>
    <row r="1489">
      <c r="K1489" s="13"/>
    </row>
    <row r="1490">
      <c r="K1490" s="13"/>
    </row>
    <row r="1491">
      <c r="K1491" s="13"/>
    </row>
    <row r="1492">
      <c r="K1492" s="13"/>
    </row>
    <row r="1493">
      <c r="K1493" s="13"/>
    </row>
    <row r="1494">
      <c r="K1494" s="13"/>
    </row>
    <row r="1495">
      <c r="K1495" s="13"/>
    </row>
    <row r="1496">
      <c r="K1496" s="13"/>
    </row>
    <row r="1497">
      <c r="K1497" s="13"/>
    </row>
    <row r="1498">
      <c r="K1498" s="13"/>
    </row>
    <row r="1499">
      <c r="K1499" s="13"/>
    </row>
    <row r="1500">
      <c r="K1500" s="13"/>
    </row>
    <row r="1501">
      <c r="K1501" s="13"/>
    </row>
    <row r="1502">
      <c r="K1502" s="13"/>
    </row>
    <row r="1503">
      <c r="K1503" s="13"/>
    </row>
    <row r="1504">
      <c r="K1504" s="13"/>
    </row>
    <row r="1505">
      <c r="K1505" s="13"/>
    </row>
    <row r="1506">
      <c r="K1506" s="13"/>
    </row>
    <row r="1507">
      <c r="K1507" s="13"/>
    </row>
    <row r="1508">
      <c r="K1508" s="13"/>
    </row>
    <row r="1509">
      <c r="K1509" s="13"/>
    </row>
    <row r="1510">
      <c r="K1510" s="13"/>
    </row>
    <row r="1511">
      <c r="K1511" s="13"/>
    </row>
    <row r="1512">
      <c r="K1512" s="13"/>
    </row>
    <row r="1513">
      <c r="K1513" s="13"/>
    </row>
    <row r="1514">
      <c r="K1514" s="13"/>
    </row>
    <row r="1515">
      <c r="K1515" s="13"/>
    </row>
    <row r="1516">
      <c r="K1516" s="13"/>
    </row>
    <row r="1517">
      <c r="K1517" s="13"/>
    </row>
    <row r="1518">
      <c r="K1518" s="13"/>
    </row>
    <row r="1519">
      <c r="K1519" s="13"/>
    </row>
    <row r="1520">
      <c r="K1520" s="13"/>
    </row>
    <row r="1521">
      <c r="K1521" s="13"/>
    </row>
    <row r="1522">
      <c r="K1522" s="13"/>
    </row>
    <row r="1523">
      <c r="K1523" s="13"/>
    </row>
    <row r="1524">
      <c r="K1524" s="13"/>
    </row>
    <row r="1525">
      <c r="K1525" s="13"/>
    </row>
    <row r="1526">
      <c r="K1526" s="13"/>
    </row>
    <row r="1527">
      <c r="K1527" s="13"/>
    </row>
    <row r="1528">
      <c r="K1528" s="13"/>
    </row>
    <row r="1529">
      <c r="K1529" s="13"/>
    </row>
    <row r="1530">
      <c r="K1530" s="13"/>
    </row>
    <row r="1531">
      <c r="K1531" s="13"/>
    </row>
    <row r="1532">
      <c r="K1532" s="13"/>
    </row>
    <row r="1533">
      <c r="K1533" s="13"/>
    </row>
    <row r="1534">
      <c r="K1534" s="13"/>
    </row>
    <row r="1535">
      <c r="K1535" s="13"/>
    </row>
    <row r="1536">
      <c r="K1536" s="13"/>
    </row>
    <row r="1537">
      <c r="K1537" s="13"/>
    </row>
    <row r="1538">
      <c r="K1538" s="13"/>
    </row>
    <row r="1539">
      <c r="K1539" s="13"/>
    </row>
    <row r="1540">
      <c r="K1540" s="13"/>
    </row>
    <row r="1541">
      <c r="K1541" s="13"/>
    </row>
    <row r="1542">
      <c r="K1542" s="13"/>
    </row>
    <row r="1543">
      <c r="K1543" s="13"/>
    </row>
    <row r="1544">
      <c r="K1544" s="13"/>
    </row>
    <row r="1545">
      <c r="K1545" s="13"/>
    </row>
    <row r="1546">
      <c r="K1546" s="13"/>
    </row>
    <row r="1547">
      <c r="K1547" s="13"/>
    </row>
    <row r="1548">
      <c r="K1548" s="13"/>
    </row>
    <row r="1549">
      <c r="K1549" s="13"/>
    </row>
    <row r="1550">
      <c r="K1550" s="13"/>
    </row>
    <row r="1551">
      <c r="K1551" s="13"/>
    </row>
    <row r="1552">
      <c r="K1552" s="13"/>
    </row>
    <row r="1553">
      <c r="K1553" s="13"/>
    </row>
    <row r="1554">
      <c r="K1554" s="13"/>
    </row>
    <row r="1555">
      <c r="K1555" s="13"/>
    </row>
    <row r="1556">
      <c r="K1556" s="13"/>
    </row>
    <row r="1557">
      <c r="K1557" s="13"/>
    </row>
    <row r="1558">
      <c r="K1558" s="13"/>
    </row>
    <row r="1559">
      <c r="K1559" s="13"/>
    </row>
    <row r="1560">
      <c r="K1560" s="13"/>
    </row>
    <row r="1561">
      <c r="K1561" s="13"/>
    </row>
    <row r="1562">
      <c r="K1562" s="13"/>
    </row>
    <row r="1563">
      <c r="K1563" s="13"/>
    </row>
    <row r="1564">
      <c r="K1564" s="13"/>
    </row>
    <row r="1565">
      <c r="K1565" s="13"/>
    </row>
    <row r="1566">
      <c r="K1566" s="13"/>
    </row>
    <row r="1567">
      <c r="K1567" s="13"/>
    </row>
    <row r="1568">
      <c r="K1568" s="13"/>
    </row>
    <row r="1569">
      <c r="K1569" s="13"/>
    </row>
    <row r="1570">
      <c r="K1570" s="13"/>
    </row>
    <row r="1571">
      <c r="K1571" s="13"/>
    </row>
    <row r="1572">
      <c r="K1572" s="13"/>
    </row>
    <row r="1573">
      <c r="K1573" s="13"/>
    </row>
    <row r="1574">
      <c r="K1574" s="13"/>
    </row>
    <row r="1575">
      <c r="K1575" s="13"/>
    </row>
    <row r="1576">
      <c r="K1576" s="13"/>
    </row>
    <row r="1577">
      <c r="K1577" s="13"/>
    </row>
    <row r="1578">
      <c r="K1578" s="13"/>
    </row>
    <row r="1579">
      <c r="K1579" s="13"/>
    </row>
    <row r="1580">
      <c r="K1580" s="13"/>
    </row>
    <row r="1581">
      <c r="K1581" s="13"/>
    </row>
    <row r="1582">
      <c r="K1582" s="13"/>
    </row>
    <row r="1583">
      <c r="K1583" s="13"/>
    </row>
    <row r="1584">
      <c r="K1584" s="13"/>
    </row>
    <row r="1585">
      <c r="K1585" s="13"/>
    </row>
    <row r="1586">
      <c r="K1586" s="13"/>
    </row>
    <row r="1587">
      <c r="K1587" s="13"/>
    </row>
    <row r="1588">
      <c r="K1588" s="13"/>
    </row>
    <row r="1589">
      <c r="K1589" s="13"/>
    </row>
    <row r="1590">
      <c r="K1590" s="13"/>
    </row>
    <row r="1591">
      <c r="K1591" s="13"/>
    </row>
    <row r="1592">
      <c r="K1592" s="13"/>
    </row>
    <row r="1593">
      <c r="K1593" s="13"/>
    </row>
    <row r="1594">
      <c r="K1594" s="13"/>
    </row>
    <row r="1595">
      <c r="K1595" s="13"/>
    </row>
    <row r="1596">
      <c r="K1596" s="13"/>
    </row>
    <row r="1597">
      <c r="K1597" s="13"/>
    </row>
    <row r="1598">
      <c r="K1598" s="13"/>
    </row>
    <row r="1599">
      <c r="K1599" s="13"/>
    </row>
    <row r="1600">
      <c r="K1600" s="13"/>
    </row>
    <row r="1601">
      <c r="K1601" s="13"/>
    </row>
    <row r="1602">
      <c r="K1602" s="13"/>
    </row>
    <row r="1603">
      <c r="K1603" s="13"/>
    </row>
    <row r="1604">
      <c r="K1604" s="13"/>
    </row>
    <row r="1605">
      <c r="K1605" s="13"/>
    </row>
    <row r="1606">
      <c r="K1606" s="13"/>
    </row>
    <row r="1607">
      <c r="K1607" s="13"/>
    </row>
    <row r="1608">
      <c r="K1608" s="13"/>
    </row>
    <row r="1609">
      <c r="K1609" s="13"/>
    </row>
    <row r="1610">
      <c r="K1610" s="13"/>
    </row>
    <row r="1611">
      <c r="K1611" s="13"/>
    </row>
    <row r="1612">
      <c r="K1612" s="13"/>
    </row>
    <row r="1613">
      <c r="K1613" s="13"/>
    </row>
    <row r="1614">
      <c r="K1614" s="13"/>
    </row>
    <row r="1615">
      <c r="K1615" s="13"/>
    </row>
    <row r="1616">
      <c r="K1616" s="13"/>
    </row>
    <row r="1617">
      <c r="K1617" s="13"/>
    </row>
    <row r="1618">
      <c r="K1618" s="13"/>
    </row>
    <row r="1619">
      <c r="K1619" s="13"/>
    </row>
    <row r="1620">
      <c r="K1620" s="13"/>
    </row>
    <row r="1621">
      <c r="K1621" s="13"/>
    </row>
    <row r="1622">
      <c r="K1622" s="13"/>
    </row>
    <row r="1623">
      <c r="K1623" s="13"/>
    </row>
    <row r="1624">
      <c r="K1624" s="13"/>
    </row>
    <row r="1625">
      <c r="K1625" s="13"/>
    </row>
    <row r="1626">
      <c r="K1626" s="13"/>
    </row>
    <row r="1627">
      <c r="K1627" s="13"/>
    </row>
    <row r="1628">
      <c r="K1628" s="13"/>
    </row>
    <row r="1629">
      <c r="K1629" s="13"/>
    </row>
    <row r="1630">
      <c r="K1630" s="13"/>
    </row>
    <row r="1631">
      <c r="K1631" s="13"/>
    </row>
    <row r="1632">
      <c r="K1632" s="13"/>
    </row>
    <row r="1633">
      <c r="K1633" s="13"/>
    </row>
    <row r="1634">
      <c r="K1634" s="13"/>
    </row>
    <row r="1635">
      <c r="K1635" s="13"/>
    </row>
    <row r="1636">
      <c r="K1636" s="13"/>
    </row>
    <row r="1637">
      <c r="K1637" s="13"/>
    </row>
    <row r="1638">
      <c r="K1638" s="13"/>
    </row>
    <row r="1639">
      <c r="K1639" s="13"/>
    </row>
    <row r="1640">
      <c r="K1640" s="13"/>
    </row>
    <row r="1641">
      <c r="K1641" s="13"/>
    </row>
    <row r="1642">
      <c r="K1642" s="13"/>
    </row>
    <row r="1643">
      <c r="K1643" s="13"/>
    </row>
    <row r="1644">
      <c r="K1644" s="13"/>
    </row>
    <row r="1645">
      <c r="K1645" s="13"/>
    </row>
    <row r="1646">
      <c r="K1646" s="13"/>
    </row>
    <row r="1647">
      <c r="K1647" s="13"/>
    </row>
    <row r="1648">
      <c r="K1648" s="13"/>
    </row>
    <row r="1649">
      <c r="K1649" s="13"/>
    </row>
    <row r="1650">
      <c r="K1650" s="13"/>
    </row>
    <row r="1651">
      <c r="K1651" s="13"/>
    </row>
    <row r="1652">
      <c r="K1652" s="13"/>
    </row>
    <row r="1653">
      <c r="K1653" s="13"/>
    </row>
    <row r="1654">
      <c r="K1654" s="13"/>
    </row>
    <row r="1655">
      <c r="K1655" s="13"/>
    </row>
    <row r="1656">
      <c r="K1656" s="13"/>
    </row>
    <row r="1657">
      <c r="K1657" s="13"/>
    </row>
    <row r="1658">
      <c r="K1658" s="13"/>
    </row>
    <row r="1659">
      <c r="K1659" s="13"/>
    </row>
    <row r="1660">
      <c r="K1660" s="13"/>
    </row>
    <row r="1661">
      <c r="K1661" s="13"/>
    </row>
    <row r="1662">
      <c r="K1662" s="13"/>
    </row>
    <row r="1663">
      <c r="K1663" s="13"/>
    </row>
    <row r="1664">
      <c r="K1664" s="13"/>
    </row>
    <row r="1665">
      <c r="K1665" s="13"/>
    </row>
    <row r="1666">
      <c r="K1666" s="13"/>
    </row>
    <row r="1667">
      <c r="K1667" s="13"/>
    </row>
    <row r="1668">
      <c r="K1668" s="13"/>
    </row>
    <row r="1669">
      <c r="K1669" s="13"/>
    </row>
    <row r="1670">
      <c r="K1670" s="13"/>
    </row>
    <row r="1671">
      <c r="K1671" s="13"/>
    </row>
    <row r="1672">
      <c r="K1672" s="13"/>
    </row>
    <row r="1673">
      <c r="K1673" s="13"/>
    </row>
    <row r="1674">
      <c r="K1674" s="13"/>
    </row>
    <row r="1675">
      <c r="K1675" s="13"/>
    </row>
    <row r="1676">
      <c r="K1676" s="13"/>
    </row>
    <row r="1677">
      <c r="K1677" s="13"/>
    </row>
    <row r="1678">
      <c r="K1678" s="13"/>
    </row>
    <row r="1679">
      <c r="K1679" s="13"/>
    </row>
    <row r="1680">
      <c r="K1680" s="13"/>
    </row>
    <row r="1681">
      <c r="K1681" s="13"/>
    </row>
    <row r="1682">
      <c r="K1682" s="13"/>
    </row>
    <row r="1683">
      <c r="K1683" s="13"/>
    </row>
    <row r="1684">
      <c r="K1684" s="13"/>
    </row>
    <row r="1685">
      <c r="K1685" s="13"/>
    </row>
    <row r="1686">
      <c r="K1686" s="13"/>
    </row>
    <row r="1687">
      <c r="K1687" s="13"/>
    </row>
    <row r="1688">
      <c r="K1688" s="13"/>
    </row>
    <row r="1689">
      <c r="K1689" s="13"/>
    </row>
    <row r="1690">
      <c r="K1690" s="13"/>
    </row>
    <row r="1691">
      <c r="K1691" s="13"/>
    </row>
    <row r="1692">
      <c r="K1692" s="13"/>
    </row>
    <row r="1693">
      <c r="K1693" s="13"/>
    </row>
    <row r="1694">
      <c r="K1694" s="13"/>
    </row>
    <row r="1695">
      <c r="K1695" s="13"/>
    </row>
    <row r="1696">
      <c r="K1696" s="13"/>
    </row>
    <row r="1697">
      <c r="K1697" s="13"/>
    </row>
    <row r="1698">
      <c r="K1698" s="13"/>
    </row>
    <row r="1699">
      <c r="K1699" s="13"/>
    </row>
    <row r="1700">
      <c r="K1700" s="13"/>
    </row>
    <row r="1701">
      <c r="K1701" s="13"/>
    </row>
    <row r="1702">
      <c r="K1702" s="13"/>
    </row>
    <row r="1703">
      <c r="K1703" s="13"/>
    </row>
    <row r="1704">
      <c r="K1704" s="13"/>
    </row>
    <row r="1705">
      <c r="K1705" s="13"/>
    </row>
    <row r="1706">
      <c r="K1706" s="13"/>
    </row>
    <row r="1707">
      <c r="K1707" s="13"/>
    </row>
    <row r="1708">
      <c r="K1708" s="13"/>
    </row>
    <row r="1709">
      <c r="K1709" s="13"/>
    </row>
    <row r="1710">
      <c r="K1710" s="13"/>
    </row>
    <row r="1711">
      <c r="K1711" s="13"/>
    </row>
    <row r="1712">
      <c r="K1712" s="13"/>
    </row>
    <row r="1713">
      <c r="K1713" s="13"/>
    </row>
    <row r="1714">
      <c r="K1714" s="13"/>
    </row>
    <row r="1715">
      <c r="K1715" s="13"/>
    </row>
    <row r="1716">
      <c r="K1716" s="13"/>
    </row>
    <row r="1717">
      <c r="K1717" s="13"/>
    </row>
    <row r="1718">
      <c r="K1718" s="13"/>
    </row>
    <row r="1719">
      <c r="K1719" s="13"/>
    </row>
    <row r="1720">
      <c r="K1720" s="13"/>
    </row>
    <row r="1721">
      <c r="K1721" s="13"/>
    </row>
    <row r="1722">
      <c r="K1722" s="13"/>
    </row>
    <row r="1723">
      <c r="K1723" s="13"/>
    </row>
    <row r="1724">
      <c r="K1724" s="13"/>
    </row>
    <row r="1725">
      <c r="K1725" s="13"/>
    </row>
    <row r="1726">
      <c r="K1726" s="13"/>
    </row>
    <row r="1727">
      <c r="K1727" s="13"/>
    </row>
    <row r="1728">
      <c r="K1728" s="13"/>
    </row>
    <row r="1729">
      <c r="K1729" s="13"/>
    </row>
    <row r="1730">
      <c r="K1730" s="13"/>
    </row>
    <row r="1731">
      <c r="K1731" s="13"/>
    </row>
    <row r="1732">
      <c r="K1732" s="13"/>
    </row>
    <row r="1733">
      <c r="K1733" s="13"/>
    </row>
    <row r="1734">
      <c r="K1734" s="13"/>
    </row>
    <row r="1735">
      <c r="K1735" s="13"/>
    </row>
    <row r="1736">
      <c r="K1736" s="13"/>
    </row>
    <row r="1737">
      <c r="K1737" s="13"/>
    </row>
    <row r="1738">
      <c r="K1738" s="13"/>
    </row>
    <row r="1739">
      <c r="K1739" s="13"/>
    </row>
    <row r="1740">
      <c r="K1740" s="13"/>
    </row>
    <row r="1741">
      <c r="K1741" s="13"/>
    </row>
    <row r="1742">
      <c r="K1742" s="13"/>
    </row>
    <row r="1743">
      <c r="K1743" s="13"/>
    </row>
    <row r="1744">
      <c r="K1744" s="13"/>
    </row>
    <row r="1745">
      <c r="K1745" s="13"/>
    </row>
    <row r="1746">
      <c r="K1746" s="13"/>
    </row>
    <row r="1747">
      <c r="K1747" s="13"/>
    </row>
    <row r="1748">
      <c r="K1748" s="13"/>
    </row>
    <row r="1749">
      <c r="K1749" s="13"/>
    </row>
    <row r="1750">
      <c r="K1750" s="13"/>
    </row>
    <row r="1751">
      <c r="K1751" s="13"/>
    </row>
    <row r="1752">
      <c r="K1752" s="13"/>
    </row>
    <row r="1753">
      <c r="K1753" s="13"/>
    </row>
    <row r="1754">
      <c r="K1754" s="13"/>
    </row>
    <row r="1755">
      <c r="K1755" s="13"/>
    </row>
    <row r="1756">
      <c r="K1756" s="13"/>
    </row>
    <row r="1757">
      <c r="K1757" s="13"/>
    </row>
    <row r="1758">
      <c r="K1758" s="13"/>
    </row>
    <row r="1759">
      <c r="K1759" s="13"/>
    </row>
    <row r="1760">
      <c r="K1760" s="13"/>
    </row>
    <row r="1761">
      <c r="K1761" s="13"/>
    </row>
    <row r="1762">
      <c r="K1762" s="13"/>
    </row>
    <row r="1763">
      <c r="K1763" s="13"/>
    </row>
    <row r="1764">
      <c r="K1764" s="13"/>
    </row>
    <row r="1765">
      <c r="K1765" s="13"/>
    </row>
    <row r="1766">
      <c r="K1766" s="13"/>
    </row>
    <row r="1767">
      <c r="K1767" s="13"/>
    </row>
    <row r="1768">
      <c r="K1768" s="13"/>
    </row>
    <row r="1769">
      <c r="K1769" s="13"/>
    </row>
    <row r="1770">
      <c r="K1770" s="13"/>
    </row>
    <row r="1771">
      <c r="K1771" s="13"/>
    </row>
    <row r="1772">
      <c r="K1772" s="13"/>
    </row>
    <row r="1773">
      <c r="K1773" s="13"/>
    </row>
    <row r="1774">
      <c r="K1774" s="13"/>
    </row>
    <row r="1775">
      <c r="K1775" s="13"/>
    </row>
    <row r="1776">
      <c r="K1776" s="13"/>
    </row>
    <row r="1777">
      <c r="K1777" s="13"/>
    </row>
    <row r="1778">
      <c r="K1778" s="13"/>
    </row>
    <row r="1779">
      <c r="K1779" s="13"/>
    </row>
    <row r="1780">
      <c r="K1780" s="13"/>
    </row>
    <row r="1781">
      <c r="K1781" s="13"/>
    </row>
    <row r="1782">
      <c r="K1782" s="13"/>
    </row>
    <row r="1783">
      <c r="K1783" s="13"/>
    </row>
    <row r="1784">
      <c r="K1784" s="13"/>
    </row>
    <row r="1785">
      <c r="K1785" s="13"/>
    </row>
    <row r="1786">
      <c r="K1786" s="13"/>
    </row>
    <row r="1787">
      <c r="K1787" s="13"/>
    </row>
    <row r="1788">
      <c r="K1788" s="13"/>
    </row>
    <row r="1789">
      <c r="K1789" s="13"/>
    </row>
    <row r="1790">
      <c r="K1790" s="13"/>
    </row>
    <row r="1791">
      <c r="K1791" s="13"/>
    </row>
    <row r="1792">
      <c r="K1792" s="13"/>
    </row>
    <row r="1793">
      <c r="K1793" s="13"/>
    </row>
    <row r="1794">
      <c r="K1794" s="13"/>
    </row>
    <row r="1795">
      <c r="K1795" s="13"/>
    </row>
    <row r="1796">
      <c r="K1796" s="13"/>
    </row>
    <row r="1797">
      <c r="K1797" s="13"/>
    </row>
    <row r="1798">
      <c r="K1798" s="13"/>
    </row>
    <row r="1799">
      <c r="K1799" s="13"/>
    </row>
    <row r="1800">
      <c r="K1800" s="13"/>
    </row>
    <row r="1801">
      <c r="K1801" s="13"/>
    </row>
    <row r="1802">
      <c r="K1802" s="13"/>
    </row>
    <row r="1803">
      <c r="K1803" s="13"/>
    </row>
    <row r="1804">
      <c r="K1804" s="13"/>
    </row>
    <row r="1805">
      <c r="K1805" s="13"/>
    </row>
    <row r="1806">
      <c r="K1806" s="13"/>
    </row>
    <row r="1807">
      <c r="K1807" s="13"/>
    </row>
    <row r="1808">
      <c r="K1808" s="13"/>
    </row>
    <row r="1809">
      <c r="K1809" s="13"/>
    </row>
    <row r="1810">
      <c r="K1810" s="13"/>
    </row>
    <row r="1811">
      <c r="K1811" s="13"/>
    </row>
    <row r="1812">
      <c r="K1812" s="13"/>
    </row>
    <row r="1813">
      <c r="K1813" s="13"/>
    </row>
    <row r="1814">
      <c r="K1814" s="13"/>
    </row>
    <row r="1815">
      <c r="K1815" s="13"/>
    </row>
    <row r="1816">
      <c r="K1816" s="13"/>
    </row>
    <row r="1817">
      <c r="K1817" s="13"/>
    </row>
    <row r="1818">
      <c r="K1818" s="13"/>
    </row>
    <row r="1819">
      <c r="K1819" s="13"/>
    </row>
    <row r="1820">
      <c r="K1820" s="13"/>
    </row>
    <row r="1821">
      <c r="K1821" s="13"/>
    </row>
    <row r="1822">
      <c r="K1822" s="13"/>
    </row>
    <row r="1823">
      <c r="K1823" s="13"/>
    </row>
    <row r="1824">
      <c r="K1824" s="13"/>
    </row>
    <row r="1825">
      <c r="K1825" s="13"/>
    </row>
    <row r="1826">
      <c r="K1826" s="13"/>
    </row>
    <row r="1827">
      <c r="K1827" s="13"/>
    </row>
    <row r="1828">
      <c r="K1828" s="13"/>
    </row>
    <row r="1829">
      <c r="K1829" s="13"/>
    </row>
    <row r="1830">
      <c r="K1830" s="13"/>
    </row>
    <row r="1831">
      <c r="K1831" s="13"/>
    </row>
    <row r="1832">
      <c r="K1832" s="13"/>
    </row>
    <row r="1833">
      <c r="K1833" s="13"/>
    </row>
    <row r="1834">
      <c r="K1834" s="13"/>
    </row>
    <row r="1835">
      <c r="K1835" s="13"/>
    </row>
    <row r="1836">
      <c r="K1836" s="13"/>
    </row>
    <row r="1837">
      <c r="K1837" s="13"/>
    </row>
    <row r="1838">
      <c r="K1838" s="13"/>
    </row>
    <row r="1839">
      <c r="K1839" s="13"/>
    </row>
    <row r="1840">
      <c r="K1840" s="13"/>
    </row>
    <row r="1841">
      <c r="K1841" s="13"/>
    </row>
    <row r="1842">
      <c r="K1842" s="13"/>
    </row>
    <row r="1843">
      <c r="K1843" s="13"/>
    </row>
    <row r="1844">
      <c r="K1844" s="13"/>
    </row>
    <row r="1845">
      <c r="K1845" s="13"/>
    </row>
    <row r="1846">
      <c r="K1846" s="13"/>
    </row>
    <row r="1847">
      <c r="K1847" s="13"/>
    </row>
    <row r="1848">
      <c r="K1848" s="13"/>
    </row>
    <row r="1849">
      <c r="K1849" s="13"/>
    </row>
    <row r="1850">
      <c r="K1850" s="13"/>
    </row>
    <row r="1851">
      <c r="K1851" s="13"/>
    </row>
    <row r="1852">
      <c r="K1852" s="13"/>
    </row>
    <row r="1853">
      <c r="K1853" s="13"/>
    </row>
    <row r="1854">
      <c r="K1854" s="13"/>
    </row>
    <row r="1855">
      <c r="K1855" s="13"/>
    </row>
    <row r="1856">
      <c r="K1856" s="13"/>
    </row>
    <row r="1857">
      <c r="K1857" s="13"/>
    </row>
    <row r="1858">
      <c r="K1858" s="13"/>
    </row>
    <row r="1859">
      <c r="K1859" s="13"/>
    </row>
    <row r="1860">
      <c r="K1860" s="13"/>
    </row>
    <row r="1861">
      <c r="K1861" s="13"/>
    </row>
    <row r="1862">
      <c r="K1862" s="13"/>
    </row>
    <row r="1863">
      <c r="K1863" s="13"/>
    </row>
    <row r="1864">
      <c r="K1864" s="13"/>
    </row>
    <row r="1865">
      <c r="K1865" s="13"/>
    </row>
    <row r="1866">
      <c r="K1866" s="13"/>
    </row>
    <row r="1867">
      <c r="K1867" s="13"/>
    </row>
    <row r="1868">
      <c r="K1868" s="13"/>
    </row>
    <row r="1869">
      <c r="K1869" s="13"/>
    </row>
    <row r="1870">
      <c r="K1870" s="13"/>
    </row>
    <row r="1871">
      <c r="K1871" s="13"/>
    </row>
    <row r="1872">
      <c r="K1872" s="13"/>
    </row>
    <row r="1873">
      <c r="K1873" s="13"/>
    </row>
    <row r="1874">
      <c r="K1874" s="13"/>
    </row>
    <row r="1875">
      <c r="K1875" s="13"/>
    </row>
    <row r="1876">
      <c r="K1876" s="13"/>
    </row>
    <row r="1877">
      <c r="K1877" s="13"/>
    </row>
    <row r="1878">
      <c r="K1878" s="13"/>
    </row>
    <row r="1879">
      <c r="K1879" s="13"/>
    </row>
    <row r="1880">
      <c r="K1880" s="13"/>
    </row>
    <row r="1881">
      <c r="K1881" s="13"/>
    </row>
    <row r="1882">
      <c r="K1882" s="13"/>
    </row>
    <row r="1883">
      <c r="K1883" s="13"/>
    </row>
    <row r="1884">
      <c r="K1884" s="13"/>
    </row>
    <row r="1885">
      <c r="K1885" s="13"/>
    </row>
    <row r="1886">
      <c r="K1886" s="13"/>
    </row>
    <row r="1887">
      <c r="K1887" s="13"/>
    </row>
    <row r="1888">
      <c r="K1888" s="13"/>
    </row>
    <row r="1889">
      <c r="K1889" s="13"/>
    </row>
    <row r="1890">
      <c r="K1890" s="13"/>
    </row>
    <row r="1891">
      <c r="K1891" s="13"/>
    </row>
    <row r="1892">
      <c r="K1892" s="13"/>
    </row>
    <row r="1893">
      <c r="K1893" s="13"/>
    </row>
    <row r="1894">
      <c r="K1894" s="13"/>
    </row>
    <row r="1895">
      <c r="K1895" s="13"/>
    </row>
    <row r="1896">
      <c r="K1896" s="13"/>
    </row>
    <row r="1897">
      <c r="K1897" s="13"/>
    </row>
    <row r="1898">
      <c r="K1898" s="13"/>
    </row>
    <row r="1899">
      <c r="K1899" s="13"/>
    </row>
    <row r="1900">
      <c r="K1900" s="13"/>
    </row>
    <row r="1901">
      <c r="K1901" s="13"/>
    </row>
    <row r="1902">
      <c r="K1902" s="13"/>
    </row>
    <row r="1903">
      <c r="K1903" s="13"/>
    </row>
    <row r="1904">
      <c r="K1904" s="13"/>
    </row>
    <row r="1905">
      <c r="K1905" s="13"/>
    </row>
    <row r="1906">
      <c r="K1906" s="13"/>
    </row>
    <row r="1907">
      <c r="K1907" s="13"/>
    </row>
    <row r="1908">
      <c r="K1908" s="13"/>
    </row>
    <row r="1909">
      <c r="K1909" s="13"/>
    </row>
    <row r="1910">
      <c r="K1910" s="13"/>
    </row>
    <row r="1911">
      <c r="K1911" s="13"/>
    </row>
    <row r="1912">
      <c r="K1912" s="13"/>
    </row>
    <row r="1913">
      <c r="K1913" s="13"/>
    </row>
    <row r="1914">
      <c r="K1914" s="13"/>
    </row>
    <row r="1915">
      <c r="K1915" s="13"/>
    </row>
    <row r="1916">
      <c r="K1916" s="13"/>
    </row>
    <row r="1917">
      <c r="K1917" s="13"/>
    </row>
    <row r="1918">
      <c r="K1918" s="13"/>
    </row>
    <row r="1919">
      <c r="K1919" s="13"/>
    </row>
    <row r="1920">
      <c r="K1920" s="13"/>
    </row>
    <row r="1921">
      <c r="K1921" s="13"/>
    </row>
    <row r="1922">
      <c r="K1922" s="13"/>
    </row>
    <row r="1923">
      <c r="K1923" s="13"/>
    </row>
    <row r="1924">
      <c r="K1924" s="13"/>
    </row>
    <row r="1925">
      <c r="K1925" s="13"/>
    </row>
    <row r="1926">
      <c r="K1926" s="13"/>
    </row>
    <row r="1927">
      <c r="K1927" s="13"/>
    </row>
    <row r="1928">
      <c r="K1928" s="13"/>
    </row>
    <row r="1929">
      <c r="K1929" s="13"/>
    </row>
    <row r="1930">
      <c r="K1930" s="13"/>
    </row>
    <row r="1931">
      <c r="K1931" s="13"/>
    </row>
    <row r="1932">
      <c r="K1932" s="13"/>
    </row>
    <row r="1933">
      <c r="K1933" s="13"/>
    </row>
    <row r="1934">
      <c r="K1934" s="13"/>
    </row>
    <row r="1935">
      <c r="K1935" s="13"/>
    </row>
    <row r="1936">
      <c r="K1936" s="13"/>
    </row>
    <row r="1937">
      <c r="K1937" s="13"/>
    </row>
    <row r="1938">
      <c r="K1938" s="13"/>
    </row>
    <row r="1939">
      <c r="K1939" s="13"/>
    </row>
    <row r="1940">
      <c r="K1940" s="13"/>
    </row>
    <row r="1941">
      <c r="K1941" s="13"/>
    </row>
    <row r="1942">
      <c r="K1942" s="13"/>
    </row>
    <row r="1943">
      <c r="K1943" s="13"/>
    </row>
    <row r="1944">
      <c r="K1944" s="13"/>
    </row>
    <row r="1945">
      <c r="K1945" s="13"/>
    </row>
    <row r="1946">
      <c r="K1946" s="13"/>
    </row>
    <row r="1947">
      <c r="K1947" s="13"/>
    </row>
    <row r="1948">
      <c r="K1948" s="13"/>
    </row>
    <row r="1949">
      <c r="K1949" s="13"/>
    </row>
    <row r="1950">
      <c r="K1950" s="13"/>
    </row>
    <row r="1951">
      <c r="K1951" s="13"/>
    </row>
    <row r="1952">
      <c r="K1952" s="13"/>
    </row>
    <row r="1953">
      <c r="K1953" s="13"/>
    </row>
    <row r="1954">
      <c r="K1954" s="13"/>
    </row>
    <row r="1955">
      <c r="K1955" s="13"/>
    </row>
    <row r="1956">
      <c r="K1956" s="13"/>
    </row>
    <row r="1957">
      <c r="K1957" s="13"/>
    </row>
    <row r="1958">
      <c r="K1958" s="13"/>
    </row>
    <row r="1959">
      <c r="K1959" s="13"/>
    </row>
    <row r="1960">
      <c r="K1960" s="13"/>
    </row>
    <row r="1961">
      <c r="K1961" s="13"/>
    </row>
    <row r="1962">
      <c r="K1962" s="13"/>
    </row>
    <row r="1963">
      <c r="K1963" s="13"/>
    </row>
    <row r="1964">
      <c r="K1964" s="13"/>
    </row>
    <row r="1965">
      <c r="K1965" s="13"/>
    </row>
    <row r="1966">
      <c r="K1966" s="13"/>
    </row>
    <row r="1967">
      <c r="K1967" s="13"/>
    </row>
    <row r="1968">
      <c r="K1968" s="13"/>
    </row>
    <row r="1969">
      <c r="K1969" s="13"/>
    </row>
    <row r="1970">
      <c r="K1970" s="13"/>
    </row>
    <row r="1971">
      <c r="K1971" s="13"/>
    </row>
    <row r="1972">
      <c r="K1972" s="13"/>
    </row>
    <row r="1973">
      <c r="K1973" s="13"/>
    </row>
    <row r="1974">
      <c r="K1974" s="13"/>
    </row>
    <row r="1975">
      <c r="K1975" s="13"/>
    </row>
    <row r="1976">
      <c r="K1976" s="13"/>
    </row>
    <row r="1977">
      <c r="K1977" s="13"/>
    </row>
    <row r="1978">
      <c r="K1978" s="13"/>
    </row>
    <row r="1979">
      <c r="K1979" s="13"/>
    </row>
    <row r="1980">
      <c r="K1980" s="13"/>
    </row>
    <row r="1981">
      <c r="K1981" s="13"/>
    </row>
    <row r="1982">
      <c r="K1982" s="13"/>
    </row>
    <row r="1983">
      <c r="K1983" s="13"/>
    </row>
    <row r="1984">
      <c r="K1984" s="13"/>
    </row>
    <row r="1985">
      <c r="K1985" s="13"/>
    </row>
    <row r="1986">
      <c r="K1986" s="13"/>
    </row>
    <row r="1987">
      <c r="K1987" s="13"/>
    </row>
    <row r="1988">
      <c r="K1988" s="13"/>
    </row>
    <row r="1989">
      <c r="K1989" s="13"/>
    </row>
    <row r="1990">
      <c r="K1990" s="13"/>
    </row>
    <row r="1991">
      <c r="K1991" s="13"/>
    </row>
    <row r="1992">
      <c r="K1992" s="13"/>
    </row>
    <row r="1993">
      <c r="K1993" s="13"/>
    </row>
    <row r="1994">
      <c r="K1994" s="13"/>
    </row>
    <row r="1995">
      <c r="K1995" s="13"/>
    </row>
    <row r="1996">
      <c r="K1996" s="13"/>
    </row>
    <row r="1997">
      <c r="K1997" s="13"/>
    </row>
    <row r="1998">
      <c r="K1998" s="13"/>
    </row>
    <row r="1999">
      <c r="K1999" s="13"/>
    </row>
    <row r="2000">
      <c r="K2000" s="1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75"/>
    <col customWidth="1" min="2" max="2" width="5.75"/>
    <col customWidth="1" min="17" max="17" width="15.0"/>
  </cols>
  <sheetData>
    <row r="1" ht="15.75" customHeight="1">
      <c r="A1" s="1" t="s">
        <v>163</v>
      </c>
      <c r="B1" s="1">
        <v>16.0</v>
      </c>
    </row>
    <row r="2" ht="15.75" customHeight="1">
      <c r="A2" s="1" t="s">
        <v>164</v>
      </c>
      <c r="B2" s="1">
        <v>2025.0</v>
      </c>
    </row>
    <row r="3" ht="15.75" customHeight="1">
      <c r="A3" s="1" t="s">
        <v>165</v>
      </c>
      <c r="B3" s="1">
        <v>75.0</v>
      </c>
    </row>
    <row r="4" ht="15.75" customHeight="1">
      <c r="A4" s="1" t="s">
        <v>166</v>
      </c>
      <c r="B4" s="3">
        <v>0.025</v>
      </c>
    </row>
    <row r="5" ht="15.75" customHeight="1"/>
    <row r="6" ht="15.75" customHeight="1">
      <c r="A6" s="1" t="s">
        <v>167</v>
      </c>
      <c r="E6" s="1" t="str">
        <f>IFERROR(__xludf.DUMMYFUNCTION("SPLIT(A6,"","")
"),"Aircraft")</f>
        <v>Aircraft</v>
      </c>
      <c r="F6" s="1" t="str">
        <f>IFERROR(__xludf.DUMMYFUNCTION("""COMPUTED_VALUE"""),"Seat")</f>
        <v>Seat</v>
      </c>
      <c r="G6" s="1" t="str">
        <f>IFERROR(__xludf.DUMMYFUNCTION("""COMPUTED_VALUE"""),"YOS")</f>
        <v>YOS</v>
      </c>
      <c r="H6" s="1" t="str">
        <f>IFERROR(__xludf.DUMMYFUNCTION("""COMPUTED_VALUE"""),"Rate_2026")</f>
        <v>Rate_2026</v>
      </c>
      <c r="K6" s="1" t="s">
        <v>131</v>
      </c>
      <c r="L6" s="1" t="s">
        <v>168</v>
      </c>
      <c r="M6" s="1" t="s">
        <v>169</v>
      </c>
      <c r="N6" s="1" t="s">
        <v>170</v>
      </c>
      <c r="O6" s="1" t="s">
        <v>171</v>
      </c>
      <c r="P6" s="1" t="s">
        <v>172</v>
      </c>
      <c r="Q6" s="1" t="s">
        <v>173</v>
      </c>
      <c r="R6" s="1" t="s">
        <v>174</v>
      </c>
    </row>
    <row r="7" ht="15.75" customHeight="1">
      <c r="A7" s="1" t="s">
        <v>175</v>
      </c>
      <c r="E7" s="1" t="str">
        <f>IFERROR(__xludf.DUMMYFUNCTION("SPLIT(A7,"","")
"),"CRJ-900")</f>
        <v>CRJ-900</v>
      </c>
      <c r="F7" s="1" t="str">
        <f>IFERROR(__xludf.DUMMYFUNCTION("""COMPUTED_VALUE"""),"FO")</f>
        <v>FO</v>
      </c>
      <c r="G7" s="1">
        <f>IFERROR(__xludf.DUMMYFUNCTION("""COMPUTED_VALUE"""),1.0)</f>
        <v>1</v>
      </c>
      <c r="H7" s="1">
        <f>IFERROR(__xludf.DUMMYFUNCTION("""COMPUTED_VALUE"""),125.52)</f>
        <v>125.52</v>
      </c>
      <c r="K7" s="1">
        <v>20.0</v>
      </c>
      <c r="L7" s="1">
        <f>startYear + (K7 - startAge)
</f>
        <v>2029</v>
      </c>
      <c r="M7" s="1"/>
      <c r="Q7" s="1" t="str">
        <f>IFERROR(__xludf.DUMMYFUNCTION("IFERROR(
  INDEX(
    FILTER(
      INDEX(payScale2026,,4),
      TRIM(INDEX(payScale2026,,1))=TRIM(N7),
      TRIM(INDEX(payScale2026,,2))=TRIM(O7),
      VALUE(INDEX(payScale2026,,3))=MIN(VALUE(P7),2)
    ),
  1) * (1+cola)^(L7-2026),
"""")
"),"")</f>
        <v/>
      </c>
      <c r="R7" s="1" t="str">
        <f>IF(Q7="","",ROUND(Q7*blockHrs*12,2))
</f>
        <v/>
      </c>
    </row>
    <row r="8" ht="15.75" customHeight="1">
      <c r="A8" s="1" t="s">
        <v>176</v>
      </c>
      <c r="E8" s="1" t="str">
        <f>IFERROR(__xludf.DUMMYFUNCTION("SPLIT(A8,"","")
"),"CRJ-900")</f>
        <v>CRJ-900</v>
      </c>
      <c r="F8" s="1" t="str">
        <f>IFERROR(__xludf.DUMMYFUNCTION("""COMPUTED_VALUE"""),"FO")</f>
        <v>FO</v>
      </c>
      <c r="G8" s="1">
        <f>IFERROR(__xludf.DUMMYFUNCTION("""COMPUTED_VALUE"""),2.0)</f>
        <v>2</v>
      </c>
      <c r="H8" s="1">
        <f>IFERROR(__xludf.DUMMYFUNCTION("""COMPUTED_VALUE"""),125.52)</f>
        <v>125.52</v>
      </c>
      <c r="K8" s="1">
        <v>21.0</v>
      </c>
      <c r="L8" s="1">
        <f>startYear + (K8 - startAge)
</f>
        <v>2030</v>
      </c>
      <c r="M8" s="1" t="s">
        <v>177</v>
      </c>
      <c r="N8" s="1" t="s">
        <v>178</v>
      </c>
      <c r="O8" s="1" t="s">
        <v>179</v>
      </c>
      <c r="P8" s="7">
        <f t="shared" ref="P8:P52" si="1">IF(OR(N8&lt;&gt;N7,O8&lt;&gt;O7),1,P7+1)
</f>
        <v>1</v>
      </c>
      <c r="Q8" s="9">
        <f>IFERROR(__xludf.DUMMYFUNCTION("IFERROR(
  INDEX(
    FILTER(
      INDEX(payScale2026,,4),
      TRIM(INDEX(payScale2026,,1))=TRIM(N8),
      TRIM(INDEX(payScale2026,,2))=TRIM(O8),
      VALUE(INDEX(payScale2026,,3))=VALUE(P8)
    ),
  1) * (1 + cola) ^ MAX(0, $L8 - 2026),
"""")
"),138.55059403124994)</f>
        <v>138.550594</v>
      </c>
      <c r="R8" s="9">
        <f>IF(Q8="","", ROUND(Q8*blockHrs*12,2))
</f>
        <v>124695.53</v>
      </c>
    </row>
    <row r="9" ht="15.75" customHeight="1">
      <c r="A9" s="1" t="s">
        <v>180</v>
      </c>
      <c r="E9" s="1" t="str">
        <f>IFERROR(__xludf.DUMMYFUNCTION("SPLIT(A9,"","")
"),"A321")</f>
        <v>A321</v>
      </c>
      <c r="F9" s="1" t="str">
        <f>IFERROR(__xludf.DUMMYFUNCTION("""COMPUTED_VALUE"""),"FO")</f>
        <v>FO</v>
      </c>
      <c r="G9" s="1">
        <f>IFERROR(__xludf.DUMMYFUNCTION("""COMPUTED_VALUE"""),1.0)</f>
        <v>1</v>
      </c>
      <c r="H9" s="1">
        <f>IFERROR(__xludf.DUMMYFUNCTION("""COMPUTED_VALUE"""),125.52)</f>
        <v>125.52</v>
      </c>
      <c r="K9" s="1">
        <v>22.0</v>
      </c>
      <c r="L9" s="1">
        <f>startYear + (K9 - startAge)
</f>
        <v>2031</v>
      </c>
      <c r="M9" s="1" t="s">
        <v>177</v>
      </c>
      <c r="N9" s="1" t="s">
        <v>178</v>
      </c>
      <c r="O9" s="1" t="s">
        <v>179</v>
      </c>
      <c r="P9" s="7">
        <f t="shared" si="1"/>
        <v>2</v>
      </c>
      <c r="Q9" s="9">
        <f>IFERROR(__xludf.DUMMYFUNCTION("IFERROR(
  INDEX(
    FILTER(
      INDEX(payScale2026,,4),
      TRIM(INDEX(payScale2026,,1))=TRIM(N9),
      TRIM(INDEX(payScale2026,,2))=TRIM(O9),
      VALUE(INDEX(payScale2026,,3))=VALUE(P9)
    ),
  1) * (1 + cola) ^ MAX(0, $L9 - 2026),
"""")
"),142.01435888203116)</f>
        <v>142.0143589</v>
      </c>
      <c r="R9" s="9">
        <f>IF(Q9="","", ROUND(Q9*blockHrs*12,2))
</f>
        <v>127812.92</v>
      </c>
    </row>
    <row r="10" ht="15.75" customHeight="1">
      <c r="A10" s="1" t="s">
        <v>181</v>
      </c>
      <c r="E10" s="1" t="str">
        <f>IFERROR(__xludf.DUMMYFUNCTION("SPLIT(A10,"","")
"),"A321")</f>
        <v>A321</v>
      </c>
      <c r="F10" s="1" t="str">
        <f>IFERROR(__xludf.DUMMYFUNCTION("""COMPUTED_VALUE"""),"FO")</f>
        <v>FO</v>
      </c>
      <c r="G10" s="1">
        <f>IFERROR(__xludf.DUMMYFUNCTION("""COMPUTED_VALUE"""),2.0)</f>
        <v>2</v>
      </c>
      <c r="H10" s="1">
        <f>IFERROR(__xludf.DUMMYFUNCTION("""COMPUTED_VALUE"""),198.62)</f>
        <v>198.62</v>
      </c>
      <c r="K10" s="1">
        <v>23.0</v>
      </c>
      <c r="L10" s="1">
        <f>startYear + (K10 - startAge)
</f>
        <v>2032</v>
      </c>
      <c r="M10" s="1" t="s">
        <v>182</v>
      </c>
      <c r="N10" s="1" t="s">
        <v>183</v>
      </c>
      <c r="O10" s="1" t="s">
        <v>179</v>
      </c>
      <c r="P10" s="7">
        <f t="shared" si="1"/>
        <v>1</v>
      </c>
      <c r="Q10" s="9">
        <f>IFERROR(__xludf.DUMMYFUNCTION("IFERROR(
  INDEX(
    FILTER(
      INDEX(payScale2026,,4),
      TRIM(INDEX(payScale2026,,1))=TRIM(N10),
      TRIM(INDEX(payScale2026,,2))=TRIM(O10),
      VALUE(INDEX(payScale2026,,3))=VALUE(P10)
    ),
  1) * (1 + cola) ^ MAX(0, $L10 - 2026),
"""")
"),145.56471785408195)</f>
        <v>145.5647179</v>
      </c>
      <c r="R10" s="9">
        <f>IF(Q10="","", ROUND(Q10*blockHrs*12,2))
</f>
        <v>131008.25</v>
      </c>
    </row>
    <row r="11" ht="15.75" customHeight="1">
      <c r="A11" s="1" t="s">
        <v>184</v>
      </c>
      <c r="E11" s="1" t="str">
        <f>IFERROR(__xludf.DUMMYFUNCTION("SPLIT(A11,"","")
"),"A321")</f>
        <v>A321</v>
      </c>
      <c r="F11" s="1" t="str">
        <f>IFERROR(__xludf.DUMMYFUNCTION("""COMPUTED_VALUE"""),"FO")</f>
        <v>FO</v>
      </c>
      <c r="G11" s="1">
        <f>IFERROR(__xludf.DUMMYFUNCTION("""COMPUTED_VALUE"""),3.0)</f>
        <v>3</v>
      </c>
      <c r="H11" s="1">
        <f>IFERROR(__xludf.DUMMYFUNCTION("""COMPUTED_VALUE"""),225.86)</f>
        <v>225.86</v>
      </c>
      <c r="K11" s="1">
        <v>24.0</v>
      </c>
      <c r="L11" s="1">
        <f>startYear + (K11 - startAge)
</f>
        <v>2033</v>
      </c>
      <c r="M11" s="1" t="s">
        <v>182</v>
      </c>
      <c r="N11" s="1" t="s">
        <v>183</v>
      </c>
      <c r="O11" s="1" t="s">
        <v>179</v>
      </c>
      <c r="P11" s="7">
        <f t="shared" si="1"/>
        <v>2</v>
      </c>
      <c r="Q11" s="9">
        <f>IFERROR(__xludf.DUMMYFUNCTION("IFERROR(
  INDEX(
    FILTER(
      INDEX(payScale2026,,4),
      TRIM(INDEX(payScale2026,,1))=TRIM(N11),
      TRIM(INDEX(payScale2026,,2))=TRIM(O11),
      VALUE(INDEX(payScale2026,,3))=VALUE(P11)
    ),
  1) * (1 + cola) ^ MAX(0, $L11 - 2026),
"""")
"),236.09676439358032)</f>
        <v>236.0967644</v>
      </c>
      <c r="R11" s="9">
        <f>IF(Q11="","", ROUND(Q11*blockHrs*12,2))
</f>
        <v>212487.09</v>
      </c>
    </row>
    <row r="12" ht="15.75" customHeight="1">
      <c r="A12" s="1" t="s">
        <v>185</v>
      </c>
      <c r="E12" s="1" t="str">
        <f>IFERROR(__xludf.DUMMYFUNCTION("SPLIT(A12,"","")
"),"A321")</f>
        <v>A321</v>
      </c>
      <c r="F12" s="1" t="str">
        <f>IFERROR(__xludf.DUMMYFUNCTION("""COMPUTED_VALUE"""),"CA")</f>
        <v>CA</v>
      </c>
      <c r="G12" s="1">
        <f>IFERROR(__xludf.DUMMYFUNCTION("""COMPUTED_VALUE"""),1.0)</f>
        <v>1</v>
      </c>
      <c r="H12" s="1">
        <f>IFERROR(__xludf.DUMMYFUNCTION("""COMPUTED_VALUE"""),358.98)</f>
        <v>358.98</v>
      </c>
      <c r="K12" s="1">
        <v>25.0</v>
      </c>
      <c r="L12" s="1">
        <f>startYear + (K12 - startAge)
</f>
        <v>2034</v>
      </c>
      <c r="M12" s="1" t="s">
        <v>182</v>
      </c>
      <c r="N12" s="1" t="s">
        <v>183</v>
      </c>
      <c r="O12" s="1" t="s">
        <v>179</v>
      </c>
      <c r="P12" s="7">
        <f t="shared" si="1"/>
        <v>3</v>
      </c>
      <c r="Q12" s="9">
        <f>IFERROR(__xludf.DUMMYFUNCTION("IFERROR(
  INDEX(
    FILTER(
      INDEX(payScale2026,,4),
      TRIM(INDEX(payScale2026,,1))=TRIM(N12),
      TRIM(INDEX(payScale2026,,2))=TRIM(O12),
      VALUE(INDEX(payScale2026,,3))=VALUE(P12)
    ),
  1) * (1 + cola) ^ MAX(0, $L12 - 2026),
"""")
"),275.18847843158994)</f>
        <v>275.1884784</v>
      </c>
      <c r="R12" s="9">
        <f>IF(Q12="","", ROUND(Q12*blockHrs*12,2))
</f>
        <v>247669.63</v>
      </c>
    </row>
    <row r="13" ht="15.75" customHeight="1">
      <c r="A13" s="1" t="s">
        <v>186</v>
      </c>
      <c r="E13" s="1" t="str">
        <f>IFERROR(__xludf.DUMMYFUNCTION("SPLIT(A13,"","")
"),"A321")</f>
        <v>A321</v>
      </c>
      <c r="F13" s="1" t="str">
        <f>IFERROR(__xludf.DUMMYFUNCTION("""COMPUTED_VALUE"""),"CA")</f>
        <v>CA</v>
      </c>
      <c r="G13" s="1">
        <f>IFERROR(__xludf.DUMMYFUNCTION("""COMPUTED_VALUE"""),2.0)</f>
        <v>2</v>
      </c>
      <c r="H13" s="1">
        <f>IFERROR(__xludf.DUMMYFUNCTION("""COMPUTED_VALUE"""),366.09)</f>
        <v>366.09</v>
      </c>
      <c r="K13" s="1">
        <v>26.0</v>
      </c>
      <c r="L13" s="1">
        <f>startYear + (K13 - startAge)
</f>
        <v>2035</v>
      </c>
      <c r="M13" s="1" t="s">
        <v>182</v>
      </c>
      <c r="N13" s="1" t="s">
        <v>183</v>
      </c>
      <c r="O13" s="1" t="s">
        <v>187</v>
      </c>
      <c r="P13" s="7">
        <f t="shared" si="1"/>
        <v>1</v>
      </c>
      <c r="Q13" s="9">
        <f>IFERROR(__xludf.DUMMYFUNCTION("IFERROR(
  INDEX(
    FILTER(
      INDEX(payScale2026,,4),
      TRIM(INDEX(payScale2026,,1))=TRIM(N13),
      TRIM(INDEX(payScale2026,,2))=TRIM(O13),
      VALUE(INDEX(payScale2026,,3))=VALUE(P13)
    ),
  1) * (1 + cola) ^ MAX(0, $L13 - 2026),
"""")
"),448.3168289518129)</f>
        <v>448.316829</v>
      </c>
      <c r="R13" s="9">
        <f>IF(Q13="","", ROUND(Q13*blockHrs*12,2))
</f>
        <v>403485.15</v>
      </c>
    </row>
    <row r="14" ht="15.75" customHeight="1">
      <c r="A14" s="1" t="s">
        <v>188</v>
      </c>
      <c r="E14" s="1" t="str">
        <f>IFERROR(__xludf.DUMMYFUNCTION("SPLIT(A14,"","")
"),"A321")</f>
        <v>A321</v>
      </c>
      <c r="F14" s="1" t="str">
        <f>IFERROR(__xludf.DUMMYFUNCTION("""COMPUTED_VALUE"""),"CA")</f>
        <v>CA</v>
      </c>
      <c r="G14" s="1">
        <f>IFERROR(__xludf.DUMMYFUNCTION("""COMPUTED_VALUE"""),3.0)</f>
        <v>3</v>
      </c>
      <c r="H14" s="1">
        <f>IFERROR(__xludf.DUMMYFUNCTION("""COMPUTED_VALUE"""),372.56)</f>
        <v>372.56</v>
      </c>
      <c r="K14" s="1">
        <v>27.0</v>
      </c>
      <c r="L14" s="1">
        <f>startYear + (K14 - startAge)
</f>
        <v>2036</v>
      </c>
      <c r="M14" s="1" t="s">
        <v>182</v>
      </c>
      <c r="N14" s="1" t="s">
        <v>183</v>
      </c>
      <c r="O14" s="1" t="s">
        <v>187</v>
      </c>
      <c r="P14" s="7">
        <f t="shared" si="1"/>
        <v>2</v>
      </c>
      <c r="Q14" s="9">
        <f>IFERROR(__xludf.DUMMYFUNCTION("IFERROR(
  INDEX(
    FILTER(
      INDEX(payScale2026,,4),
      TRIM(INDEX(payScale2026,,1))=TRIM(N14),
      TRIM(INDEX(payScale2026,,2))=TRIM(O14),
      VALUE(INDEX(payScale2026,,3))=VALUE(P14)
    ),
  1) * (1 + cola) ^ MAX(0, $L14 - 2026),
"""")
"),468.6261507848442)</f>
        <v>468.6261508</v>
      </c>
      <c r="R14" s="9">
        <f>IF(Q14="","", ROUND(Q14*blockHrs*12,2))
</f>
        <v>421763.54</v>
      </c>
    </row>
    <row r="15" ht="15.75" customHeight="1">
      <c r="A15" s="1" t="s">
        <v>189</v>
      </c>
      <c r="E15" s="1" t="str">
        <f>IFERROR(__xludf.DUMMYFUNCTION("SPLIT(A15,"","")
"),"A330-900")</f>
        <v>A330-900</v>
      </c>
      <c r="F15" s="1" t="str">
        <f>IFERROR(__xludf.DUMMYFUNCTION("""COMPUTED_VALUE"""),"CA")</f>
        <v>CA</v>
      </c>
      <c r="G15" s="1">
        <f>IFERROR(__xludf.DUMMYFUNCTION("""COMPUTED_VALUE"""),1.0)</f>
        <v>1</v>
      </c>
      <c r="H15" s="1">
        <f>IFERROR(__xludf.DUMMYFUNCTION("""COMPUTED_VALUE"""),443.85)</f>
        <v>443.85</v>
      </c>
      <c r="K15" s="1">
        <v>28.0</v>
      </c>
      <c r="L15" s="1">
        <f>startYear + (K15 - startAge)
</f>
        <v>2037</v>
      </c>
      <c r="M15" s="1" t="s">
        <v>182</v>
      </c>
      <c r="N15" s="1" t="s">
        <v>183</v>
      </c>
      <c r="O15" s="1" t="s">
        <v>187</v>
      </c>
      <c r="P15" s="7">
        <f t="shared" si="1"/>
        <v>3</v>
      </c>
      <c r="Q15" s="9">
        <f>IFERROR(__xludf.DUMMYFUNCTION("IFERROR(
  INDEX(
    FILTER(
      INDEX(payScale2026,,4),
      TRIM(INDEX(payScale2026,,1))=TRIM(N15),
      TRIM(INDEX(payScale2026,,2))=TRIM(O15),
      VALUE(INDEX(payScale2026,,3))=VALUE(P15)
    ),
  1) * (1 + cola) ^ MAX(0, $L15 - 2026),
"""")
"),488.8310052304395)</f>
        <v>488.8310052</v>
      </c>
      <c r="R15" s="9">
        <f>IF(Q15="","", ROUND(Q15*blockHrs*12,2))
</f>
        <v>439947.9</v>
      </c>
    </row>
    <row r="16" ht="15.75" customHeight="1">
      <c r="A16" s="1" t="s">
        <v>190</v>
      </c>
      <c r="E16" s="1" t="str">
        <f>IFERROR(__xludf.DUMMYFUNCTION("SPLIT(A16,"","")
"),"A330-900")</f>
        <v>A330-900</v>
      </c>
      <c r="F16" s="1" t="str">
        <f>IFERROR(__xludf.DUMMYFUNCTION("""COMPUTED_VALUE"""),"CA")</f>
        <v>CA</v>
      </c>
      <c r="G16" s="1">
        <f>IFERROR(__xludf.DUMMYFUNCTION("""COMPUTED_VALUE"""),2.0)</f>
        <v>2</v>
      </c>
      <c r="H16" s="1">
        <f>IFERROR(__xludf.DUMMYFUNCTION("""COMPUTED_VALUE"""),447.45)</f>
        <v>447.45</v>
      </c>
      <c r="K16" s="1">
        <v>29.0</v>
      </c>
      <c r="L16" s="1">
        <f>startYear + (K16 - startAge)
</f>
        <v>2038</v>
      </c>
      <c r="M16" s="1" t="s">
        <v>182</v>
      </c>
      <c r="N16" s="1" t="s">
        <v>191</v>
      </c>
      <c r="O16" s="1" t="s">
        <v>187</v>
      </c>
      <c r="P16" s="7">
        <f t="shared" si="1"/>
        <v>1</v>
      </c>
      <c r="Q16" s="9">
        <f>IFERROR(__xludf.DUMMYFUNCTION("IFERROR(
  INDEX(
    FILTER(
      INDEX(payScale2026,,4),
      TRIM(INDEX(payScale2026,,1))=TRIM(N16),
      TRIM(INDEX(payScale2026,,2))=TRIM(O16),
      VALUE(INDEX(payScale2026,,3))=VALUE(P16)
    ),
  1) * (1 + cola) ^ MAX(0, $L16 - 2026),
"""")
"),596.928904641719)</f>
        <v>596.9289046</v>
      </c>
      <c r="R16" s="9">
        <f>IF(Q16="","", ROUND(Q16*blockHrs*12,2))
</f>
        <v>537236.01</v>
      </c>
    </row>
    <row r="17" ht="15.75" customHeight="1">
      <c r="A17" s="1" t="s">
        <v>192</v>
      </c>
      <c r="E17" s="1" t="str">
        <f>IFERROR(__xludf.DUMMYFUNCTION("SPLIT(A17,"","")
"),"A330-900")</f>
        <v>A330-900</v>
      </c>
      <c r="F17" s="1" t="str">
        <f>IFERROR(__xludf.DUMMYFUNCTION("""COMPUTED_VALUE"""),"CA")</f>
        <v>CA</v>
      </c>
      <c r="G17" s="1">
        <f>IFERROR(__xludf.DUMMYFUNCTION("""COMPUTED_VALUE"""),3.0)</f>
        <v>3</v>
      </c>
      <c r="H17" s="1">
        <f>IFERROR(__xludf.DUMMYFUNCTION("""COMPUTED_VALUE"""),451.45)</f>
        <v>451.45</v>
      </c>
      <c r="K17" s="1">
        <v>30.0</v>
      </c>
      <c r="L17" s="1">
        <f>startYear + (K17 - startAge)
</f>
        <v>2039</v>
      </c>
      <c r="M17" s="1" t="s">
        <v>182</v>
      </c>
      <c r="N17" s="1" t="s">
        <v>191</v>
      </c>
      <c r="O17" s="1" t="s">
        <v>187</v>
      </c>
      <c r="P17" s="7">
        <f t="shared" si="1"/>
        <v>2</v>
      </c>
      <c r="Q17" s="9">
        <f>IFERROR(__xludf.DUMMYFUNCTION("IFERROR(
  INDEX(
    FILTER(
      INDEX(payScale2026,,4),
      TRIM(INDEX(payScale2026,,1))=TRIM(N17),
      TRIM(INDEX(payScale2026,,2))=TRIM(O17),
      VALUE(INDEX(payScale2026,,3))=VALUE(P17)
    ),
  1) * (1 + cola) ^ MAX(0, $L17 - 2026),
"""")
"),616.8147670192307)</f>
        <v>616.814767</v>
      </c>
      <c r="R17" s="9">
        <f>IF(Q17="","", ROUND(Q17*blockHrs*12,2))
</f>
        <v>555133.29</v>
      </c>
    </row>
    <row r="18" ht="15.75" customHeight="1">
      <c r="A18" s="1" t="s">
        <v>193</v>
      </c>
      <c r="E18" s="1" t="str">
        <f>IFERROR(__xludf.DUMMYFUNCTION("SPLIT(A18,"","")
"),"A350")</f>
        <v>A350</v>
      </c>
      <c r="F18" s="1" t="str">
        <f>IFERROR(__xludf.DUMMYFUNCTION("""COMPUTED_VALUE"""),"CA")</f>
        <v>CA</v>
      </c>
      <c r="G18" s="1">
        <f>IFERROR(__xludf.DUMMYFUNCTION("""COMPUTED_VALUE"""),1.0)</f>
        <v>1</v>
      </c>
      <c r="H18" s="1">
        <f>IFERROR(__xludf.DUMMYFUNCTION("""COMPUTED_VALUE"""),443.85)</f>
        <v>443.85</v>
      </c>
      <c r="K18" s="1">
        <v>31.0</v>
      </c>
      <c r="L18" s="1">
        <f>startYear + (K18 - startAge)
</f>
        <v>2040</v>
      </c>
      <c r="M18" s="1" t="s">
        <v>182</v>
      </c>
      <c r="N18" s="1" t="s">
        <v>191</v>
      </c>
      <c r="O18" s="1" t="s">
        <v>187</v>
      </c>
      <c r="P18" s="7">
        <f t="shared" si="1"/>
        <v>3</v>
      </c>
      <c r="Q18" s="9">
        <f>IFERROR(__xludf.DUMMYFUNCTION("IFERROR(
  INDEX(
    FILTER(
      INDEX(payScale2026,,4),
      TRIM(INDEX(payScale2026,,1))=TRIM(N18),
      TRIM(INDEX(payScale2026,,2))=TRIM(O18),
      VALUE(INDEX(payScale2026,,3))=VALUE(P18)
    ),
  1) * (1 + cola) ^ MAX(0, $L18 - 2026),
"""")
"),637.8870314786064)</f>
        <v>637.8870315</v>
      </c>
      <c r="R18" s="9">
        <f>IF(Q18="","", ROUND(Q18*blockHrs*12,2))
</f>
        <v>574098.33</v>
      </c>
    </row>
    <row r="19" ht="15.75" customHeight="1">
      <c r="A19" s="1" t="s">
        <v>194</v>
      </c>
      <c r="E19" s="1" t="str">
        <f>IFERROR(__xludf.DUMMYFUNCTION("SPLIT(A19,"","")
"),"A350")</f>
        <v>A350</v>
      </c>
      <c r="F19" s="1" t="str">
        <f>IFERROR(__xludf.DUMMYFUNCTION("""COMPUTED_VALUE"""),"CA")</f>
        <v>CA</v>
      </c>
      <c r="G19" s="1">
        <f>IFERROR(__xludf.DUMMYFUNCTION("""COMPUTED_VALUE"""),2.0)</f>
        <v>2</v>
      </c>
      <c r="H19" s="1">
        <f>IFERROR(__xludf.DUMMYFUNCTION("""COMPUTED_VALUE"""),447.45)</f>
        <v>447.45</v>
      </c>
      <c r="K19" s="1">
        <v>32.0</v>
      </c>
      <c r="L19" s="1">
        <f>startYear + (K19 - startAge)
</f>
        <v>2041</v>
      </c>
      <c r="M19" s="1" t="s">
        <v>182</v>
      </c>
      <c r="N19" s="1" t="s">
        <v>195</v>
      </c>
      <c r="O19" s="1" t="s">
        <v>187</v>
      </c>
      <c r="P19" s="7">
        <f t="shared" si="1"/>
        <v>1</v>
      </c>
      <c r="Q19" s="9">
        <f>IFERROR(__xludf.DUMMYFUNCTION("IFERROR(
  INDEX(
    FILTER(
      INDEX(payScale2026,,4),
      TRIM(INDEX(payScale2026,,1))=TRIM(N19),
      TRIM(INDEX(payScale2026,,2))=TRIM(O19),
      VALUE(INDEX(payScale2026,,3))=VALUE(P19)
    ),
  1) * (1 + cola) ^ MAX(0, $L19 - 2026),
"""")
"),642.827141200186)</f>
        <v>642.8271412</v>
      </c>
      <c r="R19" s="9">
        <f>IF(Q19="","", ROUND(Q19*blockHrs*12,2))
</f>
        <v>578544.43</v>
      </c>
    </row>
    <row r="20" ht="15.75" customHeight="1">
      <c r="A20" s="1" t="s">
        <v>196</v>
      </c>
      <c r="E20" s="1" t="str">
        <f>IFERROR(__xludf.DUMMYFUNCTION("SPLIT(A20,"","")
"),"A350")</f>
        <v>A350</v>
      </c>
      <c r="F20" s="1" t="str">
        <f>IFERROR(__xludf.DUMMYFUNCTION("""COMPUTED_VALUE"""),"CA")</f>
        <v>CA</v>
      </c>
      <c r="G20" s="1">
        <f>IFERROR(__xludf.DUMMYFUNCTION("""COMPUTED_VALUE"""),3.0)</f>
        <v>3</v>
      </c>
      <c r="H20" s="1">
        <f>IFERROR(__xludf.DUMMYFUNCTION("""COMPUTED_VALUE"""),451.12)</f>
        <v>451.12</v>
      </c>
      <c r="K20" s="1">
        <v>33.0</v>
      </c>
      <c r="L20" s="1">
        <f>startYear + (K20 - startAge)
</f>
        <v>2042</v>
      </c>
      <c r="M20" s="1" t="s">
        <v>182</v>
      </c>
      <c r="N20" s="1" t="s">
        <v>195</v>
      </c>
      <c r="O20" s="1" t="s">
        <v>187</v>
      </c>
      <c r="P20" s="7">
        <f t="shared" si="1"/>
        <v>2</v>
      </c>
      <c r="Q20" s="9">
        <f>IFERROR(__xludf.DUMMYFUNCTION("IFERROR(
  INDEX(
    FILTER(
      INDEX(payScale2026,,4),
      TRIM(INDEX(payScale2026,,1))=TRIM(N20),
      TRIM(INDEX(payScale2026,,2))=TRIM(O20),
      VALUE(INDEX(payScale2026,,3))=VALUE(P20)
    ),
  1) * (1 + cola) ^ MAX(0, $L20 - 2026),
"""")
"),664.2420399645686)</f>
        <v>664.24204</v>
      </c>
      <c r="R20" s="9">
        <f>IF(Q20="","", ROUND(Q20*blockHrs*12,2))
</f>
        <v>597817.84</v>
      </c>
    </row>
    <row r="21" ht="15.75" customHeight="1">
      <c r="A21" s="1" t="s">
        <v>197</v>
      </c>
      <c r="E21" s="1" t="str">
        <f>IFERROR(__xludf.DUMMYFUNCTION("SPLIT(A21,"","")
"),"A350")</f>
        <v>A350</v>
      </c>
      <c r="F21" s="1" t="str">
        <f>IFERROR(__xludf.DUMMYFUNCTION("""COMPUTED_VALUE"""),"CA")</f>
        <v>CA</v>
      </c>
      <c r="G21" s="1">
        <f>IFERROR(__xludf.DUMMYFUNCTION("""COMPUTED_VALUE"""),4.0)</f>
        <v>4</v>
      </c>
      <c r="H21" s="1">
        <f>IFERROR(__xludf.DUMMYFUNCTION("""COMPUTED_VALUE"""),454.76)</f>
        <v>454.76</v>
      </c>
      <c r="K21" s="1">
        <v>34.0</v>
      </c>
      <c r="L21" s="1">
        <f>startYear + (K21 - startAge)
</f>
        <v>2043</v>
      </c>
      <c r="M21" s="1" t="s">
        <v>182</v>
      </c>
      <c r="N21" s="1" t="s">
        <v>195</v>
      </c>
      <c r="O21" s="1" t="s">
        <v>187</v>
      </c>
      <c r="P21" s="7">
        <f t="shared" si="1"/>
        <v>3</v>
      </c>
      <c r="Q21" s="9">
        <f>IFERROR(__xludf.DUMMYFUNCTION("IFERROR(
  INDEX(
    FILTER(
      INDEX(payScale2026,,4),
      TRIM(INDEX(payScale2026,,1))=TRIM(N21),
      TRIM(INDEX(payScale2026,,2))=TRIM(O21),
      VALUE(INDEX(payScale2026,,3))=VALUE(P21)
    ),
  1) * (1 + cola) ^ MAX(0, $L21 - 2026),
"""")
"),686.4324299822026)</f>
        <v>686.43243</v>
      </c>
      <c r="R21" s="9">
        <f>IF(Q21="","", ROUND(Q21*blockHrs*12,2))
</f>
        <v>617789.19</v>
      </c>
    </row>
    <row r="22" ht="15.75" customHeight="1">
      <c r="A22" s="1" t="s">
        <v>198</v>
      </c>
      <c r="E22" s="1" t="str">
        <f>IFERROR(__xludf.DUMMYFUNCTION("SPLIT(A22,"","")
"),"A350")</f>
        <v>A350</v>
      </c>
      <c r="F22" s="1" t="str">
        <f>IFERROR(__xludf.DUMMYFUNCTION("""COMPUTED_VALUE"""),"CA")</f>
        <v>CA</v>
      </c>
      <c r="G22" s="1">
        <f>IFERROR(__xludf.DUMMYFUNCTION("""COMPUTED_VALUE"""),5.0)</f>
        <v>5</v>
      </c>
      <c r="H22" s="1">
        <f>IFERROR(__xludf.DUMMYFUNCTION("""COMPUTED_VALUE"""),458.4)</f>
        <v>458.4</v>
      </c>
      <c r="K22" s="1">
        <v>35.0</v>
      </c>
      <c r="L22" s="1">
        <f>startYear + (K22 - startAge)
</f>
        <v>2044</v>
      </c>
      <c r="M22" s="1" t="s">
        <v>182</v>
      </c>
      <c r="N22" s="1" t="s">
        <v>195</v>
      </c>
      <c r="O22" s="1" t="s">
        <v>187</v>
      </c>
      <c r="P22" s="7">
        <f t="shared" si="1"/>
        <v>4</v>
      </c>
      <c r="Q22" s="9">
        <f>IFERROR(__xludf.DUMMYFUNCTION("IFERROR(
  INDEX(
    FILTER(
      INDEX(payScale2026,,4),
      TRIM(INDEX(payScale2026,,1))=TRIM(N22),
      TRIM(INDEX(payScale2026,,2))=TRIM(O22),
      VALUE(INDEX(payScale2026,,3))=VALUE(P22)
    ),
  1) * (1 + cola) ^ MAX(0, $L22 - 2026),
"""")
"),709.2703984642093)</f>
        <v>709.2703985</v>
      </c>
      <c r="R22" s="9">
        <f>IF(Q22="","", ROUND(Q22*blockHrs*12,2))
</f>
        <v>638343.36</v>
      </c>
    </row>
    <row r="23" ht="15.75" customHeight="1">
      <c r="A23" s="1" t="s">
        <v>199</v>
      </c>
      <c r="E23" s="1" t="str">
        <f>IFERROR(__xludf.DUMMYFUNCTION("SPLIT(A23,"","")
"),"A350")</f>
        <v>A350</v>
      </c>
      <c r="F23" s="1" t="str">
        <f>IFERROR(__xludf.DUMMYFUNCTION("""COMPUTED_VALUE"""),"CA")</f>
        <v>CA</v>
      </c>
      <c r="G23" s="1">
        <f>IFERROR(__xludf.DUMMYFUNCTION("""COMPUTED_VALUE"""),6.0)</f>
        <v>6</v>
      </c>
      <c r="H23" s="1">
        <f>IFERROR(__xludf.DUMMYFUNCTION("""COMPUTED_VALUE"""),462.0)</f>
        <v>462</v>
      </c>
      <c r="K23" s="1">
        <v>36.0</v>
      </c>
      <c r="L23" s="1">
        <f>startYear + (K23 - startAge)
</f>
        <v>2045</v>
      </c>
      <c r="M23" s="1" t="s">
        <v>182</v>
      </c>
      <c r="N23" s="1" t="s">
        <v>195</v>
      </c>
      <c r="O23" s="1" t="s">
        <v>187</v>
      </c>
      <c r="P23" s="7">
        <f t="shared" si="1"/>
        <v>5</v>
      </c>
      <c r="Q23" s="9">
        <f>IFERROR(__xludf.DUMMYFUNCTION("IFERROR(
  INDEX(
    FILTER(
      INDEX(payScale2026,,4),
      TRIM(INDEX(payScale2026,,1))=TRIM(N23),
      TRIM(INDEX(payScale2026,,2))=TRIM(O23),
      VALUE(INDEX(payScale2026,,3))=VALUE(P23)
    ),
  1) * (1 + cola) ^ MAX(0, $L23 - 2026),
"""")
"),732.8212451015773)</f>
        <v>732.8212451</v>
      </c>
      <c r="R23" s="9">
        <f>IF(Q23="","", ROUND(Q23*blockHrs*12,2))
</f>
        <v>659539.12</v>
      </c>
    </row>
    <row r="24" ht="15.75" customHeight="1">
      <c r="A24" s="1" t="s">
        <v>200</v>
      </c>
      <c r="E24" s="1" t="str">
        <f>IFERROR(__xludf.DUMMYFUNCTION("SPLIT(A24,"","")
"),"A350")</f>
        <v>A350</v>
      </c>
      <c r="F24" s="1" t="str">
        <f>IFERROR(__xludf.DUMMYFUNCTION("""COMPUTED_VALUE"""),"CA")</f>
        <v>CA</v>
      </c>
      <c r="G24" s="1">
        <f>IFERROR(__xludf.DUMMYFUNCTION("""COMPUTED_VALUE"""),7.0)</f>
        <v>7</v>
      </c>
      <c r="H24" s="1">
        <f>IFERROR(__xludf.DUMMYFUNCTION("""COMPUTED_VALUE"""),465.64)</f>
        <v>465.64</v>
      </c>
      <c r="K24" s="1">
        <v>37.0</v>
      </c>
      <c r="L24" s="1">
        <f>startYear + (K24 - startAge)
</f>
        <v>2046</v>
      </c>
      <c r="M24" s="1" t="s">
        <v>182</v>
      </c>
      <c r="N24" s="1" t="s">
        <v>195</v>
      </c>
      <c r="O24" s="1" t="s">
        <v>187</v>
      </c>
      <c r="P24" s="7">
        <f t="shared" si="1"/>
        <v>6</v>
      </c>
      <c r="Q24" s="9">
        <f>IFERROR(__xludf.DUMMYFUNCTION("IFERROR(
  INDEX(
    FILTER(
      INDEX(payScale2026,,4),
      TRIM(INDEX(payScale2026,,1))=TRIM(N24),
      TRIM(INDEX(payScale2026,,2))=TRIM(O24),
      VALUE(INDEX(payScale2026,,3))=VALUE(P24)
    ),
  1) * (1 + cola) ^ MAX(0, $L24 - 2026),
"""")
"),757.0407954141622)</f>
        <v>757.0407954</v>
      </c>
      <c r="R24" s="9">
        <f>IF(Q24="","", ROUND(Q24*blockHrs*12,2))
</f>
        <v>681336.72</v>
      </c>
    </row>
    <row r="25" ht="15.75" customHeight="1">
      <c r="A25" s="1" t="s">
        <v>201</v>
      </c>
      <c r="E25" s="1" t="str">
        <f>IFERROR(__xludf.DUMMYFUNCTION("SPLIT(A25,"","")
"),"A350")</f>
        <v>A350</v>
      </c>
      <c r="F25" s="1" t="str">
        <f>IFERROR(__xludf.DUMMYFUNCTION("""COMPUTED_VALUE"""),"CA")</f>
        <v>CA</v>
      </c>
      <c r="G25" s="1">
        <f>IFERROR(__xludf.DUMMYFUNCTION("""COMPUTED_VALUE"""),8.0)</f>
        <v>8</v>
      </c>
      <c r="H25" s="1">
        <f>IFERROR(__xludf.DUMMYFUNCTION("""COMPUTED_VALUE"""),469.87)</f>
        <v>469.87</v>
      </c>
      <c r="K25" s="1">
        <v>38.0</v>
      </c>
      <c r="L25" s="1">
        <f>startYear + (K25 - startAge)
</f>
        <v>2047</v>
      </c>
      <c r="M25" s="1" t="s">
        <v>182</v>
      </c>
      <c r="N25" s="1" t="s">
        <v>195</v>
      </c>
      <c r="O25" s="1" t="s">
        <v>187</v>
      </c>
      <c r="P25" s="7">
        <f t="shared" si="1"/>
        <v>7</v>
      </c>
      <c r="Q25" s="9">
        <f>IFERROR(__xludf.DUMMYFUNCTION("IFERROR(
  INDEX(
    FILTER(
      INDEX(payScale2026,,4),
      TRIM(INDEX(payScale2026,,1))=TRIM(N25),
      TRIM(INDEX(payScale2026,,2))=TRIM(O25),
      VALUE(INDEX(payScale2026,,3))=VALUE(P25)
    ),
  1) * (1 + cola) ^ MAX(0, $L25 - 2026),
"""")
"),782.0804932382397)</f>
        <v>782.0804932</v>
      </c>
      <c r="R25" s="9">
        <f>IF(Q25="","", ROUND(Q25*blockHrs*12,2))
</f>
        <v>703872.44</v>
      </c>
    </row>
    <row r="26" ht="15.75" customHeight="1">
      <c r="A26" s="1" t="s">
        <v>202</v>
      </c>
      <c r="E26" s="1" t="str">
        <f>IFERROR(__xludf.DUMMYFUNCTION("SPLIT(A26,"","")
"),"A350")</f>
        <v>A350</v>
      </c>
      <c r="F26" s="1" t="str">
        <f>IFERROR(__xludf.DUMMYFUNCTION("""COMPUTED_VALUE"""),"CA")</f>
        <v>CA</v>
      </c>
      <c r="G26" s="1">
        <f>IFERROR(__xludf.DUMMYFUNCTION("""COMPUTED_VALUE"""),9.0)</f>
        <v>9</v>
      </c>
      <c r="H26" s="1">
        <f>IFERROR(__xludf.DUMMYFUNCTION("""COMPUTED_VALUE"""),472.87)</f>
        <v>472.87</v>
      </c>
      <c r="K26" s="1">
        <v>39.0</v>
      </c>
      <c r="L26" s="1">
        <f>startYear + (K26 - startAge)
</f>
        <v>2048</v>
      </c>
      <c r="M26" s="1" t="s">
        <v>182</v>
      </c>
      <c r="N26" s="1" t="s">
        <v>195</v>
      </c>
      <c r="O26" s="1" t="s">
        <v>187</v>
      </c>
      <c r="P26" s="7">
        <f t="shared" si="1"/>
        <v>8</v>
      </c>
      <c r="Q26" s="9">
        <f>IFERROR(__xludf.DUMMYFUNCTION("IFERROR(
  INDEX(
    FILTER(
      INDEX(payScale2026,,4),
      TRIM(INDEX(payScale2026,,1))=TRIM(N26),
      TRIM(INDEX(payScale2026,,2))=TRIM(O26),
      VALUE(INDEX(payScale2026,,3))=VALUE(P26)
    ),
  1) * (1 + cola) ^ MAX(0, $L26 - 2026),
"""")
"),808.9147525809593)</f>
        <v>808.9147526</v>
      </c>
      <c r="R26" s="9">
        <f>IF(Q26="","", ROUND(Q26*blockHrs*12,2))
</f>
        <v>728023.28</v>
      </c>
    </row>
    <row r="27" ht="15.75" customHeight="1">
      <c r="A27" s="1" t="s">
        <v>203</v>
      </c>
      <c r="E27" s="1" t="str">
        <f>IFERROR(__xludf.DUMMYFUNCTION("SPLIT(A27,"","")
"),"A350")</f>
        <v>A350</v>
      </c>
      <c r="F27" s="1" t="str">
        <f>IFERROR(__xludf.DUMMYFUNCTION("""COMPUTED_VALUE"""),"CA")</f>
        <v>CA</v>
      </c>
      <c r="G27" s="1">
        <f>IFERROR(__xludf.DUMMYFUNCTION("""COMPUTED_VALUE"""),10.0)</f>
        <v>10</v>
      </c>
      <c r="H27" s="1">
        <f>IFERROR(__xludf.DUMMYFUNCTION("""COMPUTED_VALUE"""),476.47)</f>
        <v>476.47</v>
      </c>
      <c r="K27" s="1">
        <v>40.0</v>
      </c>
      <c r="L27" s="1">
        <f>startYear + (K27 - startAge)
</f>
        <v>2049</v>
      </c>
      <c r="M27" s="1" t="s">
        <v>182</v>
      </c>
      <c r="N27" s="1" t="s">
        <v>195</v>
      </c>
      <c r="O27" s="1" t="s">
        <v>187</v>
      </c>
      <c r="P27" s="7">
        <f t="shared" si="1"/>
        <v>9</v>
      </c>
      <c r="Q27" s="9">
        <f>IFERROR(__xludf.DUMMYFUNCTION("IFERROR(
  INDEX(
    FILTER(
      INDEX(payScale2026,,4),
      TRIM(INDEX(payScale2026,,1))=TRIM(N27),
      TRIM(INDEX(payScale2026,,2))=TRIM(O27),
      VALUE(INDEX(payScale2026,,3))=VALUE(P27)
    ),
  1) * (1 + cola) ^ MAX(0, $L27 - 2026),
"""")
"),834.4314534430421)</f>
        <v>834.4314534</v>
      </c>
      <c r="R27" s="9">
        <f>IF(Q27="","", ROUND(Q27*blockHrs*12,2))
</f>
        <v>750988.31</v>
      </c>
    </row>
    <row r="28" ht="15.75" customHeight="1">
      <c r="A28" s="1" t="s">
        <v>204</v>
      </c>
      <c r="E28" s="1" t="str">
        <f>IFERROR(__xludf.DUMMYFUNCTION("SPLIT(A28,"","")
"),"A350")</f>
        <v>A350</v>
      </c>
      <c r="F28" s="1" t="str">
        <f>IFERROR(__xludf.DUMMYFUNCTION("""COMPUTED_VALUE"""),"CA")</f>
        <v>CA</v>
      </c>
      <c r="G28" s="1">
        <f>IFERROR(__xludf.DUMMYFUNCTION("""COMPUTED_VALUE"""),11.0)</f>
        <v>11</v>
      </c>
      <c r="H28" s="1">
        <f>IFERROR(__xludf.DUMMYFUNCTION("""COMPUTED_VALUE"""),480.09)</f>
        <v>480.09</v>
      </c>
      <c r="K28" s="1">
        <v>41.0</v>
      </c>
      <c r="L28" s="1">
        <f>startYear + (K28 - startAge)
</f>
        <v>2050</v>
      </c>
      <c r="M28" s="1" t="s">
        <v>182</v>
      </c>
      <c r="N28" s="1" t="s">
        <v>195</v>
      </c>
      <c r="O28" s="1" t="s">
        <v>187</v>
      </c>
      <c r="P28" s="7">
        <f t="shared" si="1"/>
        <v>10</v>
      </c>
      <c r="Q28" s="9">
        <f>IFERROR(__xludf.DUMMYFUNCTION("IFERROR(
  INDEX(
    FILTER(
      INDEX(payScale2026,,4),
      TRIM(INDEX(payScale2026,,1))=TRIM(N28),
      TRIM(INDEX(payScale2026,,2))=TRIM(O28),
      VALUE(INDEX(payScale2026,,3))=VALUE(P28)
    ),
  1) * (1 + cola) ^ MAX(0, $L28 - 2026),
"""")
"),861.8036531976153)</f>
        <v>861.8036532</v>
      </c>
      <c r="R28" s="9">
        <f>IF(Q28="","", ROUND(Q28*blockHrs*12,2))
</f>
        <v>775623.29</v>
      </c>
    </row>
    <row r="29" ht="15.75" customHeight="1">
      <c r="A29" s="1" t="s">
        <v>205</v>
      </c>
      <c r="E29" s="1" t="str">
        <f>IFERROR(__xludf.DUMMYFUNCTION("SPLIT(A29,"","")
"),"A350")</f>
        <v>A350</v>
      </c>
      <c r="F29" s="1" t="str">
        <f>IFERROR(__xludf.DUMMYFUNCTION("""COMPUTED_VALUE"""),"CA")</f>
        <v>CA</v>
      </c>
      <c r="G29" s="1">
        <f>IFERROR(__xludf.DUMMYFUNCTION("""COMPUTED_VALUE"""),12.0)</f>
        <v>12</v>
      </c>
      <c r="H29" s="1">
        <f>IFERROR(__xludf.DUMMYFUNCTION("""COMPUTED_VALUE"""),483.74)</f>
        <v>483.74</v>
      </c>
      <c r="K29" s="1">
        <v>42.0</v>
      </c>
      <c r="L29" s="1">
        <f>startYear + (K29 - startAge)
</f>
        <v>2051</v>
      </c>
      <c r="M29" s="1" t="s">
        <v>182</v>
      </c>
      <c r="N29" s="1" t="s">
        <v>195</v>
      </c>
      <c r="O29" s="1" t="s">
        <v>187</v>
      </c>
      <c r="P29" s="7">
        <f t="shared" si="1"/>
        <v>11</v>
      </c>
      <c r="Q29" s="9">
        <f>IFERROR(__xludf.DUMMYFUNCTION("IFERROR(
  INDEX(
    FILTER(
      INDEX(payScale2026,,4),
      TRIM(INDEX(payScale2026,,1))=TRIM(N29),
      TRIM(INDEX(payScale2026,,2))=TRIM(O29),
      VALUE(INDEX(payScale2026,,3))=VALUE(P29)
    ),
  1) * (1 + cola) ^ MAX(0, $L29 - 2026),
"""")
"),890.0600221634818)</f>
        <v>890.0600222</v>
      </c>
      <c r="R29" s="9">
        <f>IF(Q29="","", ROUND(Q29*blockHrs*12,2))
</f>
        <v>801054.02</v>
      </c>
    </row>
    <row r="30" ht="15.75" customHeight="1">
      <c r="A30" s="1" t="s">
        <v>206</v>
      </c>
      <c r="E30" s="1" t="str">
        <f>IFERROR(__xludf.DUMMYFUNCTION("SPLIT(A30,"","")
"),"A350")</f>
        <v>A350</v>
      </c>
      <c r="F30" s="1" t="str">
        <f>IFERROR(__xludf.DUMMYFUNCTION("""COMPUTED_VALUE"""),"CA")</f>
        <v>CA</v>
      </c>
      <c r="G30" s="1">
        <f>IFERROR(__xludf.DUMMYFUNCTION("""COMPUTED_VALUE"""),13.0)</f>
        <v>13</v>
      </c>
      <c r="H30" s="1">
        <f>IFERROR(__xludf.DUMMYFUNCTION("""COMPUTED_VALUE"""),483.74)</f>
        <v>483.74</v>
      </c>
      <c r="K30" s="1">
        <v>43.0</v>
      </c>
      <c r="L30" s="1">
        <f>startYear + (K30 - startAge)
</f>
        <v>2052</v>
      </c>
      <c r="M30" s="1" t="s">
        <v>182</v>
      </c>
      <c r="N30" s="1" t="s">
        <v>195</v>
      </c>
      <c r="O30" s="1" t="s">
        <v>187</v>
      </c>
      <c r="P30" s="7">
        <f t="shared" si="1"/>
        <v>12</v>
      </c>
      <c r="Q30" s="9">
        <f>IFERROR(__xludf.DUMMYFUNCTION("IFERROR(
  INDEX(
    FILTER(
      INDEX(payScale2026,,4),
      TRIM(INDEX(payScale2026,,1))=TRIM(N30),
      TRIM(INDEX(payScale2026,,2))=TRIM(O30),
      VALUE(INDEX(payScale2026,,3))=VALUE(P30)
    ),
  1) * (1 + cola) ^ MAX(0, $L30 - 2026),
"""")
"),919.2475910754165)</f>
        <v>919.2475911</v>
      </c>
      <c r="R30" s="9">
        <f>IF(Q30="","", ROUND(Q30*blockHrs*12,2))
</f>
        <v>827322.83</v>
      </c>
    </row>
    <row r="31" ht="15.75" customHeight="1">
      <c r="A31" s="1" t="s">
        <v>207</v>
      </c>
      <c r="E31" s="1" t="str">
        <f>IFERROR(__xludf.DUMMYFUNCTION("SPLIT(A31,"","")
"),"A350")</f>
        <v>A350</v>
      </c>
      <c r="F31" s="1" t="str">
        <f>IFERROR(__xludf.DUMMYFUNCTION("""COMPUTED_VALUE"""),"CA")</f>
        <v>CA</v>
      </c>
      <c r="G31" s="1">
        <f>IFERROR(__xludf.DUMMYFUNCTION("""COMPUTED_VALUE"""),14.0)</f>
        <v>14</v>
      </c>
      <c r="H31" s="1">
        <f>IFERROR(__xludf.DUMMYFUNCTION("""COMPUTED_VALUE"""),483.74)</f>
        <v>483.74</v>
      </c>
      <c r="K31" s="1">
        <v>44.0</v>
      </c>
      <c r="L31" s="1">
        <f>startYear + (K31 - startAge)
</f>
        <v>2053</v>
      </c>
      <c r="M31" s="1" t="s">
        <v>182</v>
      </c>
      <c r="N31" s="1" t="s">
        <v>195</v>
      </c>
      <c r="O31" s="1" t="s">
        <v>187</v>
      </c>
      <c r="P31" s="7">
        <f t="shared" si="1"/>
        <v>13</v>
      </c>
      <c r="Q31" s="9">
        <f>IFERROR(__xludf.DUMMYFUNCTION("IFERROR(
  INDEX(
    FILTER(
      INDEX(payScale2026,,4),
      TRIM(INDEX(payScale2026,,1))=TRIM(N31),
      TRIM(INDEX(payScale2026,,2))=TRIM(O31),
      VALUE(INDEX(payScale2026,,3))=VALUE(P31)
    ),
  1) * (1 + cola) ^ MAX(0, $L31 - 2026),
"""")
"),942.228780852302)</f>
        <v>942.2287809</v>
      </c>
      <c r="R31" s="9">
        <f>IF(Q31="","", ROUND(Q31*blockHrs*12,2))
</f>
        <v>848005.9</v>
      </c>
    </row>
    <row r="32" ht="15.75" customHeight="1">
      <c r="A32" s="1" t="s">
        <v>208</v>
      </c>
      <c r="E32" s="1" t="str">
        <f>IFERROR(__xludf.DUMMYFUNCTION("SPLIT(A32,"","")
"),"A350")</f>
        <v>A350</v>
      </c>
      <c r="F32" s="1" t="str">
        <f>IFERROR(__xludf.DUMMYFUNCTION("""COMPUTED_VALUE"""),"CA")</f>
        <v>CA</v>
      </c>
      <c r="G32" s="1">
        <f>IFERROR(__xludf.DUMMYFUNCTION("""COMPUTED_VALUE"""),15.0)</f>
        <v>15</v>
      </c>
      <c r="H32" s="1">
        <f>IFERROR(__xludf.DUMMYFUNCTION("""COMPUTED_VALUE"""),483.74)</f>
        <v>483.74</v>
      </c>
      <c r="K32" s="1">
        <v>45.0</v>
      </c>
      <c r="L32" s="1">
        <f>startYear + (K32 - startAge)
</f>
        <v>2054</v>
      </c>
      <c r="M32" s="1" t="s">
        <v>182</v>
      </c>
      <c r="N32" s="1" t="s">
        <v>195</v>
      </c>
      <c r="O32" s="1" t="s">
        <v>187</v>
      </c>
      <c r="P32" s="7">
        <f t="shared" si="1"/>
        <v>14</v>
      </c>
      <c r="Q32" s="9">
        <f>IFERROR(__xludf.DUMMYFUNCTION("IFERROR(
  INDEX(
    FILTER(
      INDEX(payScale2026,,4),
      TRIM(INDEX(payScale2026,,1))=TRIM(N32),
      TRIM(INDEX(payScale2026,,2))=TRIM(O32),
      VALUE(INDEX(payScale2026,,3))=VALUE(P32)
    ),
  1) * (1 + cola) ^ MAX(0, $L32 - 2026),
"""")
"),965.7845003736094)</f>
        <v>965.7845004</v>
      </c>
      <c r="R32" s="9">
        <f>IF(Q32="","", ROUND(Q32*blockHrs*12,2))
</f>
        <v>869206.05</v>
      </c>
    </row>
    <row r="33" ht="15.75" customHeight="1">
      <c r="A33" s="1" t="s">
        <v>209</v>
      </c>
      <c r="E33" s="1" t="str">
        <f>IFERROR(__xludf.DUMMYFUNCTION("SPLIT(A33,"","")
"),"A350")</f>
        <v>A350</v>
      </c>
      <c r="F33" s="1" t="str">
        <f>IFERROR(__xludf.DUMMYFUNCTION("""COMPUTED_VALUE"""),"CA")</f>
        <v>CA</v>
      </c>
      <c r="G33" s="1">
        <f>IFERROR(__xludf.DUMMYFUNCTION("""COMPUTED_VALUE"""),16.0)</f>
        <v>16</v>
      </c>
      <c r="H33" s="1">
        <f>IFERROR(__xludf.DUMMYFUNCTION("""COMPUTED_VALUE"""),483.74)</f>
        <v>483.74</v>
      </c>
      <c r="K33" s="1">
        <v>46.0</v>
      </c>
      <c r="L33" s="1">
        <f>startYear + (K33 - startAge)
</f>
        <v>2055</v>
      </c>
      <c r="M33" s="1" t="s">
        <v>182</v>
      </c>
      <c r="N33" s="1" t="s">
        <v>195</v>
      </c>
      <c r="O33" s="1" t="s">
        <v>187</v>
      </c>
      <c r="P33" s="7">
        <f t="shared" si="1"/>
        <v>15</v>
      </c>
      <c r="Q33" s="9">
        <f>IFERROR(__xludf.DUMMYFUNCTION("IFERROR(
  INDEX(
    FILTER(
      INDEX(payScale2026,,4),
      TRIM(INDEX(payScale2026,,1))=TRIM(N33),
      TRIM(INDEX(payScale2026,,2))=TRIM(O33),
      VALUE(INDEX(payScale2026,,3))=VALUE(P33)
    ),
  1) * (1 + cola) ^ MAX(0, $L33 - 2026),
"""")
"),989.9291128829495)</f>
        <v>989.9291129</v>
      </c>
      <c r="R33" s="9">
        <f>IF(Q33="","", ROUND(Q33*blockHrs*12,2))
</f>
        <v>890936.2</v>
      </c>
    </row>
    <row r="34" ht="15.75" customHeight="1">
      <c r="A34" s="1" t="s">
        <v>210</v>
      </c>
      <c r="E34" s="1" t="str">
        <f>IFERROR(__xludf.DUMMYFUNCTION("SPLIT(A34,"","")
"),"A350")</f>
        <v>A350</v>
      </c>
      <c r="F34" s="1" t="str">
        <f>IFERROR(__xludf.DUMMYFUNCTION("""COMPUTED_VALUE"""),"CA")</f>
        <v>CA</v>
      </c>
      <c r="G34" s="1">
        <f>IFERROR(__xludf.DUMMYFUNCTION("""COMPUTED_VALUE"""),17.0)</f>
        <v>17</v>
      </c>
      <c r="H34" s="1">
        <f>IFERROR(__xludf.DUMMYFUNCTION("""COMPUTED_VALUE"""),483.74)</f>
        <v>483.74</v>
      </c>
      <c r="K34" s="1">
        <v>47.0</v>
      </c>
      <c r="L34" s="1">
        <f>startYear + (K34 - startAge)
</f>
        <v>2056</v>
      </c>
      <c r="M34" s="1" t="s">
        <v>182</v>
      </c>
      <c r="N34" s="1" t="s">
        <v>195</v>
      </c>
      <c r="O34" s="1" t="s">
        <v>187</v>
      </c>
      <c r="P34" s="7">
        <f t="shared" si="1"/>
        <v>16</v>
      </c>
      <c r="Q34" s="9">
        <f>IFERROR(__xludf.DUMMYFUNCTION("IFERROR(
  INDEX(
    FILTER(
      INDEX(payScale2026,,4),
      TRIM(INDEX(payScale2026,,1))=TRIM(N34),
      TRIM(INDEX(payScale2026,,2))=TRIM(O34),
      VALUE(INDEX(payScale2026,,3))=VALUE(P34)
    ),
  1) * (1 + cola) ^ MAX(0, $L34 - 2026),
"""")
"),1014.6773407050231)</f>
        <v>1014.677341</v>
      </c>
      <c r="R34" s="9">
        <f>IF(Q34="","", ROUND(Q34*blockHrs*12,2))
</f>
        <v>913209.61</v>
      </c>
    </row>
    <row r="35" ht="15.75" customHeight="1">
      <c r="A35" s="1" t="s">
        <v>211</v>
      </c>
      <c r="E35" s="1" t="str">
        <f>IFERROR(__xludf.DUMMYFUNCTION("SPLIT(A35,"","")
"),"A350")</f>
        <v>A350</v>
      </c>
      <c r="F35" s="1" t="str">
        <f>IFERROR(__xludf.DUMMYFUNCTION("""COMPUTED_VALUE"""),"CA")</f>
        <v>CA</v>
      </c>
      <c r="G35" s="1">
        <f>IFERROR(__xludf.DUMMYFUNCTION("""COMPUTED_VALUE"""),18.0)</f>
        <v>18</v>
      </c>
      <c r="H35" s="1">
        <f>IFERROR(__xludf.DUMMYFUNCTION("""COMPUTED_VALUE"""),483.74)</f>
        <v>483.74</v>
      </c>
      <c r="K35" s="1">
        <v>48.0</v>
      </c>
      <c r="L35" s="1">
        <f>startYear + (K35 - startAge)
</f>
        <v>2057</v>
      </c>
      <c r="M35" s="1" t="s">
        <v>182</v>
      </c>
      <c r="N35" s="1" t="s">
        <v>195</v>
      </c>
      <c r="O35" s="1" t="s">
        <v>187</v>
      </c>
      <c r="P35" s="7">
        <f t="shared" si="1"/>
        <v>17</v>
      </c>
      <c r="Q35" s="9">
        <f>IFERROR(__xludf.DUMMYFUNCTION("IFERROR(
  INDEX(
    FILTER(
      INDEX(payScale2026,,4),
      TRIM(INDEX(payScale2026,,1))=TRIM(N35),
      TRIM(INDEX(payScale2026,,2))=TRIM(O35),
      VALUE(INDEX(payScale2026,,3))=VALUE(P35)
    ),
  1) * (1 + cola) ^ MAX(0, $L35 - 2026),
"""")
"),1040.0442742226487)</f>
        <v>1040.044274</v>
      </c>
      <c r="R35" s="9">
        <f>IF(Q35="","", ROUND(Q35*blockHrs*12,2))
</f>
        <v>936039.85</v>
      </c>
    </row>
    <row r="36" ht="15.75" customHeight="1">
      <c r="A36" s="1" t="s">
        <v>212</v>
      </c>
      <c r="E36" s="1" t="str">
        <f>IFERROR(__xludf.DUMMYFUNCTION("SPLIT(A36,"","")
"),"A350")</f>
        <v>A350</v>
      </c>
      <c r="F36" s="1" t="str">
        <f>IFERROR(__xludf.DUMMYFUNCTION("""COMPUTED_VALUE"""),"CA")</f>
        <v>CA</v>
      </c>
      <c r="G36" s="1">
        <f>IFERROR(__xludf.DUMMYFUNCTION("""COMPUTED_VALUE"""),19.0)</f>
        <v>19</v>
      </c>
      <c r="H36" s="1">
        <f>IFERROR(__xludf.DUMMYFUNCTION("""COMPUTED_VALUE"""),483.74)</f>
        <v>483.74</v>
      </c>
      <c r="K36" s="1">
        <v>49.0</v>
      </c>
      <c r="L36" s="1">
        <f>startYear + (K36 - startAge)
</f>
        <v>2058</v>
      </c>
      <c r="M36" s="1" t="s">
        <v>182</v>
      </c>
      <c r="N36" s="1" t="s">
        <v>195</v>
      </c>
      <c r="O36" s="1" t="s">
        <v>187</v>
      </c>
      <c r="P36" s="7">
        <f t="shared" si="1"/>
        <v>18</v>
      </c>
      <c r="Q36" s="9">
        <f>IFERROR(__xludf.DUMMYFUNCTION("IFERROR(
  INDEX(
    FILTER(
      INDEX(payScale2026,,4),
      TRIM(INDEX(payScale2026,,1))=TRIM(N36),
      TRIM(INDEX(payScale2026,,2))=TRIM(O36),
      VALUE(INDEX(payScale2026,,3))=VALUE(P36)
    ),
  1) * (1 + cola) ^ MAX(0, $L36 - 2026),
"""")
"),1066.0453810782149)</f>
        <v>1066.045381</v>
      </c>
      <c r="R36" s="9">
        <f>IF(Q36="","", ROUND(Q36*blockHrs*12,2))
</f>
        <v>959440.84</v>
      </c>
    </row>
    <row r="37" ht="15.75" customHeight="1">
      <c r="A37" s="1" t="s">
        <v>213</v>
      </c>
      <c r="E37" s="1" t="str">
        <f>IFERROR(__xludf.DUMMYFUNCTION("SPLIT(A37,"","")
"),"A350")</f>
        <v>A350</v>
      </c>
      <c r="F37" s="1" t="str">
        <f>IFERROR(__xludf.DUMMYFUNCTION("""COMPUTED_VALUE"""),"CA")</f>
        <v>CA</v>
      </c>
      <c r="G37" s="1">
        <f>IFERROR(__xludf.DUMMYFUNCTION("""COMPUTED_VALUE"""),20.0)</f>
        <v>20</v>
      </c>
      <c r="H37" s="1">
        <f>IFERROR(__xludf.DUMMYFUNCTION("""COMPUTED_VALUE"""),483.74)</f>
        <v>483.74</v>
      </c>
      <c r="K37" s="1">
        <v>50.0</v>
      </c>
      <c r="L37" s="1">
        <f>startYear + (K37 - startAge)
</f>
        <v>2059</v>
      </c>
      <c r="M37" s="1" t="s">
        <v>182</v>
      </c>
      <c r="N37" s="1" t="s">
        <v>195</v>
      </c>
      <c r="O37" s="1" t="s">
        <v>187</v>
      </c>
      <c r="P37" s="7">
        <f t="shared" si="1"/>
        <v>19</v>
      </c>
      <c r="Q37" s="9">
        <f>IFERROR(__xludf.DUMMYFUNCTION("IFERROR(
  INDEX(
    FILTER(
      INDEX(payScale2026,,4),
      TRIM(INDEX(payScale2026,,1))=TRIM(N37),
      TRIM(INDEX(payScale2026,,2))=TRIM(O37),
      VALUE(INDEX(payScale2026,,3))=VALUE(P37)
    ),
  1) * (1 + cola) ^ MAX(0, $L37 - 2026),
"""")
"),1092.6965156051701)</f>
        <v>1092.696516</v>
      </c>
      <c r="R37" s="9">
        <f>IF(Q37="","", ROUND(Q37*blockHrs*12,2))
</f>
        <v>983426.86</v>
      </c>
    </row>
    <row r="38" ht="15.75" customHeight="1">
      <c r="A38" s="1" t="s">
        <v>214</v>
      </c>
      <c r="E38" s="1" t="str">
        <f>IFERROR(__xludf.DUMMYFUNCTION("SPLIT(A38,"","")
"),"A350")</f>
        <v>A350</v>
      </c>
      <c r="F38" s="1" t="str">
        <f>IFERROR(__xludf.DUMMYFUNCTION("""COMPUTED_VALUE"""),"CA")</f>
        <v>CA</v>
      </c>
      <c r="G38" s="1">
        <f>IFERROR(__xludf.DUMMYFUNCTION("""COMPUTED_VALUE"""),21.0)</f>
        <v>21</v>
      </c>
      <c r="H38" s="1">
        <f>IFERROR(__xludf.DUMMYFUNCTION("""COMPUTED_VALUE"""),483.74)</f>
        <v>483.74</v>
      </c>
      <c r="K38" s="1">
        <v>51.0</v>
      </c>
      <c r="L38" s="1">
        <f>startYear + (K38 - startAge)
</f>
        <v>2060</v>
      </c>
      <c r="M38" s="1" t="s">
        <v>182</v>
      </c>
      <c r="N38" s="1" t="s">
        <v>195</v>
      </c>
      <c r="O38" s="1" t="s">
        <v>187</v>
      </c>
      <c r="P38" s="7">
        <f t="shared" si="1"/>
        <v>20</v>
      </c>
      <c r="Q38" s="9">
        <f>IFERROR(__xludf.DUMMYFUNCTION("IFERROR(
  INDEX(
    FILTER(
      INDEX(payScale2026,,4),
      TRIM(INDEX(payScale2026,,1))=TRIM(N38),
      TRIM(INDEX(payScale2026,,2))=TRIM(O38),
      VALUE(INDEX(payScale2026,,3))=VALUE(P38)
    ),
  1) * (1 + cola) ^ MAX(0, $L38 - 2026),
"""")
"),1120.0139284952993)</f>
        <v>1120.013928</v>
      </c>
      <c r="R38" s="9">
        <f>IF(Q38="","", ROUND(Q38*blockHrs*12,2))
</f>
        <v>1008012.54</v>
      </c>
    </row>
    <row r="39" ht="15.75" customHeight="1">
      <c r="A39" s="1" t="s">
        <v>215</v>
      </c>
      <c r="E39" s="1" t="str">
        <f>IFERROR(__xludf.DUMMYFUNCTION("SPLIT(A39,"","")
"),"A350")</f>
        <v>A350</v>
      </c>
      <c r="F39" s="1" t="str">
        <f>IFERROR(__xludf.DUMMYFUNCTION("""COMPUTED_VALUE"""),"CA")</f>
        <v>CA</v>
      </c>
      <c r="G39" s="1">
        <f>IFERROR(__xludf.DUMMYFUNCTION("""COMPUTED_VALUE"""),22.0)</f>
        <v>22</v>
      </c>
      <c r="H39" s="1">
        <f>IFERROR(__xludf.DUMMYFUNCTION("""COMPUTED_VALUE"""),483.74)</f>
        <v>483.74</v>
      </c>
      <c r="K39" s="1">
        <v>52.0</v>
      </c>
      <c r="L39" s="1">
        <f>startYear + (K39 - startAge)
</f>
        <v>2061</v>
      </c>
      <c r="M39" s="1" t="s">
        <v>182</v>
      </c>
      <c r="N39" s="1" t="s">
        <v>195</v>
      </c>
      <c r="O39" s="1" t="s">
        <v>187</v>
      </c>
      <c r="P39" s="7">
        <f t="shared" si="1"/>
        <v>21</v>
      </c>
      <c r="Q39" s="9">
        <f>IFERROR(__xludf.DUMMYFUNCTION("IFERROR(
  INDEX(
    FILTER(
      INDEX(payScale2026,,4),
      TRIM(INDEX(payScale2026,,1))=TRIM(N39),
      TRIM(INDEX(payScale2026,,2))=TRIM(O39),
      VALUE(INDEX(payScale2026,,3))=VALUE(P39)
    ),
  1) * (1 + cola) ^ MAX(0, $L39 - 2026),
"""")
"),1148.0142767076816)</f>
        <v>1148.014277</v>
      </c>
      <c r="R39" s="9">
        <f>IF(Q39="","", ROUND(Q39*blockHrs*12,2))
</f>
        <v>1033212.85</v>
      </c>
    </row>
    <row r="40" ht="15.75" customHeight="1">
      <c r="A40" s="1" t="s">
        <v>216</v>
      </c>
      <c r="E40" s="1" t="str">
        <f>IFERROR(__xludf.DUMMYFUNCTION("SPLIT(A40,"","")
"),"A350")</f>
        <v>A350</v>
      </c>
      <c r="F40" s="1" t="str">
        <f>IFERROR(__xludf.DUMMYFUNCTION("""COMPUTED_VALUE"""),"CA")</f>
        <v>CA</v>
      </c>
      <c r="G40" s="1">
        <f>IFERROR(__xludf.DUMMYFUNCTION("""COMPUTED_VALUE"""),23.0)</f>
        <v>23</v>
      </c>
      <c r="H40" s="1">
        <f>IFERROR(__xludf.DUMMYFUNCTION("""COMPUTED_VALUE"""),483.74)</f>
        <v>483.74</v>
      </c>
      <c r="K40" s="1">
        <v>53.0</v>
      </c>
      <c r="L40" s="1">
        <f>startYear + (K40 - startAge)
</f>
        <v>2062</v>
      </c>
      <c r="M40" s="1" t="s">
        <v>182</v>
      </c>
      <c r="N40" s="1" t="s">
        <v>195</v>
      </c>
      <c r="O40" s="1" t="s">
        <v>187</v>
      </c>
      <c r="P40" s="7">
        <f t="shared" si="1"/>
        <v>22</v>
      </c>
      <c r="Q40" s="9">
        <f>IFERROR(__xludf.DUMMYFUNCTION("IFERROR(
  INDEX(
    FILTER(
      INDEX(payScale2026,,4),
      TRIM(INDEX(payScale2026,,1))=TRIM(N40),
      TRIM(INDEX(payScale2026,,2))=TRIM(O40),
      VALUE(INDEX(payScale2026,,3))=VALUE(P40)
    ),
  1) * (1 + cola) ^ MAX(0, $L40 - 2026),
"""")
"),1176.7146336253736)</f>
        <v>1176.714634</v>
      </c>
      <c r="R40" s="9">
        <f>IF(Q40="","", ROUND(Q40*blockHrs*12,2))
</f>
        <v>1059043.17</v>
      </c>
    </row>
    <row r="41" ht="15.75" customHeight="1">
      <c r="A41" s="1" t="s">
        <v>217</v>
      </c>
      <c r="E41" s="1" t="str">
        <f>IFERROR(__xludf.DUMMYFUNCTION("SPLIT(A41,"","")
"),"A350")</f>
        <v>A350</v>
      </c>
      <c r="F41" s="1" t="str">
        <f>IFERROR(__xludf.DUMMYFUNCTION("""COMPUTED_VALUE"""),"CA")</f>
        <v>CA</v>
      </c>
      <c r="G41" s="1">
        <f>IFERROR(__xludf.DUMMYFUNCTION("""COMPUTED_VALUE"""),24.0)</f>
        <v>24</v>
      </c>
      <c r="H41" s="1">
        <f>IFERROR(__xludf.DUMMYFUNCTION("""COMPUTED_VALUE"""),483.74)</f>
        <v>483.74</v>
      </c>
      <c r="K41" s="1">
        <v>54.0</v>
      </c>
      <c r="L41" s="1">
        <f>startYear + (K41 - startAge)
</f>
        <v>2063</v>
      </c>
      <c r="M41" s="1" t="s">
        <v>182</v>
      </c>
      <c r="N41" s="1" t="s">
        <v>195</v>
      </c>
      <c r="O41" s="1" t="s">
        <v>187</v>
      </c>
      <c r="P41" s="7">
        <f t="shared" si="1"/>
        <v>23</v>
      </c>
      <c r="Q41" s="9">
        <f>IFERROR(__xludf.DUMMYFUNCTION("IFERROR(
  INDEX(
    FILTER(
      INDEX(payScale2026,,4),
      TRIM(INDEX(payScale2026,,1))=TRIM(N41),
      TRIM(INDEX(payScale2026,,2))=TRIM(O41),
      VALUE(INDEX(payScale2026,,3))=VALUE(P41)
    ),
  1) * (1 + cola) ^ MAX(0, $L41 - 2026),
"""")
"),1206.1324994660079)</f>
        <v>1206.132499</v>
      </c>
      <c r="R41" s="9">
        <f>IF(Q41="","", ROUND(Q41*blockHrs*12,2))
</f>
        <v>1085519.25</v>
      </c>
    </row>
    <row r="42" ht="15.75" customHeight="1">
      <c r="A42" s="1" t="s">
        <v>218</v>
      </c>
      <c r="E42" s="1" t="str">
        <f>IFERROR(__xludf.DUMMYFUNCTION("SPLIT(A42,"","")
"),"A350")</f>
        <v>A350</v>
      </c>
      <c r="F42" s="1" t="str">
        <f>IFERROR(__xludf.DUMMYFUNCTION("""COMPUTED_VALUE"""),"CA")</f>
        <v>CA</v>
      </c>
      <c r="G42" s="1">
        <f>IFERROR(__xludf.DUMMYFUNCTION("""COMPUTED_VALUE"""),25.0)</f>
        <v>25</v>
      </c>
      <c r="H42" s="1">
        <f>IFERROR(__xludf.DUMMYFUNCTION("""COMPUTED_VALUE"""),483.74)</f>
        <v>483.74</v>
      </c>
      <c r="K42" s="1">
        <v>55.0</v>
      </c>
      <c r="L42" s="1">
        <f>startYear + (K42 - startAge)
</f>
        <v>2064</v>
      </c>
      <c r="M42" s="1" t="s">
        <v>182</v>
      </c>
      <c r="N42" s="1" t="s">
        <v>195</v>
      </c>
      <c r="O42" s="1" t="s">
        <v>187</v>
      </c>
      <c r="P42" s="7">
        <f t="shared" si="1"/>
        <v>24</v>
      </c>
      <c r="Q42" s="9">
        <f>IFERROR(__xludf.DUMMYFUNCTION("IFERROR(
  INDEX(
    FILTER(
      INDEX(payScale2026,,4),
      TRIM(INDEX(payScale2026,,1))=TRIM(N42),
      TRIM(INDEX(payScale2026,,2))=TRIM(O42),
      VALUE(INDEX(payScale2026,,3))=VALUE(P42)
    ),
  1) * (1 + cola) ^ MAX(0, $L42 - 2026),
"""")
"),1236.285811952658)</f>
        <v>1236.285812</v>
      </c>
      <c r="R42" s="9">
        <f>IF(Q42="","", ROUND(Q42*blockHrs*12,2))
</f>
        <v>1112657.23</v>
      </c>
    </row>
    <row r="43" ht="15.75" customHeight="1">
      <c r="A43" s="1" t="s">
        <v>219</v>
      </c>
      <c r="E43" s="1" t="str">
        <f>IFERROR(__xludf.DUMMYFUNCTION("SPLIT(A43,"","")
"),"A350")</f>
        <v>A350</v>
      </c>
      <c r="F43" s="1" t="str">
        <f>IFERROR(__xludf.DUMMYFUNCTION("""COMPUTED_VALUE"""),"CA")</f>
        <v>CA</v>
      </c>
      <c r="G43" s="1">
        <f>IFERROR(__xludf.DUMMYFUNCTION("""COMPUTED_VALUE"""),26.0)</f>
        <v>26</v>
      </c>
      <c r="H43" s="1">
        <f>IFERROR(__xludf.DUMMYFUNCTION("""COMPUTED_VALUE"""),483.74)</f>
        <v>483.74</v>
      </c>
      <c r="K43" s="1">
        <v>56.0</v>
      </c>
      <c r="L43" s="1">
        <f>startYear + (K43 - startAge)
</f>
        <v>2065</v>
      </c>
      <c r="M43" s="1" t="s">
        <v>182</v>
      </c>
      <c r="N43" s="1" t="s">
        <v>195</v>
      </c>
      <c r="O43" s="1" t="s">
        <v>187</v>
      </c>
      <c r="P43" s="7">
        <f t="shared" si="1"/>
        <v>25</v>
      </c>
      <c r="Q43" s="9">
        <f>IFERROR(__xludf.DUMMYFUNCTION("IFERROR(
  INDEX(
    FILTER(
      INDEX(payScale2026,,4),
      TRIM(INDEX(payScale2026,,1))=TRIM(N43),
      TRIM(INDEX(payScale2026,,2))=TRIM(O43),
      VALUE(INDEX(payScale2026,,3))=VALUE(P43)
    ),
  1) * (1 + cola) ^ MAX(0, $L43 - 2026),
"""")
"),1267.1929572514741)</f>
        <v>1267.192957</v>
      </c>
      <c r="R43" s="9">
        <f>IF(Q43="","", ROUND(Q43*blockHrs*12,2))
</f>
        <v>1140473.66</v>
      </c>
    </row>
    <row r="44" ht="15.75" customHeight="1">
      <c r="A44" s="1" t="s">
        <v>220</v>
      </c>
      <c r="E44" s="1" t="str">
        <f>IFERROR(__xludf.DUMMYFUNCTION("SPLIT(A44,"","")
"),"A350")</f>
        <v>A350</v>
      </c>
      <c r="F44" s="1" t="str">
        <f>IFERROR(__xludf.DUMMYFUNCTION("""COMPUTED_VALUE"""),"CA")</f>
        <v>CA</v>
      </c>
      <c r="G44" s="1">
        <f>IFERROR(__xludf.DUMMYFUNCTION("""COMPUTED_VALUE"""),27.0)</f>
        <v>27</v>
      </c>
      <c r="H44" s="1">
        <f>IFERROR(__xludf.DUMMYFUNCTION("""COMPUTED_VALUE"""),483.74)</f>
        <v>483.74</v>
      </c>
      <c r="K44" s="1">
        <v>57.0</v>
      </c>
      <c r="L44" s="1">
        <f>startYear + (K44 - startAge)
</f>
        <v>2066</v>
      </c>
      <c r="M44" s="1" t="s">
        <v>182</v>
      </c>
      <c r="N44" s="1" t="s">
        <v>195</v>
      </c>
      <c r="O44" s="1" t="s">
        <v>187</v>
      </c>
      <c r="P44" s="7">
        <f t="shared" si="1"/>
        <v>26</v>
      </c>
      <c r="Q44" s="9">
        <f>IFERROR(__xludf.DUMMYFUNCTION("IFERROR(
  INDEX(
    FILTER(
      INDEX(payScale2026,,4),
      TRIM(INDEX(payScale2026,,1))=TRIM(N44),
      TRIM(INDEX(payScale2026,,2))=TRIM(O44),
      VALUE(INDEX(payScale2026,,3))=VALUE(P44)
    ),
  1) * (1 + cola) ^ MAX(0, $L44 - 2026),
"""")
"),1298.8727811827607)</f>
        <v>1298.872781</v>
      </c>
      <c r="R44" s="9">
        <f>IF(Q44="","", ROUND(Q44*blockHrs*12,2))
</f>
        <v>1168985.5</v>
      </c>
    </row>
    <row r="45" ht="15.75" customHeight="1">
      <c r="A45" s="1" t="s">
        <v>221</v>
      </c>
      <c r="E45" s="1" t="str">
        <f>IFERROR(__xludf.DUMMYFUNCTION("SPLIT(A45,"","")
"),"A350")</f>
        <v>A350</v>
      </c>
      <c r="F45" s="1" t="str">
        <f>IFERROR(__xludf.DUMMYFUNCTION("""COMPUTED_VALUE"""),"CA")</f>
        <v>CA</v>
      </c>
      <c r="G45" s="1">
        <f>IFERROR(__xludf.DUMMYFUNCTION("""COMPUTED_VALUE"""),28.0)</f>
        <v>28</v>
      </c>
      <c r="H45" s="1">
        <f>IFERROR(__xludf.DUMMYFUNCTION("""COMPUTED_VALUE"""),483.74)</f>
        <v>483.74</v>
      </c>
      <c r="K45" s="1">
        <v>58.0</v>
      </c>
      <c r="L45" s="1">
        <f>startYear + (K45 - startAge)
</f>
        <v>2067</v>
      </c>
      <c r="M45" s="1" t="s">
        <v>182</v>
      </c>
      <c r="N45" s="1" t="s">
        <v>195</v>
      </c>
      <c r="O45" s="1" t="s">
        <v>187</v>
      </c>
      <c r="P45" s="7">
        <f t="shared" si="1"/>
        <v>27</v>
      </c>
      <c r="Q45" s="9">
        <f>IFERROR(__xludf.DUMMYFUNCTION("IFERROR(
  INDEX(
    FILTER(
      INDEX(payScale2026,,4),
      TRIM(INDEX(payScale2026,,1))=TRIM(N45),
      TRIM(INDEX(payScale2026,,2))=TRIM(O45),
      VALUE(INDEX(payScale2026,,3))=VALUE(P45)
    ),
  1) * (1 + cola) ^ MAX(0, $L45 - 2026),
"""")
"),1331.3446007123298)</f>
        <v>1331.344601</v>
      </c>
      <c r="R45" s="9">
        <f>IF(Q45="","", ROUND(Q45*blockHrs*12,2))
</f>
        <v>1198210.14</v>
      </c>
    </row>
    <row r="46" ht="15.75" customHeight="1">
      <c r="A46" s="1" t="s">
        <v>222</v>
      </c>
      <c r="E46" s="1" t="str">
        <f>IFERROR(__xludf.DUMMYFUNCTION("SPLIT(A46,"","")
"),"A350")</f>
        <v>A350</v>
      </c>
      <c r="F46" s="1" t="str">
        <f>IFERROR(__xludf.DUMMYFUNCTION("""COMPUTED_VALUE"""),"CA")</f>
        <v>CA</v>
      </c>
      <c r="G46" s="1">
        <f>IFERROR(__xludf.DUMMYFUNCTION("""COMPUTED_VALUE"""),29.0)</f>
        <v>29</v>
      </c>
      <c r="H46" s="1">
        <f>IFERROR(__xludf.DUMMYFUNCTION("""COMPUTED_VALUE"""),483.74)</f>
        <v>483.74</v>
      </c>
      <c r="K46" s="1">
        <v>59.0</v>
      </c>
      <c r="L46" s="1">
        <f>startYear + (K46 - startAge)
</f>
        <v>2068</v>
      </c>
      <c r="M46" s="1" t="s">
        <v>182</v>
      </c>
      <c r="N46" s="1" t="s">
        <v>195</v>
      </c>
      <c r="O46" s="1" t="s">
        <v>187</v>
      </c>
      <c r="P46" s="7">
        <f t="shared" si="1"/>
        <v>28</v>
      </c>
      <c r="Q46" s="9">
        <f>IFERROR(__xludf.DUMMYFUNCTION("IFERROR(
  INDEX(
    FILTER(
      INDEX(payScale2026,,4),
      TRIM(INDEX(payScale2026,,1))=TRIM(N46),
      TRIM(INDEX(payScale2026,,2))=TRIM(O46),
      VALUE(INDEX(payScale2026,,3))=VALUE(P46)
    ),
  1) * (1 + cola) ^ MAX(0, $L46 - 2026),
"""")
"),1364.628215730138)</f>
        <v>1364.628216</v>
      </c>
      <c r="R46" s="9">
        <f>IF(Q46="","", ROUND(Q46*blockHrs*12,2))
</f>
        <v>1228165.39</v>
      </c>
    </row>
    <row r="47" ht="15.75" customHeight="1">
      <c r="A47" s="1" t="s">
        <v>223</v>
      </c>
      <c r="E47" s="1" t="str">
        <f>IFERROR(__xludf.DUMMYFUNCTION("SPLIT(A47,"","")
"),"A350")</f>
        <v>A350</v>
      </c>
      <c r="F47" s="1" t="str">
        <f>IFERROR(__xludf.DUMMYFUNCTION("""COMPUTED_VALUE"""),"CA")</f>
        <v>CA</v>
      </c>
      <c r="G47" s="1">
        <f>IFERROR(__xludf.DUMMYFUNCTION("""COMPUTED_VALUE"""),30.0)</f>
        <v>30</v>
      </c>
      <c r="H47" s="1">
        <f>IFERROR(__xludf.DUMMYFUNCTION("""COMPUTED_VALUE"""),483.74)</f>
        <v>483.74</v>
      </c>
      <c r="K47" s="1">
        <v>60.0</v>
      </c>
      <c r="L47" s="1">
        <f>startYear + (K47 - startAge)
</f>
        <v>2069</v>
      </c>
      <c r="M47" s="1" t="s">
        <v>182</v>
      </c>
      <c r="N47" s="1" t="s">
        <v>195</v>
      </c>
      <c r="O47" s="1" t="s">
        <v>187</v>
      </c>
      <c r="P47" s="7">
        <f t="shared" si="1"/>
        <v>29</v>
      </c>
      <c r="Q47" s="9">
        <f>IFERROR(__xludf.DUMMYFUNCTION("IFERROR(
  INDEX(
    FILTER(
      INDEX(payScale2026,,4),
      TRIM(INDEX(payScale2026,,1))=TRIM(N47),
      TRIM(INDEX(payScale2026,,2))=TRIM(O47),
      VALUE(INDEX(payScale2026,,3))=VALUE(P47)
    ),
  1) * (1 + cola) ^ MAX(0, $L47 - 2026),
"""")
"),1398.7439211233911)</f>
        <v>1398.743921</v>
      </c>
      <c r="R47" s="9">
        <f>IF(Q47="","", ROUND(Q47*blockHrs*12,2))
</f>
        <v>1258869.53</v>
      </c>
    </row>
    <row r="48" ht="15.75" customHeight="1">
      <c r="A48" s="1" t="s">
        <v>224</v>
      </c>
      <c r="E48" s="1" t="str">
        <f>IFERROR(__xludf.DUMMYFUNCTION("SPLIT(A48,"","")
"),"A350")</f>
        <v>A350</v>
      </c>
      <c r="F48" s="1" t="str">
        <f>IFERROR(__xludf.DUMMYFUNCTION("""COMPUTED_VALUE"""),"CA")</f>
        <v>CA</v>
      </c>
      <c r="G48" s="1">
        <f>IFERROR(__xludf.DUMMYFUNCTION("""COMPUTED_VALUE"""),31.0)</f>
        <v>31</v>
      </c>
      <c r="H48" s="1">
        <f>IFERROR(__xludf.DUMMYFUNCTION("""COMPUTED_VALUE"""),483.74)</f>
        <v>483.74</v>
      </c>
      <c r="K48" s="1">
        <v>61.0</v>
      </c>
      <c r="L48" s="1">
        <f>startYear + (K48 - startAge)
</f>
        <v>2070</v>
      </c>
      <c r="M48" s="1" t="s">
        <v>182</v>
      </c>
      <c r="N48" s="1" t="s">
        <v>195</v>
      </c>
      <c r="O48" s="1" t="s">
        <v>187</v>
      </c>
      <c r="P48" s="7">
        <f t="shared" si="1"/>
        <v>30</v>
      </c>
      <c r="Q48" s="9">
        <f>IFERROR(__xludf.DUMMYFUNCTION("IFERROR(
  INDEX(
    FILTER(
      INDEX(payScale2026,,4),
      TRIM(INDEX(payScale2026,,1))=TRIM(N48),
      TRIM(INDEX(payScale2026,,2))=TRIM(O48),
      VALUE(INDEX(payScale2026,,3))=VALUE(P48)
    ),
  1) * (1 + cola) ^ MAX(0, $L48 - 2026),
"""")
"),1433.712519151476)</f>
        <v>1433.712519</v>
      </c>
      <c r="R48" s="9">
        <f>IF(Q48="","", ROUND(Q48*blockHrs*12,2))
</f>
        <v>1290341.27</v>
      </c>
    </row>
    <row r="49" ht="15.75" customHeight="1">
      <c r="A49" s="1" t="s">
        <v>225</v>
      </c>
      <c r="E49" s="1" t="str">
        <f>IFERROR(__xludf.DUMMYFUNCTION("SPLIT(A49,"","")
"),"A350")</f>
        <v>A350</v>
      </c>
      <c r="F49" s="1" t="str">
        <f>IFERROR(__xludf.DUMMYFUNCTION("""COMPUTED_VALUE"""),"CA")</f>
        <v>CA</v>
      </c>
      <c r="G49" s="1">
        <f>IFERROR(__xludf.DUMMYFUNCTION("""COMPUTED_VALUE"""),32.0)</f>
        <v>32</v>
      </c>
      <c r="H49" s="1">
        <f>IFERROR(__xludf.DUMMYFUNCTION("""COMPUTED_VALUE"""),483.74)</f>
        <v>483.74</v>
      </c>
      <c r="K49" s="1">
        <v>62.0</v>
      </c>
      <c r="L49" s="1">
        <f>startYear + (K49 - startAge)
</f>
        <v>2071</v>
      </c>
      <c r="M49" s="1" t="s">
        <v>182</v>
      </c>
      <c r="N49" s="1" t="s">
        <v>195</v>
      </c>
      <c r="O49" s="1" t="s">
        <v>187</v>
      </c>
      <c r="P49" s="7">
        <f t="shared" si="1"/>
        <v>31</v>
      </c>
      <c r="Q49" s="9">
        <f>IFERROR(__xludf.DUMMYFUNCTION("IFERROR(
  INDEX(
    FILTER(
      INDEX(payScale2026,,4),
      TRIM(INDEX(payScale2026,,1))=TRIM(N49),
      TRIM(INDEX(payScale2026,,2))=TRIM(O49),
      VALUE(INDEX(payScale2026,,3))=VALUE(P49)
    ),
  1) * (1 + cola) ^ MAX(0, $L49 - 2026),
"""")
"),1469.5553321302627)</f>
        <v>1469.555332</v>
      </c>
      <c r="R49" s="9">
        <f>IF(Q49="","", ROUND(Q49*blockHrs*12,2))
</f>
        <v>1322599.8</v>
      </c>
    </row>
    <row r="50" ht="15.75" customHeight="1">
      <c r="A50" s="1" t="s">
        <v>226</v>
      </c>
      <c r="E50" s="1" t="str">
        <f>IFERROR(__xludf.DUMMYFUNCTION("SPLIT(A50,"","")
"),"A350")</f>
        <v>A350</v>
      </c>
      <c r="F50" s="1" t="str">
        <f>IFERROR(__xludf.DUMMYFUNCTION("""COMPUTED_VALUE"""),"CA")</f>
        <v>CA</v>
      </c>
      <c r="G50" s="1">
        <f>IFERROR(__xludf.DUMMYFUNCTION("""COMPUTED_VALUE"""),33.0)</f>
        <v>33</v>
      </c>
      <c r="H50" s="1">
        <f>IFERROR(__xludf.DUMMYFUNCTION("""COMPUTED_VALUE"""),483.74)</f>
        <v>483.74</v>
      </c>
      <c r="K50" s="1">
        <v>63.0</v>
      </c>
      <c r="L50" s="1">
        <f>startYear + (K50 - startAge)
</f>
        <v>2072</v>
      </c>
      <c r="M50" s="1" t="s">
        <v>182</v>
      </c>
      <c r="N50" s="1" t="s">
        <v>195</v>
      </c>
      <c r="O50" s="1" t="s">
        <v>187</v>
      </c>
      <c r="P50" s="7">
        <f t="shared" si="1"/>
        <v>32</v>
      </c>
      <c r="Q50" s="9">
        <f>IFERROR(__xludf.DUMMYFUNCTION("IFERROR(
  INDEX(
    FILTER(
      INDEX(payScale2026,,4),
      TRIM(INDEX(payScale2026,,1))=TRIM(N50),
      TRIM(INDEX(payScale2026,,2))=TRIM(O50),
      VALUE(INDEX(payScale2026,,3))=VALUE(P50)
    ),
  1) * (1 + cola) ^ MAX(0, $L50 - 2026),
"""")
"),1506.2942154335192)</f>
        <v>1506.294215</v>
      </c>
      <c r="R50" s="9">
        <f>IF(Q50="","", ROUND(Q50*blockHrs*12,2))
</f>
        <v>1355664.79</v>
      </c>
    </row>
    <row r="51" ht="15.75" customHeight="1">
      <c r="A51" s="1" t="s">
        <v>227</v>
      </c>
      <c r="E51" s="1" t="str">
        <f>IFERROR(__xludf.DUMMYFUNCTION("SPLIT(A51,"","")
"),"A350")</f>
        <v>A350</v>
      </c>
      <c r="F51" s="1" t="str">
        <f>IFERROR(__xludf.DUMMYFUNCTION("""COMPUTED_VALUE"""),"CA")</f>
        <v>CA</v>
      </c>
      <c r="G51" s="1">
        <f>IFERROR(__xludf.DUMMYFUNCTION("""COMPUTED_VALUE"""),34.0)</f>
        <v>34</v>
      </c>
      <c r="H51" s="1">
        <f>IFERROR(__xludf.DUMMYFUNCTION("""COMPUTED_VALUE"""),483.74)</f>
        <v>483.74</v>
      </c>
      <c r="K51" s="1">
        <v>64.0</v>
      </c>
      <c r="L51" s="1">
        <f>startYear + (K51 - startAge)
</f>
        <v>2073</v>
      </c>
      <c r="M51" s="1" t="s">
        <v>182</v>
      </c>
      <c r="N51" s="1" t="s">
        <v>195</v>
      </c>
      <c r="O51" s="1" t="s">
        <v>187</v>
      </c>
      <c r="P51" s="7">
        <f t="shared" si="1"/>
        <v>33</v>
      </c>
      <c r="Q51" s="9">
        <f>IFERROR(__xludf.DUMMYFUNCTION("IFERROR(
  INDEX(
    FILTER(
      INDEX(payScale2026,,4),
      TRIM(INDEX(payScale2026,,1))=TRIM(N51),
      TRIM(INDEX(payScale2026,,2))=TRIM(O51),
      VALUE(INDEX(payScale2026,,3))=VALUE(P51)
    ),
  1) * (1 + cola) ^ MAX(0, $L51 - 2026),
"""")
"),1543.9515708193571)</f>
        <v>1543.951571</v>
      </c>
      <c r="R51" s="9">
        <f>IF(Q51="","", ROUND(Q51*blockHrs*12,2))
</f>
        <v>1389556.41</v>
      </c>
    </row>
    <row r="52" ht="15.75" customHeight="1">
      <c r="K52" s="1">
        <v>65.0</v>
      </c>
      <c r="L52" s="1">
        <f>startYear + (K52 - startAge)
</f>
        <v>2074</v>
      </c>
      <c r="M52" s="1" t="s">
        <v>182</v>
      </c>
      <c r="N52" s="1" t="s">
        <v>195</v>
      </c>
      <c r="O52" s="1" t="s">
        <v>187</v>
      </c>
      <c r="P52" s="7">
        <f t="shared" si="1"/>
        <v>34</v>
      </c>
      <c r="Q52" s="9">
        <f>IFERROR(__xludf.DUMMYFUNCTION("IFERROR(
  INDEX(
    FILTER(
      INDEX(payScale2026,,4),
      TRIM(INDEX(payScale2026,,1))=TRIM(N52),
      TRIM(INDEX(payScale2026,,2))=TRIM(O52),
      VALUE(INDEX(payScale2026,,3))=VALUE(P52)
    ),
  1) * (1 + cola) ^ MAX(0, $L52 - 2026),
"""")
"),1582.5503600898408)</f>
        <v>1582.55036</v>
      </c>
      <c r="R52" s="9">
        <f>IF(Q52="","", ROUND(Q52*blockHrs*12,2))
</f>
        <v>1424295.32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5"/>
  </cols>
  <sheetData>
    <row r="1" ht="15.75" customHeight="1">
      <c r="A1" s="1" t="s">
        <v>228</v>
      </c>
      <c r="B1" s="1">
        <f t="array" ref="B1">MAX(ABS(IF('Cash Flow (Annual)'!A2:A1000&lt;loanStartAge,
     0,
     ROUND('Cash Flow (Annual)'!X2:X1000 - ('Cash Flow (Annual)'!Y2:Y1000 + 'Cash Flow (Annual)'!Z2:Z1000), 2)
  )))</f>
        <v>18998.49</v>
      </c>
    </row>
    <row r="2" ht="15.75" customHeight="1">
      <c r="A2" s="1" t="s">
        <v>229</v>
      </c>
      <c r="B2" s="1">
        <f t="array" ref="B2">MAX(ABS(ROUND('Cash Flow (Annual)'!AA2:AA1000 - ('Cash Flow (Annual)'!AB2:AB1000 + 'Cash Flow (Annual)'!Y2:Y1000 - 'Cash Flow (Annual)'!X2:X1000), 2)))</f>
        <v>18998.49</v>
      </c>
    </row>
    <row r="3" ht="15.75" customHeight="1">
      <c r="A3" s="1" t="s">
        <v>230</v>
      </c>
      <c r="B3" s="1">
        <f>SUMIFS('Cash Flow (Annual)'!X2:X1000,'Cash Flow (Annual)'!A2:A1000,"&lt;"&amp;loanStartAge)
</f>
        <v>0</v>
      </c>
    </row>
    <row r="4" ht="15.75" customHeight="1">
      <c r="A4" s="1" t="s">
        <v>231</v>
      </c>
      <c r="B4" s="1">
        <f>SUMIFS('Cash Flow (Annual)'!AA2:AA1000,'Cash Flow (Annual)'!A2:A1000,"&gt;="&amp;(loanStartAge+loanTerm))
</f>
        <v>0</v>
      </c>
    </row>
    <row r="5" ht="15.75" customHeight="1"/>
    <row r="6" ht="15.75" customHeight="1">
      <c r="A6" s="1" t="s">
        <v>232</v>
      </c>
      <c r="B6" s="1">
        <f>IF(ABS('Cash Flow (Annual)'!B5 - ('Cash Flow (Annual)'!C5 + 'Cash Flow (Annual)'!F5 + 'Cash Flow (Annual)'!G5 + 'Cash Flow (Annual)'!H5 + 'Cash Flow (Annual)'!I5)) &lt; 0.01, 0,
  'Cash Flow (Annual)'!B5 - ('Cash Flow (Annual)'!C5 + 'Cash Flow (Annual)'!F5 + 'Cash Flow (Annual)'!G5 + 'Cash Flow (Annual)'!H5 + 'Cash Flow (Annual)'!I5))
</f>
        <v>0</v>
      </c>
    </row>
    <row r="7" ht="15.75" customHeight="1">
      <c r="A7" s="1" t="s">
        <v>233</v>
      </c>
      <c r="B7" s="1">
        <f>MAX(ABS('Cash Flow (Annual)'!E5 - ('Cash Flow (Annual)'!B5 - 'Cash Flow (Annual)'!C5)))</f>
        <v>0</v>
      </c>
    </row>
    <row r="8" ht="15.75" customHeight="1">
      <c r="A8" s="1" t="s">
        <v>234</v>
      </c>
      <c r="B8" s="1" t="str">
        <f>IF('Cash Flow (Annual)'!B5&gt;ssBase,IF('Cash Flow (Annual)'!H5&gt;ROUND(ssRate*ssBase+medRate*'Cash Flow (Annual)'!B5,2),"Too high","OK"),"OK")</f>
        <v>OK</v>
      </c>
    </row>
    <row r="9" ht="15.75" customHeight="1">
      <c r="A9" s="1" t="s">
        <v>235</v>
      </c>
      <c r="B9" s="1" t="str">
        <f>IF('Cash Flow (Annual)'!A6='Cash Flow (Annual)'!A5+1,"OK","Age gap!")</f>
        <v>OK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